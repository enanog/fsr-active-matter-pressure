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Config" sheetId="2" state="visible" r:id="rId4"/>
    <sheet name="Datos" sheetId="3" state="visible" r:id="rId5"/>
    <sheet name="Ejemplo_ventana" sheetId="4" state="visible" r:id="rId6"/>
    <sheet name="Barrido_deltaT" sheetId="5" state="visible" r:id="rId7"/>
    <sheet name="Supervivenci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<sst xmlns="http://schemas.openxmlformats.org/spreadsheetml/2006/main" count="93" uniqueCount="89">
  <si>
    <t xml:space="preserve">Metodologia de calculo</t>
  </si>
  <si>
    <t xml:space="preserve">1) G (conductancia, uS)</t>
  </si>
  <si>
    <t xml:space="preserve">   G = ADC_RAW * K_G_US, con K_G_US = (V_REF * 1e6) / (ADC_FS * V_EXC * R_FEEDBACK).</t>
  </si>
  <si>
    <t xml:space="preserve">   Formula del front-end de Codigo/fsr_single_read/fsr_single_read.ino. Ver hoja Config (fila 6) y columna D de la hoja Datos.</t>
  </si>
  <si>
    <t xml:space="preserve">2) deltaG (el 'diferencial') y deltaT</t>
  </si>
  <si>
    <t xml:space="preserve">   deltaT es el tamano de ventana temporal, en segundos: se barre de forma continua</t>
  </si>
  <si>
    <t xml:space="preserve">   de STEP_S (50 ms) a DELTA_MAX_S (15 s), en pasos de 50 ms (300 valores).</t>
  </si>
  <si>
    <t xml:space="preserve">   Para cada deltaT: deltaG(t) = G(t) - G(t - deltaT), calculado sobre N_VENTANA = 1200 puntos fijos (para que todos los deltaT, incluido el maximo de 15 s = 300</t>
  </si>
  <si>
    <t xml:space="preserve">   muestras de lag, quepan dentro de los 1500 puntos cargados). Ver hoja Ejemplo_ventana para el detalle fila por fila de un deltaT elegido a mano.</t>
  </si>
  <si>
    <t xml:space="preserve">3) Skewness (asimetria) y kurtosis</t>
  </si>
  <si>
    <t xml:space="preserve">   Para cada deltaT, se toma toda la distribucion de deltaG(t) (los 1200 puntos) y se</t>
  </si>
  <si>
    <t xml:space="preserve">   le aplican las funciones nativas de Excel SKEW() y KURT() -- formulas matriciales</t>
  </si>
  <si>
    <t xml:space="preserve">   (Ctrl+Shift+Enter en Excel viejo, automatico en Excel 365/LibreOffice) que arman el</t>
  </si>
  <si>
    <t xml:space="preserve">   arreglo deltaG = OFFSET(G, lag) - OFFSET(G, 0) 'al vuelo', sin columnas auxiliares.</t>
  </si>
  <si>
    <t xml:space="preserve">   KURT() de Excel devuelve curtosis en exceso (Normal = 0), igual que la convencion</t>
  </si>
  <si>
    <t xml:space="preserve">   habitual en fisica/estadistica. Ver hoja Barrido_deltaT para las 300 filas (una por</t>
  </si>
  <si>
    <t xml:space="preserve">   deltaT) y el grafico correspondiente.</t>
  </si>
  <si>
    <t xml:space="preserve">4) Funcion de supervivencia</t>
  </si>
  <si>
    <t xml:space="preserve">   Se calcula sobre G directamente (no sobre deltaG): P(G &gt;= g) para cada valor de G</t>
  </si>
  <si>
    <t xml:space="preserve">   medido. G_ordenado(k) = SMALL(G, k) (k-esimo valor mas chico) y</t>
  </si>
  <si>
    <t xml:space="preserve">   P_G_geq(k) = (N - k + 1) / N. Grafico en la hoja Supervivencia (eje Y en escala</t>
  </si>
  <si>
    <t xml:space="preserve">   logaritmica), replicando el formato P(f&gt;=F) de la figura de referencia.</t>
  </si>
  <si>
    <t xml:space="preserve">5) Simplificaciones respecto del script Python (procesar_presion_ventanas.py)</t>
  </si>
  <si>
    <t xml:space="preserve">   - Esta hoja usa los 1500 primeros puntos del log crudo (~75 s de 'Medicion 25 Robots 30 Min') tal cual vienen muestreados (~50 ms), sin remuestrear a</t>
  </si>
  <si>
    <t xml:space="preserve">   grilla uniforme por interpolacion como si hace el script.</t>
  </si>
  <si>
    <t xml:space="preserve">   - El skewness/kurtosis de cada deltaT usa siempre los mismos N_VENTANA = 1200 puntos (en vez de aprovechar los ~(1500-lag) puntos disponibles), para que</t>
  </si>
  <si>
    <t xml:space="preserve">   las 300 formulas matriciales sean todas del mismo tamano y no haya errores de rango.</t>
  </si>
  <si>
    <t xml:space="preserve">   - Los valores fueron verificados contra el calculo equivalente en Python (numpy, misma formula de skewness/kurtosis insesgada) para deltaT = 1, 5 y 15 s:</t>
  </si>
  <si>
    <t xml:space="preserve">   coinciden en las primeras 6 cifras significativas.</t>
  </si>
  <si>
    <t xml:space="preserve">Para reprocesar TODO el dataset real (no una muestra de 1500 puntos), usar el script</t>
  </si>
  <si>
    <t xml:space="preserve">Codigo/Analisis/procesar_presion_ventanas.py, que hace exactamente estos mismos</t>
  </si>
  <si>
    <t xml:space="preserve">calculos en Python sobre los ~36000 puntos de cada medicion completa.</t>
  </si>
  <si>
    <t xml:space="preserve">Configuracion y calibracion del front-end FSR</t>
  </si>
  <si>
    <t xml:space="preserve">Parametro</t>
  </si>
  <si>
    <t xml:space="preserve">Valor</t>
  </si>
  <si>
    <t xml:space="preserve">Unidad</t>
  </si>
  <si>
    <t xml:space="preserve">Descripcion</t>
  </si>
  <si>
    <t xml:space="preserve">V_REF</t>
  </si>
  <si>
    <t xml:space="preserve">V</t>
  </si>
  <si>
    <t xml:space="preserve">Tension de referencia del ADC</t>
  </si>
  <si>
    <t xml:space="preserve">V_EXC</t>
  </si>
  <si>
    <t xml:space="preserve">Tension de excitacion</t>
  </si>
  <si>
    <t xml:space="preserve">R_FEEDBACK</t>
  </si>
  <si>
    <t xml:space="preserve">ohm</t>
  </si>
  <si>
    <t xml:space="preserve">Resistencia de realimentacion</t>
  </si>
  <si>
    <t xml:space="preserve">ADC_FS</t>
  </si>
  <si>
    <t xml:space="preserve">-</t>
  </si>
  <si>
    <t xml:space="preserve">Escala completa del ADC (10 bits)</t>
  </si>
  <si>
    <t xml:space="preserve">K_G_US</t>
  </si>
  <si>
    <t xml:space="preserve">uS/cuenta</t>
  </si>
  <si>
    <t xml:space="preserve">G = ADC_RAW * K_G_US  (formula en hoja Datos)</t>
  </si>
  <si>
    <t xml:space="preserve">STEP_S</t>
  </si>
  <si>
    <t xml:space="preserve">s</t>
  </si>
  <si>
    <t xml:space="preserve">Paso de muestreo y de barrido de deltaT</t>
  </si>
  <si>
    <t xml:space="preserve">DELTA_MAX_S</t>
  </si>
  <si>
    <t xml:space="preserve">Mayor tamano de ventana barrido</t>
  </si>
  <si>
    <t xml:space="preserve">N_MUESTRAS</t>
  </si>
  <si>
    <t xml:space="preserve">Cantidad de filas de datos cargadas</t>
  </si>
  <si>
    <t xml:space="preserve">N_VENTANA</t>
  </si>
  <si>
    <t xml:space="preserve">Cant. de puntos fijos usados en cada calculo de skewness/kurtosis (ver Notas)</t>
  </si>
  <si>
    <t xml:space="preserve">Ver hoja 'Notas' para la explicacion completa de la metodologia.</t>
  </si>
  <si>
    <t xml:space="preserve">timestamp_original_s</t>
  </si>
  <si>
    <t xml:space="preserve">tiempo</t>
  </si>
  <si>
    <t xml:space="preserve">ADC_RAW</t>
  </si>
  <si>
    <t xml:space="preserve">G</t>
  </si>
  <si>
    <t xml:space="preserve">Nota</t>
  </si>
  <si>
    <t xml:space="preserve">Se usan los tiempos crudos del log (ya muestreados a ~50 ms por el firmware) sin remuestrear a grilla uniforme por interpolacion, a diferencia del script Python (procesar_presion_ventanas.py), que si interpola. Simplificacion para que las formulas de Excel sean legibles.</t>
  </si>
  <si>
    <t xml:space="preserve">Ejemplo de calculo para un deltaT elegido</t>
  </si>
  <si>
    <t xml:space="preserve">deltaT (s) -- EDITAR ESTA CELDA</t>
  </si>
  <si>
    <t xml:space="preserve">lag (muestras) = deltaT / STEP_S</t>
  </si>
  <si>
    <t xml:space="preserve">Skewness (Excel SKEW, sobre N_VENTANA puntos)</t>
  </si>
  <si>
    <t xml:space="preserve">Kurtosis (Excel KURT, exceso; Normal=0)</t>
  </si>
  <si>
    <t xml:space="preserve">Cambiando B3 (deltaT, entre 0.05 y 15 s) se recalculan B4, B6 y B7, y toda la columna de deltaG de abajo, en vivo.</t>
  </si>
  <si>
    <t xml:space="preserve">fila i</t>
  </si>
  <si>
    <t xml:space="preserve">tiempo (t)</t>
  </si>
  <si>
    <t xml:space="preserve">G(t)</t>
  </si>
  <si>
    <t xml:space="preserve">G(t - deltaT)</t>
  </si>
  <si>
    <t xml:space="preserve">deltaG = G(t) - G(t-deltaT)</t>
  </si>
  <si>
    <t xml:space="preserve">Asimetria (skewness) y curtosis totales en funcion de deltaT</t>
  </si>
  <si>
    <t xml:space="preserve">Cada fila barre un deltaT distinto (50 ms a 15 s, paso 50 ms). Para cada uno, deltaG(t) = G(t) - G(t-deltaT) se arma sobre N_VENTANA puntos fijos y SKEW()/KURT() se calculan sobre esa distribucion completa (formula matricial, recalcula solo si se edita Config o Datos).</t>
  </si>
  <si>
    <t xml:space="preserve">lag (muestras)</t>
  </si>
  <si>
    <t xml:space="preserve">deltaT (s)</t>
  </si>
  <si>
    <t xml:space="preserve">skewness</t>
  </si>
  <si>
    <t xml:space="preserve">kurtosis (exceso)</t>
  </si>
  <si>
    <t xml:space="preserve">Funcion de supervivencia de G: P(G &gt;= g)</t>
  </si>
  <si>
    <t xml:space="preserve">G_ordenado(k) = SMALL(Datos!G, k) -- el k-esimo valor mas chico de G. P_G_geq(k) = (N - k + 1) / N -- fraccion de las N muestras que son &gt;= a ese G. Graficar G_ordenado (eje X) vs. P_G_geq (eje Y, escala log) reproduce la figura de referencia P(f&gt;=F).</t>
  </si>
  <si>
    <t xml:space="preserve">k</t>
  </si>
  <si>
    <t xml:space="preserve">G_ordenado</t>
  </si>
  <si>
    <t xml:space="preserve">P_G_geq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</si>
</sst>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0"/>
    <numFmt numFmtId="167" formatCode="0.00"/>
    <numFmt numFmtId="168" formatCode="0.0000"/>
    <numFmt numFmtId="169" formatCode="0.00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Skewness y kurtosis vs. deltaT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Barrido_deltaT!C4</c:f>
              <c:strCache>
                <c:ptCount val="1"/>
                <c:pt idx="0">
                  <c:v>skewness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Barrido_deltaT!$B$5:$B$304</c:f>
              <c:strCache>
                <c:ptCount val="300"/>
                <c:pt idx="0">
                  <c:v>0.05</c:v>
                </c:pt>
                <c:pt idx="1">
                  <c:v>0.10</c:v>
                </c:pt>
                <c:pt idx="2">
                  <c:v>0.15</c:v>
                </c:pt>
                <c:pt idx="3">
                  <c:v>0.20</c:v>
                </c:pt>
                <c:pt idx="4">
                  <c:v>0.25</c:v>
                </c:pt>
                <c:pt idx="5">
                  <c:v>0.30</c:v>
                </c:pt>
                <c:pt idx="6">
                  <c:v>0.35</c:v>
                </c:pt>
                <c:pt idx="7">
                  <c:v>0.40</c:v>
                </c:pt>
                <c:pt idx="8">
                  <c:v>0.45</c:v>
                </c:pt>
                <c:pt idx="9">
                  <c:v>0.50</c:v>
                </c:pt>
                <c:pt idx="10">
                  <c:v>0.55</c:v>
                </c:pt>
                <c:pt idx="11">
                  <c:v>0.60</c:v>
                </c:pt>
                <c:pt idx="12">
                  <c:v>0.65</c:v>
                </c:pt>
                <c:pt idx="13">
                  <c:v>0.70</c:v>
                </c:pt>
                <c:pt idx="14">
                  <c:v>0.75</c:v>
                </c:pt>
                <c:pt idx="15">
                  <c:v>0.80</c:v>
                </c:pt>
                <c:pt idx="16">
                  <c:v>0.85</c:v>
                </c:pt>
                <c:pt idx="17">
                  <c:v>0.90</c:v>
                </c:pt>
                <c:pt idx="18">
                  <c:v>0.95</c:v>
                </c:pt>
                <c:pt idx="19">
                  <c:v>1.00</c:v>
                </c:pt>
                <c:pt idx="20">
                  <c:v>1.05</c:v>
                </c:pt>
                <c:pt idx="21">
                  <c:v>1.10</c:v>
                </c:pt>
                <c:pt idx="22">
                  <c:v>1.15</c:v>
                </c:pt>
                <c:pt idx="23">
                  <c:v>1.20</c:v>
                </c:pt>
                <c:pt idx="24">
                  <c:v>1.25</c:v>
                </c:pt>
                <c:pt idx="25">
                  <c:v>1.30</c:v>
                </c:pt>
                <c:pt idx="26">
                  <c:v>1.35</c:v>
                </c:pt>
                <c:pt idx="27">
                  <c:v>1.40</c:v>
                </c:pt>
                <c:pt idx="28">
                  <c:v>1.45</c:v>
                </c:pt>
                <c:pt idx="29">
                  <c:v>1.50</c:v>
                </c:pt>
                <c:pt idx="30">
                  <c:v>1.55</c:v>
                </c:pt>
                <c:pt idx="31">
                  <c:v>1.60</c:v>
                </c:pt>
                <c:pt idx="32">
                  <c:v>1.65</c:v>
                </c:pt>
                <c:pt idx="33">
                  <c:v>1.70</c:v>
                </c:pt>
                <c:pt idx="34">
                  <c:v>1.75</c:v>
                </c:pt>
                <c:pt idx="35">
                  <c:v>1.80</c:v>
                </c:pt>
                <c:pt idx="36">
                  <c:v>1.85</c:v>
                </c:pt>
                <c:pt idx="37">
                  <c:v>1.90</c:v>
                </c:pt>
                <c:pt idx="38">
                  <c:v>1.95</c:v>
                </c:pt>
                <c:pt idx="39">
                  <c:v>2.00</c:v>
                </c:pt>
                <c:pt idx="40">
                  <c:v>2.05</c:v>
                </c:pt>
                <c:pt idx="41">
                  <c:v>2.10</c:v>
                </c:pt>
                <c:pt idx="42">
                  <c:v>2.15</c:v>
                </c:pt>
                <c:pt idx="43">
                  <c:v>2.20</c:v>
                </c:pt>
                <c:pt idx="44">
                  <c:v>2.25</c:v>
                </c:pt>
                <c:pt idx="45">
                  <c:v>2.30</c:v>
                </c:pt>
                <c:pt idx="46">
                  <c:v>2.35</c:v>
                </c:pt>
                <c:pt idx="47">
                  <c:v>2.40</c:v>
                </c:pt>
                <c:pt idx="48">
                  <c:v>2.45</c:v>
                </c:pt>
                <c:pt idx="49">
                  <c:v>2.50</c:v>
                </c:pt>
                <c:pt idx="50">
                  <c:v>2.55</c:v>
                </c:pt>
                <c:pt idx="51">
                  <c:v>2.60</c:v>
                </c:pt>
                <c:pt idx="52">
                  <c:v>2.65</c:v>
                </c:pt>
                <c:pt idx="53">
                  <c:v>2.70</c:v>
                </c:pt>
                <c:pt idx="54">
                  <c:v>2.75</c:v>
                </c:pt>
                <c:pt idx="55">
                  <c:v>2.80</c:v>
                </c:pt>
                <c:pt idx="56">
                  <c:v>2.85</c:v>
                </c:pt>
                <c:pt idx="57">
                  <c:v>2.90</c:v>
                </c:pt>
                <c:pt idx="58">
                  <c:v>2.95</c:v>
                </c:pt>
                <c:pt idx="59">
                  <c:v>3.00</c:v>
                </c:pt>
                <c:pt idx="60">
                  <c:v>3.05</c:v>
                </c:pt>
                <c:pt idx="61">
                  <c:v>3.10</c:v>
                </c:pt>
                <c:pt idx="62">
                  <c:v>3.15</c:v>
                </c:pt>
                <c:pt idx="63">
                  <c:v>3.20</c:v>
                </c:pt>
                <c:pt idx="64">
                  <c:v>3.25</c:v>
                </c:pt>
                <c:pt idx="65">
                  <c:v>3.30</c:v>
                </c:pt>
                <c:pt idx="66">
                  <c:v>3.35</c:v>
                </c:pt>
                <c:pt idx="67">
                  <c:v>3.40</c:v>
                </c:pt>
                <c:pt idx="68">
                  <c:v>3.45</c:v>
                </c:pt>
                <c:pt idx="69">
                  <c:v>3.50</c:v>
                </c:pt>
                <c:pt idx="70">
                  <c:v>3.55</c:v>
                </c:pt>
                <c:pt idx="71">
                  <c:v>3.60</c:v>
                </c:pt>
                <c:pt idx="72">
                  <c:v>3.65</c:v>
                </c:pt>
                <c:pt idx="73">
                  <c:v>3.70</c:v>
                </c:pt>
                <c:pt idx="74">
                  <c:v>3.75</c:v>
                </c:pt>
                <c:pt idx="75">
                  <c:v>3.80</c:v>
                </c:pt>
                <c:pt idx="76">
                  <c:v>3.85</c:v>
                </c:pt>
                <c:pt idx="77">
                  <c:v>3.90</c:v>
                </c:pt>
                <c:pt idx="78">
                  <c:v>3.95</c:v>
                </c:pt>
                <c:pt idx="79">
                  <c:v>4.00</c:v>
                </c:pt>
                <c:pt idx="80">
                  <c:v>4.05</c:v>
                </c:pt>
                <c:pt idx="81">
                  <c:v>4.10</c:v>
                </c:pt>
                <c:pt idx="82">
                  <c:v>4.15</c:v>
                </c:pt>
                <c:pt idx="83">
                  <c:v>4.20</c:v>
                </c:pt>
                <c:pt idx="84">
                  <c:v>4.25</c:v>
                </c:pt>
                <c:pt idx="85">
                  <c:v>4.30</c:v>
                </c:pt>
                <c:pt idx="86">
                  <c:v>4.35</c:v>
                </c:pt>
                <c:pt idx="87">
                  <c:v>4.40</c:v>
                </c:pt>
                <c:pt idx="88">
                  <c:v>4.45</c:v>
                </c:pt>
                <c:pt idx="89">
                  <c:v>4.50</c:v>
                </c:pt>
                <c:pt idx="90">
                  <c:v>4.55</c:v>
                </c:pt>
                <c:pt idx="91">
                  <c:v>4.60</c:v>
                </c:pt>
                <c:pt idx="92">
                  <c:v>4.65</c:v>
                </c:pt>
                <c:pt idx="93">
                  <c:v>4.70</c:v>
                </c:pt>
                <c:pt idx="94">
                  <c:v>4.75</c:v>
                </c:pt>
                <c:pt idx="95">
                  <c:v>4.80</c:v>
                </c:pt>
                <c:pt idx="96">
                  <c:v>4.85</c:v>
                </c:pt>
                <c:pt idx="97">
                  <c:v>4.90</c:v>
                </c:pt>
                <c:pt idx="98">
                  <c:v>4.95</c:v>
                </c:pt>
                <c:pt idx="99">
                  <c:v>5.00</c:v>
                </c:pt>
                <c:pt idx="100">
                  <c:v>5.05</c:v>
                </c:pt>
                <c:pt idx="101">
                  <c:v>5.10</c:v>
                </c:pt>
                <c:pt idx="102">
                  <c:v>5.15</c:v>
                </c:pt>
                <c:pt idx="103">
                  <c:v>5.20</c:v>
                </c:pt>
                <c:pt idx="104">
                  <c:v>5.25</c:v>
                </c:pt>
                <c:pt idx="105">
                  <c:v>5.30</c:v>
                </c:pt>
                <c:pt idx="106">
                  <c:v>5.35</c:v>
                </c:pt>
                <c:pt idx="107">
                  <c:v>5.40</c:v>
                </c:pt>
                <c:pt idx="108">
                  <c:v>5.45</c:v>
                </c:pt>
                <c:pt idx="109">
                  <c:v>5.50</c:v>
                </c:pt>
                <c:pt idx="110">
                  <c:v>5.55</c:v>
                </c:pt>
                <c:pt idx="111">
                  <c:v>5.60</c:v>
                </c:pt>
                <c:pt idx="112">
                  <c:v>5.65</c:v>
                </c:pt>
                <c:pt idx="113">
                  <c:v>5.70</c:v>
                </c:pt>
                <c:pt idx="114">
                  <c:v>5.75</c:v>
                </c:pt>
                <c:pt idx="115">
                  <c:v>5.80</c:v>
                </c:pt>
                <c:pt idx="116">
                  <c:v>5.85</c:v>
                </c:pt>
                <c:pt idx="117">
                  <c:v>5.90</c:v>
                </c:pt>
                <c:pt idx="118">
                  <c:v>5.95</c:v>
                </c:pt>
                <c:pt idx="119">
                  <c:v>6.00</c:v>
                </c:pt>
                <c:pt idx="120">
                  <c:v>6.05</c:v>
                </c:pt>
                <c:pt idx="121">
                  <c:v>6.10</c:v>
                </c:pt>
                <c:pt idx="122">
                  <c:v>6.15</c:v>
                </c:pt>
                <c:pt idx="123">
                  <c:v>6.20</c:v>
                </c:pt>
                <c:pt idx="124">
                  <c:v>6.25</c:v>
                </c:pt>
                <c:pt idx="125">
                  <c:v>6.30</c:v>
                </c:pt>
                <c:pt idx="126">
                  <c:v>6.35</c:v>
                </c:pt>
                <c:pt idx="127">
                  <c:v>6.40</c:v>
                </c:pt>
                <c:pt idx="128">
                  <c:v>6.45</c:v>
                </c:pt>
                <c:pt idx="129">
                  <c:v>6.50</c:v>
                </c:pt>
                <c:pt idx="130">
                  <c:v>6.55</c:v>
                </c:pt>
                <c:pt idx="131">
                  <c:v>6.60</c:v>
                </c:pt>
                <c:pt idx="132">
                  <c:v>6.65</c:v>
                </c:pt>
                <c:pt idx="133">
                  <c:v>6.70</c:v>
                </c:pt>
                <c:pt idx="134">
                  <c:v>6.75</c:v>
                </c:pt>
                <c:pt idx="135">
                  <c:v>6.80</c:v>
                </c:pt>
                <c:pt idx="136">
                  <c:v>6.85</c:v>
                </c:pt>
                <c:pt idx="137">
                  <c:v>6.90</c:v>
                </c:pt>
                <c:pt idx="138">
                  <c:v>6.95</c:v>
                </c:pt>
                <c:pt idx="139">
                  <c:v>7.00</c:v>
                </c:pt>
                <c:pt idx="140">
                  <c:v>7.05</c:v>
                </c:pt>
                <c:pt idx="141">
                  <c:v>7.10</c:v>
                </c:pt>
                <c:pt idx="142">
                  <c:v>7.15</c:v>
                </c:pt>
                <c:pt idx="143">
                  <c:v>7.20</c:v>
                </c:pt>
                <c:pt idx="144">
                  <c:v>7.25</c:v>
                </c:pt>
                <c:pt idx="145">
                  <c:v>7.30</c:v>
                </c:pt>
                <c:pt idx="146">
                  <c:v>7.35</c:v>
                </c:pt>
                <c:pt idx="147">
                  <c:v>7.40</c:v>
                </c:pt>
                <c:pt idx="148">
                  <c:v>7.45</c:v>
                </c:pt>
                <c:pt idx="149">
                  <c:v>7.50</c:v>
                </c:pt>
                <c:pt idx="150">
                  <c:v>7.55</c:v>
                </c:pt>
                <c:pt idx="151">
                  <c:v>7.60</c:v>
                </c:pt>
                <c:pt idx="152">
                  <c:v>7.65</c:v>
                </c:pt>
                <c:pt idx="153">
                  <c:v>7.70</c:v>
                </c:pt>
                <c:pt idx="154">
                  <c:v>7.75</c:v>
                </c:pt>
                <c:pt idx="155">
                  <c:v>7.80</c:v>
                </c:pt>
                <c:pt idx="156">
                  <c:v>7.85</c:v>
                </c:pt>
                <c:pt idx="157">
                  <c:v>7.90</c:v>
                </c:pt>
                <c:pt idx="158">
                  <c:v>7.95</c:v>
                </c:pt>
                <c:pt idx="159">
                  <c:v>8.00</c:v>
                </c:pt>
                <c:pt idx="160">
                  <c:v>8.05</c:v>
                </c:pt>
                <c:pt idx="161">
                  <c:v>8.10</c:v>
                </c:pt>
                <c:pt idx="162">
                  <c:v>8.15</c:v>
                </c:pt>
                <c:pt idx="163">
                  <c:v>8.20</c:v>
                </c:pt>
                <c:pt idx="164">
                  <c:v>8.25</c:v>
                </c:pt>
                <c:pt idx="165">
                  <c:v>8.30</c:v>
                </c:pt>
                <c:pt idx="166">
                  <c:v>8.35</c:v>
                </c:pt>
                <c:pt idx="167">
                  <c:v>8.40</c:v>
                </c:pt>
                <c:pt idx="168">
                  <c:v>8.45</c:v>
                </c:pt>
                <c:pt idx="169">
                  <c:v>8.50</c:v>
                </c:pt>
                <c:pt idx="170">
                  <c:v>8.55</c:v>
                </c:pt>
                <c:pt idx="171">
                  <c:v>8.60</c:v>
                </c:pt>
                <c:pt idx="172">
                  <c:v>8.65</c:v>
                </c:pt>
                <c:pt idx="173">
                  <c:v>8.70</c:v>
                </c:pt>
                <c:pt idx="174">
                  <c:v>8.75</c:v>
                </c:pt>
                <c:pt idx="175">
                  <c:v>8.80</c:v>
                </c:pt>
                <c:pt idx="176">
                  <c:v>8.85</c:v>
                </c:pt>
                <c:pt idx="177">
                  <c:v>8.90</c:v>
                </c:pt>
                <c:pt idx="178">
                  <c:v>8.95</c:v>
                </c:pt>
                <c:pt idx="179">
                  <c:v>9.00</c:v>
                </c:pt>
                <c:pt idx="180">
                  <c:v>9.05</c:v>
                </c:pt>
                <c:pt idx="181">
                  <c:v>9.10</c:v>
                </c:pt>
                <c:pt idx="182">
                  <c:v>9.15</c:v>
                </c:pt>
                <c:pt idx="183">
                  <c:v>9.20</c:v>
                </c:pt>
                <c:pt idx="184">
                  <c:v>9.25</c:v>
                </c:pt>
                <c:pt idx="185">
                  <c:v>9.30</c:v>
                </c:pt>
                <c:pt idx="186">
                  <c:v>9.35</c:v>
                </c:pt>
                <c:pt idx="187">
                  <c:v>9.40</c:v>
                </c:pt>
                <c:pt idx="188">
                  <c:v>9.45</c:v>
                </c:pt>
                <c:pt idx="189">
                  <c:v>9.50</c:v>
                </c:pt>
                <c:pt idx="190">
                  <c:v>9.55</c:v>
                </c:pt>
                <c:pt idx="191">
                  <c:v>9.60</c:v>
                </c:pt>
                <c:pt idx="192">
                  <c:v>9.65</c:v>
                </c:pt>
                <c:pt idx="193">
                  <c:v>9.70</c:v>
                </c:pt>
                <c:pt idx="194">
                  <c:v>9.75</c:v>
                </c:pt>
                <c:pt idx="195">
                  <c:v>9.80</c:v>
                </c:pt>
                <c:pt idx="196">
                  <c:v>9.85</c:v>
                </c:pt>
                <c:pt idx="197">
                  <c:v>9.90</c:v>
                </c:pt>
                <c:pt idx="198">
                  <c:v>9.95</c:v>
                </c:pt>
                <c:pt idx="199">
                  <c:v>10.00</c:v>
                </c:pt>
                <c:pt idx="200">
                  <c:v>10.05</c:v>
                </c:pt>
                <c:pt idx="201">
                  <c:v>10.10</c:v>
                </c:pt>
                <c:pt idx="202">
                  <c:v>10.15</c:v>
                </c:pt>
                <c:pt idx="203">
                  <c:v>10.20</c:v>
                </c:pt>
                <c:pt idx="204">
                  <c:v>10.25</c:v>
                </c:pt>
                <c:pt idx="205">
                  <c:v>10.30</c:v>
                </c:pt>
                <c:pt idx="206">
                  <c:v>10.35</c:v>
                </c:pt>
                <c:pt idx="207">
                  <c:v>10.40</c:v>
                </c:pt>
                <c:pt idx="208">
                  <c:v>10.45</c:v>
                </c:pt>
                <c:pt idx="209">
                  <c:v>10.50</c:v>
                </c:pt>
                <c:pt idx="210">
                  <c:v>10.55</c:v>
                </c:pt>
                <c:pt idx="211">
                  <c:v>10.60</c:v>
                </c:pt>
                <c:pt idx="212">
                  <c:v>10.65</c:v>
                </c:pt>
                <c:pt idx="213">
                  <c:v>10.70</c:v>
                </c:pt>
                <c:pt idx="214">
                  <c:v>10.75</c:v>
                </c:pt>
                <c:pt idx="215">
                  <c:v>10.80</c:v>
                </c:pt>
                <c:pt idx="216">
                  <c:v>10.85</c:v>
                </c:pt>
                <c:pt idx="217">
                  <c:v>10.90</c:v>
                </c:pt>
                <c:pt idx="218">
                  <c:v>10.95</c:v>
                </c:pt>
                <c:pt idx="219">
                  <c:v>11.00</c:v>
                </c:pt>
                <c:pt idx="220">
                  <c:v>11.05</c:v>
                </c:pt>
                <c:pt idx="221">
                  <c:v>11.10</c:v>
                </c:pt>
                <c:pt idx="222">
                  <c:v>11.15</c:v>
                </c:pt>
                <c:pt idx="223">
                  <c:v>11.20</c:v>
                </c:pt>
                <c:pt idx="224">
                  <c:v>11.25</c:v>
                </c:pt>
                <c:pt idx="225">
                  <c:v>11.30</c:v>
                </c:pt>
                <c:pt idx="226">
                  <c:v>11.35</c:v>
                </c:pt>
                <c:pt idx="227">
                  <c:v>11.40</c:v>
                </c:pt>
                <c:pt idx="228">
                  <c:v>11.45</c:v>
                </c:pt>
                <c:pt idx="229">
                  <c:v>11.50</c:v>
                </c:pt>
                <c:pt idx="230">
                  <c:v>11.55</c:v>
                </c:pt>
                <c:pt idx="231">
                  <c:v>11.60</c:v>
                </c:pt>
                <c:pt idx="232">
                  <c:v>11.65</c:v>
                </c:pt>
                <c:pt idx="233">
                  <c:v>11.70</c:v>
                </c:pt>
                <c:pt idx="234">
                  <c:v>11.75</c:v>
                </c:pt>
                <c:pt idx="235">
                  <c:v>11.80</c:v>
                </c:pt>
                <c:pt idx="236">
                  <c:v>11.85</c:v>
                </c:pt>
                <c:pt idx="237">
                  <c:v>11.90</c:v>
                </c:pt>
                <c:pt idx="238">
                  <c:v>11.95</c:v>
                </c:pt>
                <c:pt idx="239">
                  <c:v>12.00</c:v>
                </c:pt>
                <c:pt idx="240">
                  <c:v>12.05</c:v>
                </c:pt>
                <c:pt idx="241">
                  <c:v>12.10</c:v>
                </c:pt>
                <c:pt idx="242">
                  <c:v>12.15</c:v>
                </c:pt>
                <c:pt idx="243">
                  <c:v>12.20</c:v>
                </c:pt>
                <c:pt idx="244">
                  <c:v>12.25</c:v>
                </c:pt>
                <c:pt idx="245">
                  <c:v>12.30</c:v>
                </c:pt>
                <c:pt idx="246">
                  <c:v>12.35</c:v>
                </c:pt>
                <c:pt idx="247">
                  <c:v>12.40</c:v>
                </c:pt>
                <c:pt idx="248">
                  <c:v>12.45</c:v>
                </c:pt>
                <c:pt idx="249">
                  <c:v>12.50</c:v>
                </c:pt>
                <c:pt idx="250">
                  <c:v>12.55</c:v>
                </c:pt>
                <c:pt idx="251">
                  <c:v>12.60</c:v>
                </c:pt>
                <c:pt idx="252">
                  <c:v>12.65</c:v>
                </c:pt>
                <c:pt idx="253">
                  <c:v>12.70</c:v>
                </c:pt>
                <c:pt idx="254">
                  <c:v>12.75</c:v>
                </c:pt>
                <c:pt idx="255">
                  <c:v>12.80</c:v>
                </c:pt>
                <c:pt idx="256">
                  <c:v>12.85</c:v>
                </c:pt>
                <c:pt idx="257">
                  <c:v>12.90</c:v>
                </c:pt>
                <c:pt idx="258">
                  <c:v>12.95</c:v>
                </c:pt>
                <c:pt idx="259">
                  <c:v>13.00</c:v>
                </c:pt>
                <c:pt idx="260">
                  <c:v>13.05</c:v>
                </c:pt>
                <c:pt idx="261">
                  <c:v>13.10</c:v>
                </c:pt>
                <c:pt idx="262">
                  <c:v>13.15</c:v>
                </c:pt>
                <c:pt idx="263">
                  <c:v>13.20</c:v>
                </c:pt>
                <c:pt idx="264">
                  <c:v>13.25</c:v>
                </c:pt>
                <c:pt idx="265">
                  <c:v>13.30</c:v>
                </c:pt>
                <c:pt idx="266">
                  <c:v>13.35</c:v>
                </c:pt>
                <c:pt idx="267">
                  <c:v>13.40</c:v>
                </c:pt>
                <c:pt idx="268">
                  <c:v>13.45</c:v>
                </c:pt>
                <c:pt idx="269">
                  <c:v>13.50</c:v>
                </c:pt>
                <c:pt idx="270">
                  <c:v>13.55</c:v>
                </c:pt>
                <c:pt idx="271">
                  <c:v>13.60</c:v>
                </c:pt>
                <c:pt idx="272">
                  <c:v>13.65</c:v>
                </c:pt>
                <c:pt idx="273">
                  <c:v>13.70</c:v>
                </c:pt>
                <c:pt idx="274">
                  <c:v>13.75</c:v>
                </c:pt>
                <c:pt idx="275">
                  <c:v>13.80</c:v>
                </c:pt>
                <c:pt idx="276">
                  <c:v>13.85</c:v>
                </c:pt>
                <c:pt idx="277">
                  <c:v>13.90</c:v>
                </c:pt>
                <c:pt idx="278">
                  <c:v>13.95</c:v>
                </c:pt>
                <c:pt idx="279">
                  <c:v>14.00</c:v>
                </c:pt>
                <c:pt idx="280">
                  <c:v>14.05</c:v>
                </c:pt>
                <c:pt idx="281">
                  <c:v>14.10</c:v>
                </c:pt>
                <c:pt idx="282">
                  <c:v>14.15</c:v>
                </c:pt>
                <c:pt idx="283">
                  <c:v>14.20</c:v>
                </c:pt>
                <c:pt idx="284">
                  <c:v>14.25</c:v>
                </c:pt>
                <c:pt idx="285">
                  <c:v>14.30</c:v>
                </c:pt>
                <c:pt idx="286">
                  <c:v>14.35</c:v>
                </c:pt>
                <c:pt idx="287">
                  <c:v>14.40</c:v>
                </c:pt>
                <c:pt idx="288">
                  <c:v>14.45</c:v>
                </c:pt>
                <c:pt idx="289">
                  <c:v>14.50</c:v>
                </c:pt>
                <c:pt idx="290">
                  <c:v>14.55</c:v>
                </c:pt>
                <c:pt idx="291">
                  <c:v>14.60</c:v>
                </c:pt>
                <c:pt idx="292">
                  <c:v>14.65</c:v>
                </c:pt>
                <c:pt idx="293">
                  <c:v>14.70</c:v>
                </c:pt>
                <c:pt idx="294">
                  <c:v>14.75</c:v>
                </c:pt>
                <c:pt idx="295">
                  <c:v>14.80</c:v>
                </c:pt>
                <c:pt idx="296">
                  <c:v>14.85</c:v>
                </c:pt>
                <c:pt idx="297">
                  <c:v>14.90</c:v>
                </c:pt>
                <c:pt idx="298">
                  <c:v>14.95</c:v>
                </c:pt>
                <c:pt idx="299">
                  <c:v>15.00</c:v>
                </c:pt>
              </c:strCache>
            </c:strRef>
          </c:cat>
          <c:val>
            <c:numRef>
              <c:f>Barrido_deltaT!$C$5:$C$304</c:f>
              <c:numCache>
                <c:formatCode>0.0000</c:formatCode>
                <c:ptCount val="300"/>
                <c:pt idx="0">
                  <c:v>-0.225221261995863</c:v>
                </c:pt>
                <c:pt idx="1">
                  <c:v>-0.0373584171098022</c:v>
                </c:pt>
                <c:pt idx="2">
                  <c:v>0.05847540249735</c:v>
                </c:pt>
                <c:pt idx="3">
                  <c:v>-0.136484789420532</c:v>
                </c:pt>
                <c:pt idx="4">
                  <c:v>-0.0032788324561879</c:v>
                </c:pt>
                <c:pt idx="5">
                  <c:v>-0.0476342388717855</c:v>
                </c:pt>
                <c:pt idx="6">
                  <c:v>-0.0751571411233504</c:v>
                </c:pt>
                <c:pt idx="7">
                  <c:v>0.0949311417329026</c:v>
                </c:pt>
                <c:pt idx="8">
                  <c:v>0.0967614024453536</c:v>
                </c:pt>
                <c:pt idx="9">
                  <c:v>0.00240208195964785</c:v>
                </c:pt>
                <c:pt idx="10">
                  <c:v>0.0839305552359688</c:v>
                </c:pt>
                <c:pt idx="11">
                  <c:v>0.118325944661654</c:v>
                </c:pt>
                <c:pt idx="12">
                  <c:v>-0.0620898328055381</c:v>
                </c:pt>
                <c:pt idx="13">
                  <c:v>0.0444420109183612</c:v>
                </c:pt>
                <c:pt idx="14">
                  <c:v>0.0250819907929559</c:v>
                </c:pt>
                <c:pt idx="15">
                  <c:v>0.0946432135417489</c:v>
                </c:pt>
                <c:pt idx="16">
                  <c:v>0.0621772882183717</c:v>
                </c:pt>
                <c:pt idx="17">
                  <c:v>0.0735084821848743</c:v>
                </c:pt>
                <c:pt idx="18">
                  <c:v>0.0072167109035087</c:v>
                </c:pt>
                <c:pt idx="19">
                  <c:v>0.0790055164054775</c:v>
                </c:pt>
                <c:pt idx="20">
                  <c:v>0.202127097059242</c:v>
                </c:pt>
                <c:pt idx="21">
                  <c:v>0.0629787189352284</c:v>
                </c:pt>
                <c:pt idx="22">
                  <c:v>0.18364403447408</c:v>
                </c:pt>
                <c:pt idx="23">
                  <c:v>0.179987011165974</c:v>
                </c:pt>
                <c:pt idx="24">
                  <c:v>0.16265385774859</c:v>
                </c:pt>
                <c:pt idx="25">
                  <c:v>0.191620567579518</c:v>
                </c:pt>
                <c:pt idx="26">
                  <c:v>0.155002074756955</c:v>
                </c:pt>
                <c:pt idx="27">
                  <c:v>0.214882169382908</c:v>
                </c:pt>
                <c:pt idx="28">
                  <c:v>0.130857536800362</c:v>
                </c:pt>
                <c:pt idx="29">
                  <c:v>0.227090152625378</c:v>
                </c:pt>
                <c:pt idx="30">
                  <c:v>0.185341056436058</c:v>
                </c:pt>
                <c:pt idx="31">
                  <c:v>0.228859575152538</c:v>
                </c:pt>
                <c:pt idx="32">
                  <c:v>0.249537654175311</c:v>
                </c:pt>
                <c:pt idx="33">
                  <c:v>0.222873012971767</c:v>
                </c:pt>
                <c:pt idx="34">
                  <c:v>0.159223236590246</c:v>
                </c:pt>
                <c:pt idx="35">
                  <c:v>0.259642248954897</c:v>
                </c:pt>
                <c:pt idx="36">
                  <c:v>0.252826098537431</c:v>
                </c:pt>
                <c:pt idx="37">
                  <c:v>0.25625455875886</c:v>
                </c:pt>
                <c:pt idx="38">
                  <c:v>0.248077623112175</c:v>
                </c:pt>
                <c:pt idx="39">
                  <c:v>0.178767714752338</c:v>
                </c:pt>
                <c:pt idx="40">
                  <c:v>0.239207497726052</c:v>
                </c:pt>
                <c:pt idx="41">
                  <c:v>0.237174082569478</c:v>
                </c:pt>
                <c:pt idx="42">
                  <c:v>0.208653613424902</c:v>
                </c:pt>
                <c:pt idx="43">
                  <c:v>0.156890899526125</c:v>
                </c:pt>
                <c:pt idx="44">
                  <c:v>0.222391003874595</c:v>
                </c:pt>
                <c:pt idx="45">
                  <c:v>0.189485879079245</c:v>
                </c:pt>
                <c:pt idx="46">
                  <c:v>0.191952115559423</c:v>
                </c:pt>
                <c:pt idx="47">
                  <c:v>0.235914978779703</c:v>
                </c:pt>
                <c:pt idx="48">
                  <c:v>0.255089814989044</c:v>
                </c:pt>
                <c:pt idx="49">
                  <c:v>0.286266942290905</c:v>
                </c:pt>
                <c:pt idx="50">
                  <c:v>0.262486210577485</c:v>
                </c:pt>
                <c:pt idx="51">
                  <c:v>0.241604281701263</c:v>
                </c:pt>
                <c:pt idx="52">
                  <c:v>0.177800443907729</c:v>
                </c:pt>
                <c:pt idx="53">
                  <c:v>0.201051232835496</c:v>
                </c:pt>
                <c:pt idx="54">
                  <c:v>0.241947005282601</c:v>
                </c:pt>
                <c:pt idx="55">
                  <c:v>0.187362819996414</c:v>
                </c:pt>
                <c:pt idx="56">
                  <c:v>0.199177215769623</c:v>
                </c:pt>
                <c:pt idx="57">
                  <c:v>0.188416166968864</c:v>
                </c:pt>
                <c:pt idx="58">
                  <c:v>0.231571476917024</c:v>
                </c:pt>
                <c:pt idx="59">
                  <c:v>0.22640730933109</c:v>
                </c:pt>
                <c:pt idx="60">
                  <c:v>0.173331780012688</c:v>
                </c:pt>
                <c:pt idx="61">
                  <c:v>0.172481587659491</c:v>
                </c:pt>
                <c:pt idx="62">
                  <c:v>0.18029388832701</c:v>
                </c:pt>
                <c:pt idx="63">
                  <c:v>0.197521420144076</c:v>
                </c:pt>
                <c:pt idx="64">
                  <c:v>0.154488162982858</c:v>
                </c:pt>
                <c:pt idx="65">
                  <c:v>0.18439295147266</c:v>
                </c:pt>
                <c:pt idx="66">
                  <c:v>0.183963273674446</c:v>
                </c:pt>
                <c:pt idx="67">
                  <c:v>0.191696406112149</c:v>
                </c:pt>
                <c:pt idx="68">
                  <c:v>0.178117740186891</c:v>
                </c:pt>
                <c:pt idx="69">
                  <c:v>0.14551129717072</c:v>
                </c:pt>
                <c:pt idx="70">
                  <c:v>0.207658581578419</c:v>
                </c:pt>
                <c:pt idx="71">
                  <c:v>0.215465851244584</c:v>
                </c:pt>
                <c:pt idx="72">
                  <c:v>0.213909718300987</c:v>
                </c:pt>
                <c:pt idx="73">
                  <c:v>0.130787654722019</c:v>
                </c:pt>
                <c:pt idx="74">
                  <c:v>0.163928306954118</c:v>
                </c:pt>
                <c:pt idx="75">
                  <c:v>0.17664911859589</c:v>
                </c:pt>
                <c:pt idx="76">
                  <c:v>0.16582522344624</c:v>
                </c:pt>
                <c:pt idx="77">
                  <c:v>0.223425602335464</c:v>
                </c:pt>
                <c:pt idx="78">
                  <c:v>0.132305431764729</c:v>
                </c:pt>
                <c:pt idx="79">
                  <c:v>0.148146703357296</c:v>
                </c:pt>
                <c:pt idx="80">
                  <c:v>0.153389919937485</c:v>
                </c:pt>
                <c:pt idx="81">
                  <c:v>0.113260450645565</c:v>
                </c:pt>
                <c:pt idx="82">
                  <c:v>0.0870627718843412</c:v>
                </c:pt>
                <c:pt idx="83">
                  <c:v>0.104283897271834</c:v>
                </c:pt>
                <c:pt idx="84">
                  <c:v>0.122090102685232</c:v>
                </c:pt>
                <c:pt idx="85">
                  <c:v>0.085241743100864</c:v>
                </c:pt>
                <c:pt idx="86">
                  <c:v>0.0680952550812079</c:v>
                </c:pt>
                <c:pt idx="87">
                  <c:v>0.0583063684663313</c:v>
                </c:pt>
                <c:pt idx="88">
                  <c:v>0.0852066036587407</c:v>
                </c:pt>
                <c:pt idx="89">
                  <c:v>0.0566463156836092</c:v>
                </c:pt>
                <c:pt idx="90">
                  <c:v>0.0416598576614533</c:v>
                </c:pt>
                <c:pt idx="91">
                  <c:v>0.0705753549089297</c:v>
                </c:pt>
                <c:pt idx="92">
                  <c:v>0.0652139446185529</c:v>
                </c:pt>
                <c:pt idx="93">
                  <c:v>0.0893982745748761</c:v>
                </c:pt>
                <c:pt idx="94">
                  <c:v>0.0186367104685477</c:v>
                </c:pt>
                <c:pt idx="95">
                  <c:v>0.0371889710829002</c:v>
                </c:pt>
                <c:pt idx="96">
                  <c:v>0.030766069368896</c:v>
                </c:pt>
                <c:pt idx="97">
                  <c:v>0.074535607676976</c:v>
                </c:pt>
                <c:pt idx="98">
                  <c:v>0.0489983345471785</c:v>
                </c:pt>
                <c:pt idx="99">
                  <c:v>0.0215653220929295</c:v>
                </c:pt>
                <c:pt idx="100">
                  <c:v>0.0569642964210303</c:v>
                </c:pt>
                <c:pt idx="101">
                  <c:v>0.0274784306402909</c:v>
                </c:pt>
                <c:pt idx="102">
                  <c:v>0.0383806711402994</c:v>
                </c:pt>
                <c:pt idx="103">
                  <c:v>0.0241272860502335</c:v>
                </c:pt>
                <c:pt idx="104">
                  <c:v>0.0833287930250272</c:v>
                </c:pt>
                <c:pt idx="105">
                  <c:v>0.0790910699514479</c:v>
                </c:pt>
                <c:pt idx="106">
                  <c:v>0.0594379644450284</c:v>
                </c:pt>
                <c:pt idx="107">
                  <c:v>0.0466813033097644</c:v>
                </c:pt>
                <c:pt idx="108">
                  <c:v>0.0173284074122874</c:v>
                </c:pt>
                <c:pt idx="109">
                  <c:v>0.068924974392452</c:v>
                </c:pt>
                <c:pt idx="110">
                  <c:v>0.0147828608233284</c:v>
                </c:pt>
                <c:pt idx="111">
                  <c:v>0.000248177916748951</c:v>
                </c:pt>
                <c:pt idx="112">
                  <c:v>0.026744445778054</c:v>
                </c:pt>
                <c:pt idx="113">
                  <c:v>0.0261226412776025</c:v>
                </c:pt>
                <c:pt idx="114">
                  <c:v>0.0286144961475005</c:v>
                </c:pt>
                <c:pt idx="115">
                  <c:v>0.0226452863357902</c:v>
                </c:pt>
                <c:pt idx="116">
                  <c:v>0.0306525888185429</c:v>
                </c:pt>
                <c:pt idx="117">
                  <c:v>0.0209042773627797</c:v>
                </c:pt>
                <c:pt idx="118">
                  <c:v>0.0323229103212076</c:v>
                </c:pt>
                <c:pt idx="119">
                  <c:v>0.034178160498662</c:v>
                </c:pt>
                <c:pt idx="120">
                  <c:v>0.0335156249571943</c:v>
                </c:pt>
                <c:pt idx="121">
                  <c:v>0.038565094045524</c:v>
                </c:pt>
                <c:pt idx="122">
                  <c:v>0.000633890998677663</c:v>
                </c:pt>
                <c:pt idx="123">
                  <c:v>0.0273676815329468</c:v>
                </c:pt>
                <c:pt idx="124">
                  <c:v>-0.0144995022130017</c:v>
                </c:pt>
                <c:pt idx="125">
                  <c:v>0.0441058639189546</c:v>
                </c:pt>
                <c:pt idx="126">
                  <c:v>0.0292660893969807</c:v>
                </c:pt>
                <c:pt idx="127">
                  <c:v>0.0167865575932389</c:v>
                </c:pt>
                <c:pt idx="128">
                  <c:v>0.0112200515518677</c:v>
                </c:pt>
                <c:pt idx="129">
                  <c:v>-0.0138499886569202</c:v>
                </c:pt>
                <c:pt idx="130">
                  <c:v>0.040695815762362</c:v>
                </c:pt>
                <c:pt idx="131">
                  <c:v>0.030283928869534</c:v>
                </c:pt>
                <c:pt idx="132">
                  <c:v>0.0336960801754567</c:v>
                </c:pt>
                <c:pt idx="133">
                  <c:v>0.0154586767380429</c:v>
                </c:pt>
                <c:pt idx="134">
                  <c:v>0.00751730636844054</c:v>
                </c:pt>
                <c:pt idx="135">
                  <c:v>0.0267467131547053</c:v>
                </c:pt>
                <c:pt idx="136">
                  <c:v>0.00614810126183528</c:v>
                </c:pt>
                <c:pt idx="137">
                  <c:v>0.0120412447812551</c:v>
                </c:pt>
                <c:pt idx="138">
                  <c:v>0.0143657383726242</c:v>
                </c:pt>
                <c:pt idx="139">
                  <c:v>-0.0103929471903776</c:v>
                </c:pt>
                <c:pt idx="140">
                  <c:v>0.00177397015809989</c:v>
                </c:pt>
                <c:pt idx="141">
                  <c:v>0.0337069934564333</c:v>
                </c:pt>
                <c:pt idx="142">
                  <c:v>0.0357568282186724</c:v>
                </c:pt>
                <c:pt idx="143">
                  <c:v>0.0319654290331024</c:v>
                </c:pt>
                <c:pt idx="144">
                  <c:v>0.000888631759338148</c:v>
                </c:pt>
                <c:pt idx="145">
                  <c:v>0.020465248278028</c:v>
                </c:pt>
                <c:pt idx="146">
                  <c:v>0.0417358530797768</c:v>
                </c:pt>
                <c:pt idx="147">
                  <c:v>0.0653742799398429</c:v>
                </c:pt>
                <c:pt idx="148">
                  <c:v>0.0521503964448262</c:v>
                </c:pt>
                <c:pt idx="149">
                  <c:v>0.0214436614681483</c:v>
                </c:pt>
                <c:pt idx="150">
                  <c:v>0.0505232565672169</c:v>
                </c:pt>
                <c:pt idx="151">
                  <c:v>0.0388439845892055</c:v>
                </c:pt>
                <c:pt idx="152">
                  <c:v>0.0271498828669573</c:v>
                </c:pt>
                <c:pt idx="153">
                  <c:v>0.036654083145491</c:v>
                </c:pt>
                <c:pt idx="154">
                  <c:v>0.117272746506878</c:v>
                </c:pt>
                <c:pt idx="155">
                  <c:v>0.117892061264643</c:v>
                </c:pt>
                <c:pt idx="156">
                  <c:v>0.0809485724207475</c:v>
                </c:pt>
                <c:pt idx="157">
                  <c:v>0.0519176708927153</c:v>
                </c:pt>
                <c:pt idx="158">
                  <c:v>0.121540301578638</c:v>
                </c:pt>
                <c:pt idx="159">
                  <c:v>0.110833856649352</c:v>
                </c:pt>
                <c:pt idx="160">
                  <c:v>0.0855313825150028</c:v>
                </c:pt>
                <c:pt idx="161">
                  <c:v>0.0749010274609508</c:v>
                </c:pt>
                <c:pt idx="162">
                  <c:v>0.127959548884746</c:v>
                </c:pt>
                <c:pt idx="163">
                  <c:v>0.131208871346908</c:v>
                </c:pt>
                <c:pt idx="164">
                  <c:v>0.139043842601516</c:v>
                </c:pt>
                <c:pt idx="165">
                  <c:v>0.124696748687001</c:v>
                </c:pt>
                <c:pt idx="166">
                  <c:v>0.11812153132133</c:v>
                </c:pt>
                <c:pt idx="167">
                  <c:v>0.151899485159803</c:v>
                </c:pt>
                <c:pt idx="168">
                  <c:v>0.140261603137715</c:v>
                </c:pt>
                <c:pt idx="169">
                  <c:v>0.141496869095414</c:v>
                </c:pt>
                <c:pt idx="170">
                  <c:v>0.173627112522805</c:v>
                </c:pt>
                <c:pt idx="171">
                  <c:v>0.170459135399479</c:v>
                </c:pt>
                <c:pt idx="172">
                  <c:v>0.21022356302487</c:v>
                </c:pt>
                <c:pt idx="173">
                  <c:v>0.149928029969339</c:v>
                </c:pt>
                <c:pt idx="174">
                  <c:v>0.179693606712095</c:v>
                </c:pt>
                <c:pt idx="175">
                  <c:v>0.174110656761351</c:v>
                </c:pt>
                <c:pt idx="176">
                  <c:v>0.217411806662797</c:v>
                </c:pt>
                <c:pt idx="177">
                  <c:v>0.209461231022398</c:v>
                </c:pt>
                <c:pt idx="178">
                  <c:v>0.163728815183108</c:v>
                </c:pt>
                <c:pt idx="179">
                  <c:v>0.247670913604682</c:v>
                </c:pt>
                <c:pt idx="180">
                  <c:v>0.240126965985944</c:v>
                </c:pt>
                <c:pt idx="181">
                  <c:v>0.185972527368927</c:v>
                </c:pt>
                <c:pt idx="182">
                  <c:v>0.231793738511607</c:v>
                </c:pt>
                <c:pt idx="183">
                  <c:v>0.231321721589488</c:v>
                </c:pt>
                <c:pt idx="184">
                  <c:v>0.229599004693196</c:v>
                </c:pt>
                <c:pt idx="185">
                  <c:v>0.256635364188702</c:v>
                </c:pt>
                <c:pt idx="186">
                  <c:v>0.254016348342274</c:v>
                </c:pt>
                <c:pt idx="187">
                  <c:v>0.269908578248291</c:v>
                </c:pt>
                <c:pt idx="188">
                  <c:v>0.25172542431581</c:v>
                </c:pt>
                <c:pt idx="189">
                  <c:v>0.221673079630979</c:v>
                </c:pt>
                <c:pt idx="190">
                  <c:v>0.231706273295529</c:v>
                </c:pt>
                <c:pt idx="191">
                  <c:v>0.237216549856563</c:v>
                </c:pt>
                <c:pt idx="192">
                  <c:v>0.267677766700056</c:v>
                </c:pt>
                <c:pt idx="193">
                  <c:v>0.242637240523173</c:v>
                </c:pt>
                <c:pt idx="194">
                  <c:v>0.300497494208747</c:v>
                </c:pt>
                <c:pt idx="195">
                  <c:v>0.281206220053306</c:v>
                </c:pt>
                <c:pt idx="196">
                  <c:v>0.24296589474339</c:v>
                </c:pt>
                <c:pt idx="197">
                  <c:v>0.285638755254429</c:v>
                </c:pt>
                <c:pt idx="198">
                  <c:v>0.286667699017326</c:v>
                </c:pt>
                <c:pt idx="199">
                  <c:v>0.257226499514147</c:v>
                </c:pt>
                <c:pt idx="200">
                  <c:v>0.311554170612215</c:v>
                </c:pt>
                <c:pt idx="201">
                  <c:v>0.278243324972222</c:v>
                </c:pt>
                <c:pt idx="202">
                  <c:v>0.277942662343505</c:v>
                </c:pt>
                <c:pt idx="203">
                  <c:v>0.295311633045691</c:v>
                </c:pt>
                <c:pt idx="204">
                  <c:v>0.297734951632691</c:v>
                </c:pt>
                <c:pt idx="205">
                  <c:v>0.287807993668551</c:v>
                </c:pt>
                <c:pt idx="206">
                  <c:v>0.283929459914571</c:v>
                </c:pt>
                <c:pt idx="207">
                  <c:v>0.298767864241058</c:v>
                </c:pt>
                <c:pt idx="208">
                  <c:v>0.293477539230344</c:v>
                </c:pt>
                <c:pt idx="209">
                  <c:v>0.339543723966515</c:v>
                </c:pt>
                <c:pt idx="210">
                  <c:v>0.306452025981523</c:v>
                </c:pt>
                <c:pt idx="211">
                  <c:v>0.30022256408371</c:v>
                </c:pt>
                <c:pt idx="212">
                  <c:v>0.311632425496152</c:v>
                </c:pt>
                <c:pt idx="213">
                  <c:v>0.305731077959094</c:v>
                </c:pt>
                <c:pt idx="214">
                  <c:v>0.318028218888505</c:v>
                </c:pt>
                <c:pt idx="215">
                  <c:v>0.360901651249591</c:v>
                </c:pt>
                <c:pt idx="216">
                  <c:v>0.364231875743708</c:v>
                </c:pt>
                <c:pt idx="217">
                  <c:v>0.339991063019927</c:v>
                </c:pt>
                <c:pt idx="218">
                  <c:v>0.366979864159685</c:v>
                </c:pt>
                <c:pt idx="219">
                  <c:v>0.323265134687347</c:v>
                </c:pt>
                <c:pt idx="220">
                  <c:v>0.348144349023956</c:v>
                </c:pt>
                <c:pt idx="221">
                  <c:v>0.390081900101469</c:v>
                </c:pt>
                <c:pt idx="222">
                  <c:v>0.375425179761127</c:v>
                </c:pt>
                <c:pt idx="223">
                  <c:v>0.348989735712018</c:v>
                </c:pt>
                <c:pt idx="224">
                  <c:v>0.353845632746237</c:v>
                </c:pt>
                <c:pt idx="225">
                  <c:v>0.35402851493684</c:v>
                </c:pt>
                <c:pt idx="226">
                  <c:v>0.345160741898673</c:v>
                </c:pt>
                <c:pt idx="227">
                  <c:v>0.359821615681772</c:v>
                </c:pt>
                <c:pt idx="228">
                  <c:v>0.312035960796603</c:v>
                </c:pt>
                <c:pt idx="229">
                  <c:v>0.321284451227334</c:v>
                </c:pt>
                <c:pt idx="230">
                  <c:v>0.370538483654569</c:v>
                </c:pt>
                <c:pt idx="231">
                  <c:v>0.323977820485563</c:v>
                </c:pt>
                <c:pt idx="232">
                  <c:v>0.367676955981883</c:v>
                </c:pt>
                <c:pt idx="233">
                  <c:v>0.315655819379676</c:v>
                </c:pt>
                <c:pt idx="234">
                  <c:v>0.33061393643539</c:v>
                </c:pt>
                <c:pt idx="235">
                  <c:v>0.344751433874544</c:v>
                </c:pt>
                <c:pt idx="236">
                  <c:v>0.294072529241674</c:v>
                </c:pt>
                <c:pt idx="237">
                  <c:v>0.381839729936343</c:v>
                </c:pt>
                <c:pt idx="238">
                  <c:v>0.325380153323491</c:v>
                </c:pt>
                <c:pt idx="239">
                  <c:v>0.348898213430454</c:v>
                </c:pt>
                <c:pt idx="240">
                  <c:v>0.31200234154499</c:v>
                </c:pt>
                <c:pt idx="241">
                  <c:v>0.279931624005354</c:v>
                </c:pt>
                <c:pt idx="242">
                  <c:v>0.335964610923601</c:v>
                </c:pt>
                <c:pt idx="243">
                  <c:v>0.339402913637321</c:v>
                </c:pt>
                <c:pt idx="244">
                  <c:v>0.32338885340698</c:v>
                </c:pt>
                <c:pt idx="245">
                  <c:v>0.317544538853059</c:v>
                </c:pt>
                <c:pt idx="246">
                  <c:v>0.285193016040422</c:v>
                </c:pt>
                <c:pt idx="247">
                  <c:v>0.295128740612122</c:v>
                </c:pt>
                <c:pt idx="248">
                  <c:v>0.284814861072587</c:v>
                </c:pt>
                <c:pt idx="249">
                  <c:v>0.246154691450958</c:v>
                </c:pt>
                <c:pt idx="250">
                  <c:v>0.297098496028827</c:v>
                </c:pt>
                <c:pt idx="251">
                  <c:v>0.262509249096694</c:v>
                </c:pt>
                <c:pt idx="252">
                  <c:v>0.266223236368739</c:v>
                </c:pt>
                <c:pt idx="253">
                  <c:v>0.246582382894795</c:v>
                </c:pt>
                <c:pt idx="254">
                  <c:v>0.220531321350345</c:v>
                </c:pt>
                <c:pt idx="255">
                  <c:v>0.249532146391769</c:v>
                </c:pt>
                <c:pt idx="256">
                  <c:v>0.200247578460969</c:v>
                </c:pt>
                <c:pt idx="257">
                  <c:v>0.239754108711397</c:v>
                </c:pt>
                <c:pt idx="258">
                  <c:v>0.255181913389726</c:v>
                </c:pt>
                <c:pt idx="259">
                  <c:v>0.246150819416001</c:v>
                </c:pt>
                <c:pt idx="260">
                  <c:v>0.23895424396602</c:v>
                </c:pt>
                <c:pt idx="261">
                  <c:v>0.232407203072835</c:v>
                </c:pt>
                <c:pt idx="262">
                  <c:v>0.21327262395971</c:v>
                </c:pt>
                <c:pt idx="263">
                  <c:v>0.230215732229433</c:v>
                </c:pt>
                <c:pt idx="264">
                  <c:v>0.229428566057194</c:v>
                </c:pt>
                <c:pt idx="265">
                  <c:v>0.248306387115383</c:v>
                </c:pt>
                <c:pt idx="266">
                  <c:v>0.228631523558871</c:v>
                </c:pt>
                <c:pt idx="267">
                  <c:v>0.205674575910526</c:v>
                </c:pt>
                <c:pt idx="268">
                  <c:v>0.193639074215021</c:v>
                </c:pt>
                <c:pt idx="269">
                  <c:v>0.196762689811559</c:v>
                </c:pt>
                <c:pt idx="270">
                  <c:v>0.23903106164088</c:v>
                </c:pt>
                <c:pt idx="271">
                  <c:v>0.208386243997517</c:v>
                </c:pt>
                <c:pt idx="272">
                  <c:v>0.187911078838529</c:v>
                </c:pt>
                <c:pt idx="273">
                  <c:v>0.247659778464441</c:v>
                </c:pt>
                <c:pt idx="274">
                  <c:v>0.201735459215089</c:v>
                </c:pt>
                <c:pt idx="275">
                  <c:v>0.157984681968841</c:v>
                </c:pt>
                <c:pt idx="276">
                  <c:v>0.142061079563024</c:v>
                </c:pt>
                <c:pt idx="277">
                  <c:v>0.186943797139709</c:v>
                </c:pt>
                <c:pt idx="278">
                  <c:v>0.178440631660232</c:v>
                </c:pt>
                <c:pt idx="279">
                  <c:v>0.175326532376718</c:v>
                </c:pt>
                <c:pt idx="280">
                  <c:v>0.194908492711716</c:v>
                </c:pt>
                <c:pt idx="281">
                  <c:v>0.147476903609677</c:v>
                </c:pt>
                <c:pt idx="282">
                  <c:v>0.209352751482807</c:v>
                </c:pt>
                <c:pt idx="283">
                  <c:v>0.153532809305274</c:v>
                </c:pt>
                <c:pt idx="284">
                  <c:v>0.137961318457713</c:v>
                </c:pt>
                <c:pt idx="285">
                  <c:v>0.139834063317779</c:v>
                </c:pt>
                <c:pt idx="286">
                  <c:v>0.163257442338851</c:v>
                </c:pt>
                <c:pt idx="287">
                  <c:v>0.15678385337799</c:v>
                </c:pt>
                <c:pt idx="288">
                  <c:v>0.105862817021278</c:v>
                </c:pt>
                <c:pt idx="289">
                  <c:v>0.167329108459844</c:v>
                </c:pt>
                <c:pt idx="290">
                  <c:v>0.160741660825317</c:v>
                </c:pt>
                <c:pt idx="291">
                  <c:v>0.113808077107919</c:v>
                </c:pt>
                <c:pt idx="292">
                  <c:v>0.1591766334532</c:v>
                </c:pt>
                <c:pt idx="293">
                  <c:v>0.127307142303316</c:v>
                </c:pt>
                <c:pt idx="294">
                  <c:v>0.178901468111511</c:v>
                </c:pt>
                <c:pt idx="295">
                  <c:v>0.124115798378516</c:v>
                </c:pt>
                <c:pt idx="296">
                  <c:v>0.14365329854489</c:v>
                </c:pt>
                <c:pt idx="297">
                  <c:v>0.119860626493154</c:v>
                </c:pt>
                <c:pt idx="298">
                  <c:v>0.149000864073019</c:v>
                </c:pt>
                <c:pt idx="299">
                  <c:v>0.146623242927603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Barrido_deltaT!D4</c:f>
              <c:strCache>
                <c:ptCount val="1"/>
                <c:pt idx="0">
                  <c:v>kurtosis (exceso)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Barrido_deltaT!$B$5:$B$304</c:f>
              <c:strCache>
                <c:ptCount val="300"/>
                <c:pt idx="0">
                  <c:v>0.05</c:v>
                </c:pt>
                <c:pt idx="1">
                  <c:v>0.10</c:v>
                </c:pt>
                <c:pt idx="2">
                  <c:v>0.15</c:v>
                </c:pt>
                <c:pt idx="3">
                  <c:v>0.20</c:v>
                </c:pt>
                <c:pt idx="4">
                  <c:v>0.25</c:v>
                </c:pt>
                <c:pt idx="5">
                  <c:v>0.30</c:v>
                </c:pt>
                <c:pt idx="6">
                  <c:v>0.35</c:v>
                </c:pt>
                <c:pt idx="7">
                  <c:v>0.40</c:v>
                </c:pt>
                <c:pt idx="8">
                  <c:v>0.45</c:v>
                </c:pt>
                <c:pt idx="9">
                  <c:v>0.50</c:v>
                </c:pt>
                <c:pt idx="10">
                  <c:v>0.55</c:v>
                </c:pt>
                <c:pt idx="11">
                  <c:v>0.60</c:v>
                </c:pt>
                <c:pt idx="12">
                  <c:v>0.65</c:v>
                </c:pt>
                <c:pt idx="13">
                  <c:v>0.70</c:v>
                </c:pt>
                <c:pt idx="14">
                  <c:v>0.75</c:v>
                </c:pt>
                <c:pt idx="15">
                  <c:v>0.80</c:v>
                </c:pt>
                <c:pt idx="16">
                  <c:v>0.85</c:v>
                </c:pt>
                <c:pt idx="17">
                  <c:v>0.90</c:v>
                </c:pt>
                <c:pt idx="18">
                  <c:v>0.95</c:v>
                </c:pt>
                <c:pt idx="19">
                  <c:v>1.00</c:v>
                </c:pt>
                <c:pt idx="20">
                  <c:v>1.05</c:v>
                </c:pt>
                <c:pt idx="21">
                  <c:v>1.10</c:v>
                </c:pt>
                <c:pt idx="22">
                  <c:v>1.15</c:v>
                </c:pt>
                <c:pt idx="23">
                  <c:v>1.20</c:v>
                </c:pt>
                <c:pt idx="24">
                  <c:v>1.25</c:v>
                </c:pt>
                <c:pt idx="25">
                  <c:v>1.30</c:v>
                </c:pt>
                <c:pt idx="26">
                  <c:v>1.35</c:v>
                </c:pt>
                <c:pt idx="27">
                  <c:v>1.40</c:v>
                </c:pt>
                <c:pt idx="28">
                  <c:v>1.45</c:v>
                </c:pt>
                <c:pt idx="29">
                  <c:v>1.50</c:v>
                </c:pt>
                <c:pt idx="30">
                  <c:v>1.55</c:v>
                </c:pt>
                <c:pt idx="31">
                  <c:v>1.60</c:v>
                </c:pt>
                <c:pt idx="32">
                  <c:v>1.65</c:v>
                </c:pt>
                <c:pt idx="33">
                  <c:v>1.70</c:v>
                </c:pt>
                <c:pt idx="34">
                  <c:v>1.75</c:v>
                </c:pt>
                <c:pt idx="35">
                  <c:v>1.80</c:v>
                </c:pt>
                <c:pt idx="36">
                  <c:v>1.85</c:v>
                </c:pt>
                <c:pt idx="37">
                  <c:v>1.90</c:v>
                </c:pt>
                <c:pt idx="38">
                  <c:v>1.95</c:v>
                </c:pt>
                <c:pt idx="39">
                  <c:v>2.00</c:v>
                </c:pt>
                <c:pt idx="40">
                  <c:v>2.05</c:v>
                </c:pt>
                <c:pt idx="41">
                  <c:v>2.10</c:v>
                </c:pt>
                <c:pt idx="42">
                  <c:v>2.15</c:v>
                </c:pt>
                <c:pt idx="43">
                  <c:v>2.20</c:v>
                </c:pt>
                <c:pt idx="44">
                  <c:v>2.25</c:v>
                </c:pt>
                <c:pt idx="45">
                  <c:v>2.30</c:v>
                </c:pt>
                <c:pt idx="46">
                  <c:v>2.35</c:v>
                </c:pt>
                <c:pt idx="47">
                  <c:v>2.40</c:v>
                </c:pt>
                <c:pt idx="48">
                  <c:v>2.45</c:v>
                </c:pt>
                <c:pt idx="49">
                  <c:v>2.50</c:v>
                </c:pt>
                <c:pt idx="50">
                  <c:v>2.55</c:v>
                </c:pt>
                <c:pt idx="51">
                  <c:v>2.60</c:v>
                </c:pt>
                <c:pt idx="52">
                  <c:v>2.65</c:v>
                </c:pt>
                <c:pt idx="53">
                  <c:v>2.70</c:v>
                </c:pt>
                <c:pt idx="54">
                  <c:v>2.75</c:v>
                </c:pt>
                <c:pt idx="55">
                  <c:v>2.80</c:v>
                </c:pt>
                <c:pt idx="56">
                  <c:v>2.85</c:v>
                </c:pt>
                <c:pt idx="57">
                  <c:v>2.90</c:v>
                </c:pt>
                <c:pt idx="58">
                  <c:v>2.95</c:v>
                </c:pt>
                <c:pt idx="59">
                  <c:v>3.00</c:v>
                </c:pt>
                <c:pt idx="60">
                  <c:v>3.05</c:v>
                </c:pt>
                <c:pt idx="61">
                  <c:v>3.10</c:v>
                </c:pt>
                <c:pt idx="62">
                  <c:v>3.15</c:v>
                </c:pt>
                <c:pt idx="63">
                  <c:v>3.20</c:v>
                </c:pt>
                <c:pt idx="64">
                  <c:v>3.25</c:v>
                </c:pt>
                <c:pt idx="65">
                  <c:v>3.30</c:v>
                </c:pt>
                <c:pt idx="66">
                  <c:v>3.35</c:v>
                </c:pt>
                <c:pt idx="67">
                  <c:v>3.40</c:v>
                </c:pt>
                <c:pt idx="68">
                  <c:v>3.45</c:v>
                </c:pt>
                <c:pt idx="69">
                  <c:v>3.50</c:v>
                </c:pt>
                <c:pt idx="70">
                  <c:v>3.55</c:v>
                </c:pt>
                <c:pt idx="71">
                  <c:v>3.60</c:v>
                </c:pt>
                <c:pt idx="72">
                  <c:v>3.65</c:v>
                </c:pt>
                <c:pt idx="73">
                  <c:v>3.70</c:v>
                </c:pt>
                <c:pt idx="74">
                  <c:v>3.75</c:v>
                </c:pt>
                <c:pt idx="75">
                  <c:v>3.80</c:v>
                </c:pt>
                <c:pt idx="76">
                  <c:v>3.85</c:v>
                </c:pt>
                <c:pt idx="77">
                  <c:v>3.90</c:v>
                </c:pt>
                <c:pt idx="78">
                  <c:v>3.95</c:v>
                </c:pt>
                <c:pt idx="79">
                  <c:v>4.00</c:v>
                </c:pt>
                <c:pt idx="80">
                  <c:v>4.05</c:v>
                </c:pt>
                <c:pt idx="81">
                  <c:v>4.10</c:v>
                </c:pt>
                <c:pt idx="82">
                  <c:v>4.15</c:v>
                </c:pt>
                <c:pt idx="83">
                  <c:v>4.20</c:v>
                </c:pt>
                <c:pt idx="84">
                  <c:v>4.25</c:v>
                </c:pt>
                <c:pt idx="85">
                  <c:v>4.30</c:v>
                </c:pt>
                <c:pt idx="86">
                  <c:v>4.35</c:v>
                </c:pt>
                <c:pt idx="87">
                  <c:v>4.40</c:v>
                </c:pt>
                <c:pt idx="88">
                  <c:v>4.45</c:v>
                </c:pt>
                <c:pt idx="89">
                  <c:v>4.50</c:v>
                </c:pt>
                <c:pt idx="90">
                  <c:v>4.55</c:v>
                </c:pt>
                <c:pt idx="91">
                  <c:v>4.60</c:v>
                </c:pt>
                <c:pt idx="92">
                  <c:v>4.65</c:v>
                </c:pt>
                <c:pt idx="93">
                  <c:v>4.70</c:v>
                </c:pt>
                <c:pt idx="94">
                  <c:v>4.75</c:v>
                </c:pt>
                <c:pt idx="95">
                  <c:v>4.80</c:v>
                </c:pt>
                <c:pt idx="96">
                  <c:v>4.85</c:v>
                </c:pt>
                <c:pt idx="97">
                  <c:v>4.90</c:v>
                </c:pt>
                <c:pt idx="98">
                  <c:v>4.95</c:v>
                </c:pt>
                <c:pt idx="99">
                  <c:v>5.00</c:v>
                </c:pt>
                <c:pt idx="100">
                  <c:v>5.05</c:v>
                </c:pt>
                <c:pt idx="101">
                  <c:v>5.10</c:v>
                </c:pt>
                <c:pt idx="102">
                  <c:v>5.15</c:v>
                </c:pt>
                <c:pt idx="103">
                  <c:v>5.20</c:v>
                </c:pt>
                <c:pt idx="104">
                  <c:v>5.25</c:v>
                </c:pt>
                <c:pt idx="105">
                  <c:v>5.30</c:v>
                </c:pt>
                <c:pt idx="106">
                  <c:v>5.35</c:v>
                </c:pt>
                <c:pt idx="107">
                  <c:v>5.40</c:v>
                </c:pt>
                <c:pt idx="108">
                  <c:v>5.45</c:v>
                </c:pt>
                <c:pt idx="109">
                  <c:v>5.50</c:v>
                </c:pt>
                <c:pt idx="110">
                  <c:v>5.55</c:v>
                </c:pt>
                <c:pt idx="111">
                  <c:v>5.60</c:v>
                </c:pt>
                <c:pt idx="112">
                  <c:v>5.65</c:v>
                </c:pt>
                <c:pt idx="113">
                  <c:v>5.70</c:v>
                </c:pt>
                <c:pt idx="114">
                  <c:v>5.75</c:v>
                </c:pt>
                <c:pt idx="115">
                  <c:v>5.80</c:v>
                </c:pt>
                <c:pt idx="116">
                  <c:v>5.85</c:v>
                </c:pt>
                <c:pt idx="117">
                  <c:v>5.90</c:v>
                </c:pt>
                <c:pt idx="118">
                  <c:v>5.95</c:v>
                </c:pt>
                <c:pt idx="119">
                  <c:v>6.00</c:v>
                </c:pt>
                <c:pt idx="120">
                  <c:v>6.05</c:v>
                </c:pt>
                <c:pt idx="121">
                  <c:v>6.10</c:v>
                </c:pt>
                <c:pt idx="122">
                  <c:v>6.15</c:v>
                </c:pt>
                <c:pt idx="123">
                  <c:v>6.20</c:v>
                </c:pt>
                <c:pt idx="124">
                  <c:v>6.25</c:v>
                </c:pt>
                <c:pt idx="125">
                  <c:v>6.30</c:v>
                </c:pt>
                <c:pt idx="126">
                  <c:v>6.35</c:v>
                </c:pt>
                <c:pt idx="127">
                  <c:v>6.40</c:v>
                </c:pt>
                <c:pt idx="128">
                  <c:v>6.45</c:v>
                </c:pt>
                <c:pt idx="129">
                  <c:v>6.50</c:v>
                </c:pt>
                <c:pt idx="130">
                  <c:v>6.55</c:v>
                </c:pt>
                <c:pt idx="131">
                  <c:v>6.60</c:v>
                </c:pt>
                <c:pt idx="132">
                  <c:v>6.65</c:v>
                </c:pt>
                <c:pt idx="133">
                  <c:v>6.70</c:v>
                </c:pt>
                <c:pt idx="134">
                  <c:v>6.75</c:v>
                </c:pt>
                <c:pt idx="135">
                  <c:v>6.80</c:v>
                </c:pt>
                <c:pt idx="136">
                  <c:v>6.85</c:v>
                </c:pt>
                <c:pt idx="137">
                  <c:v>6.90</c:v>
                </c:pt>
                <c:pt idx="138">
                  <c:v>6.95</c:v>
                </c:pt>
                <c:pt idx="139">
                  <c:v>7.00</c:v>
                </c:pt>
                <c:pt idx="140">
                  <c:v>7.05</c:v>
                </c:pt>
                <c:pt idx="141">
                  <c:v>7.10</c:v>
                </c:pt>
                <c:pt idx="142">
                  <c:v>7.15</c:v>
                </c:pt>
                <c:pt idx="143">
                  <c:v>7.20</c:v>
                </c:pt>
                <c:pt idx="144">
                  <c:v>7.25</c:v>
                </c:pt>
                <c:pt idx="145">
                  <c:v>7.30</c:v>
                </c:pt>
                <c:pt idx="146">
                  <c:v>7.35</c:v>
                </c:pt>
                <c:pt idx="147">
                  <c:v>7.40</c:v>
                </c:pt>
                <c:pt idx="148">
                  <c:v>7.45</c:v>
                </c:pt>
                <c:pt idx="149">
                  <c:v>7.50</c:v>
                </c:pt>
                <c:pt idx="150">
                  <c:v>7.55</c:v>
                </c:pt>
                <c:pt idx="151">
                  <c:v>7.60</c:v>
                </c:pt>
                <c:pt idx="152">
                  <c:v>7.65</c:v>
                </c:pt>
                <c:pt idx="153">
                  <c:v>7.70</c:v>
                </c:pt>
                <c:pt idx="154">
                  <c:v>7.75</c:v>
                </c:pt>
                <c:pt idx="155">
                  <c:v>7.80</c:v>
                </c:pt>
                <c:pt idx="156">
                  <c:v>7.85</c:v>
                </c:pt>
                <c:pt idx="157">
                  <c:v>7.90</c:v>
                </c:pt>
                <c:pt idx="158">
                  <c:v>7.95</c:v>
                </c:pt>
                <c:pt idx="159">
                  <c:v>8.00</c:v>
                </c:pt>
                <c:pt idx="160">
                  <c:v>8.05</c:v>
                </c:pt>
                <c:pt idx="161">
                  <c:v>8.10</c:v>
                </c:pt>
                <c:pt idx="162">
                  <c:v>8.15</c:v>
                </c:pt>
                <c:pt idx="163">
                  <c:v>8.20</c:v>
                </c:pt>
                <c:pt idx="164">
                  <c:v>8.25</c:v>
                </c:pt>
                <c:pt idx="165">
                  <c:v>8.30</c:v>
                </c:pt>
                <c:pt idx="166">
                  <c:v>8.35</c:v>
                </c:pt>
                <c:pt idx="167">
                  <c:v>8.40</c:v>
                </c:pt>
                <c:pt idx="168">
                  <c:v>8.45</c:v>
                </c:pt>
                <c:pt idx="169">
                  <c:v>8.50</c:v>
                </c:pt>
                <c:pt idx="170">
                  <c:v>8.55</c:v>
                </c:pt>
                <c:pt idx="171">
                  <c:v>8.60</c:v>
                </c:pt>
                <c:pt idx="172">
                  <c:v>8.65</c:v>
                </c:pt>
                <c:pt idx="173">
                  <c:v>8.70</c:v>
                </c:pt>
                <c:pt idx="174">
                  <c:v>8.75</c:v>
                </c:pt>
                <c:pt idx="175">
                  <c:v>8.80</c:v>
                </c:pt>
                <c:pt idx="176">
                  <c:v>8.85</c:v>
                </c:pt>
                <c:pt idx="177">
                  <c:v>8.90</c:v>
                </c:pt>
                <c:pt idx="178">
                  <c:v>8.95</c:v>
                </c:pt>
                <c:pt idx="179">
                  <c:v>9.00</c:v>
                </c:pt>
                <c:pt idx="180">
                  <c:v>9.05</c:v>
                </c:pt>
                <c:pt idx="181">
                  <c:v>9.10</c:v>
                </c:pt>
                <c:pt idx="182">
                  <c:v>9.15</c:v>
                </c:pt>
                <c:pt idx="183">
                  <c:v>9.20</c:v>
                </c:pt>
                <c:pt idx="184">
                  <c:v>9.25</c:v>
                </c:pt>
                <c:pt idx="185">
                  <c:v>9.30</c:v>
                </c:pt>
                <c:pt idx="186">
                  <c:v>9.35</c:v>
                </c:pt>
                <c:pt idx="187">
                  <c:v>9.40</c:v>
                </c:pt>
                <c:pt idx="188">
                  <c:v>9.45</c:v>
                </c:pt>
                <c:pt idx="189">
                  <c:v>9.50</c:v>
                </c:pt>
                <c:pt idx="190">
                  <c:v>9.55</c:v>
                </c:pt>
                <c:pt idx="191">
                  <c:v>9.60</c:v>
                </c:pt>
                <c:pt idx="192">
                  <c:v>9.65</c:v>
                </c:pt>
                <c:pt idx="193">
                  <c:v>9.70</c:v>
                </c:pt>
                <c:pt idx="194">
                  <c:v>9.75</c:v>
                </c:pt>
                <c:pt idx="195">
                  <c:v>9.80</c:v>
                </c:pt>
                <c:pt idx="196">
                  <c:v>9.85</c:v>
                </c:pt>
                <c:pt idx="197">
                  <c:v>9.90</c:v>
                </c:pt>
                <c:pt idx="198">
                  <c:v>9.95</c:v>
                </c:pt>
                <c:pt idx="199">
                  <c:v>10.00</c:v>
                </c:pt>
                <c:pt idx="200">
                  <c:v>10.05</c:v>
                </c:pt>
                <c:pt idx="201">
                  <c:v>10.10</c:v>
                </c:pt>
                <c:pt idx="202">
                  <c:v>10.15</c:v>
                </c:pt>
                <c:pt idx="203">
                  <c:v>10.20</c:v>
                </c:pt>
                <c:pt idx="204">
                  <c:v>10.25</c:v>
                </c:pt>
                <c:pt idx="205">
                  <c:v>10.30</c:v>
                </c:pt>
                <c:pt idx="206">
                  <c:v>10.35</c:v>
                </c:pt>
                <c:pt idx="207">
                  <c:v>10.40</c:v>
                </c:pt>
                <c:pt idx="208">
                  <c:v>10.45</c:v>
                </c:pt>
                <c:pt idx="209">
                  <c:v>10.50</c:v>
                </c:pt>
                <c:pt idx="210">
                  <c:v>10.55</c:v>
                </c:pt>
                <c:pt idx="211">
                  <c:v>10.60</c:v>
                </c:pt>
                <c:pt idx="212">
                  <c:v>10.65</c:v>
                </c:pt>
                <c:pt idx="213">
                  <c:v>10.70</c:v>
                </c:pt>
                <c:pt idx="214">
                  <c:v>10.75</c:v>
                </c:pt>
                <c:pt idx="215">
                  <c:v>10.80</c:v>
                </c:pt>
                <c:pt idx="216">
                  <c:v>10.85</c:v>
                </c:pt>
                <c:pt idx="217">
                  <c:v>10.90</c:v>
                </c:pt>
                <c:pt idx="218">
                  <c:v>10.95</c:v>
                </c:pt>
                <c:pt idx="219">
                  <c:v>11.00</c:v>
                </c:pt>
                <c:pt idx="220">
                  <c:v>11.05</c:v>
                </c:pt>
                <c:pt idx="221">
                  <c:v>11.10</c:v>
                </c:pt>
                <c:pt idx="222">
                  <c:v>11.15</c:v>
                </c:pt>
                <c:pt idx="223">
                  <c:v>11.20</c:v>
                </c:pt>
                <c:pt idx="224">
                  <c:v>11.25</c:v>
                </c:pt>
                <c:pt idx="225">
                  <c:v>11.30</c:v>
                </c:pt>
                <c:pt idx="226">
                  <c:v>11.35</c:v>
                </c:pt>
                <c:pt idx="227">
                  <c:v>11.40</c:v>
                </c:pt>
                <c:pt idx="228">
                  <c:v>11.45</c:v>
                </c:pt>
                <c:pt idx="229">
                  <c:v>11.50</c:v>
                </c:pt>
                <c:pt idx="230">
                  <c:v>11.55</c:v>
                </c:pt>
                <c:pt idx="231">
                  <c:v>11.60</c:v>
                </c:pt>
                <c:pt idx="232">
                  <c:v>11.65</c:v>
                </c:pt>
                <c:pt idx="233">
                  <c:v>11.70</c:v>
                </c:pt>
                <c:pt idx="234">
                  <c:v>11.75</c:v>
                </c:pt>
                <c:pt idx="235">
                  <c:v>11.80</c:v>
                </c:pt>
                <c:pt idx="236">
                  <c:v>11.85</c:v>
                </c:pt>
                <c:pt idx="237">
                  <c:v>11.90</c:v>
                </c:pt>
                <c:pt idx="238">
                  <c:v>11.95</c:v>
                </c:pt>
                <c:pt idx="239">
                  <c:v>12.00</c:v>
                </c:pt>
                <c:pt idx="240">
                  <c:v>12.05</c:v>
                </c:pt>
                <c:pt idx="241">
                  <c:v>12.10</c:v>
                </c:pt>
                <c:pt idx="242">
                  <c:v>12.15</c:v>
                </c:pt>
                <c:pt idx="243">
                  <c:v>12.20</c:v>
                </c:pt>
                <c:pt idx="244">
                  <c:v>12.25</c:v>
                </c:pt>
                <c:pt idx="245">
                  <c:v>12.30</c:v>
                </c:pt>
                <c:pt idx="246">
                  <c:v>12.35</c:v>
                </c:pt>
                <c:pt idx="247">
                  <c:v>12.40</c:v>
                </c:pt>
                <c:pt idx="248">
                  <c:v>12.45</c:v>
                </c:pt>
                <c:pt idx="249">
                  <c:v>12.50</c:v>
                </c:pt>
                <c:pt idx="250">
                  <c:v>12.55</c:v>
                </c:pt>
                <c:pt idx="251">
                  <c:v>12.60</c:v>
                </c:pt>
                <c:pt idx="252">
                  <c:v>12.65</c:v>
                </c:pt>
                <c:pt idx="253">
                  <c:v>12.70</c:v>
                </c:pt>
                <c:pt idx="254">
                  <c:v>12.75</c:v>
                </c:pt>
                <c:pt idx="255">
                  <c:v>12.80</c:v>
                </c:pt>
                <c:pt idx="256">
                  <c:v>12.85</c:v>
                </c:pt>
                <c:pt idx="257">
                  <c:v>12.90</c:v>
                </c:pt>
                <c:pt idx="258">
                  <c:v>12.95</c:v>
                </c:pt>
                <c:pt idx="259">
                  <c:v>13.00</c:v>
                </c:pt>
                <c:pt idx="260">
                  <c:v>13.05</c:v>
                </c:pt>
                <c:pt idx="261">
                  <c:v>13.10</c:v>
                </c:pt>
                <c:pt idx="262">
                  <c:v>13.15</c:v>
                </c:pt>
                <c:pt idx="263">
                  <c:v>13.20</c:v>
                </c:pt>
                <c:pt idx="264">
                  <c:v>13.25</c:v>
                </c:pt>
                <c:pt idx="265">
                  <c:v>13.30</c:v>
                </c:pt>
                <c:pt idx="266">
                  <c:v>13.35</c:v>
                </c:pt>
                <c:pt idx="267">
                  <c:v>13.40</c:v>
                </c:pt>
                <c:pt idx="268">
                  <c:v>13.45</c:v>
                </c:pt>
                <c:pt idx="269">
                  <c:v>13.50</c:v>
                </c:pt>
                <c:pt idx="270">
                  <c:v>13.55</c:v>
                </c:pt>
                <c:pt idx="271">
                  <c:v>13.60</c:v>
                </c:pt>
                <c:pt idx="272">
                  <c:v>13.65</c:v>
                </c:pt>
                <c:pt idx="273">
                  <c:v>13.70</c:v>
                </c:pt>
                <c:pt idx="274">
                  <c:v>13.75</c:v>
                </c:pt>
                <c:pt idx="275">
                  <c:v>13.80</c:v>
                </c:pt>
                <c:pt idx="276">
                  <c:v>13.85</c:v>
                </c:pt>
                <c:pt idx="277">
                  <c:v>13.90</c:v>
                </c:pt>
                <c:pt idx="278">
                  <c:v>13.95</c:v>
                </c:pt>
                <c:pt idx="279">
                  <c:v>14.00</c:v>
                </c:pt>
                <c:pt idx="280">
                  <c:v>14.05</c:v>
                </c:pt>
                <c:pt idx="281">
                  <c:v>14.10</c:v>
                </c:pt>
                <c:pt idx="282">
                  <c:v>14.15</c:v>
                </c:pt>
                <c:pt idx="283">
                  <c:v>14.20</c:v>
                </c:pt>
                <c:pt idx="284">
                  <c:v>14.25</c:v>
                </c:pt>
                <c:pt idx="285">
                  <c:v>14.30</c:v>
                </c:pt>
                <c:pt idx="286">
                  <c:v>14.35</c:v>
                </c:pt>
                <c:pt idx="287">
                  <c:v>14.40</c:v>
                </c:pt>
                <c:pt idx="288">
                  <c:v>14.45</c:v>
                </c:pt>
                <c:pt idx="289">
                  <c:v>14.50</c:v>
                </c:pt>
                <c:pt idx="290">
                  <c:v>14.55</c:v>
                </c:pt>
                <c:pt idx="291">
                  <c:v>14.60</c:v>
                </c:pt>
                <c:pt idx="292">
                  <c:v>14.65</c:v>
                </c:pt>
                <c:pt idx="293">
                  <c:v>14.70</c:v>
                </c:pt>
                <c:pt idx="294">
                  <c:v>14.75</c:v>
                </c:pt>
                <c:pt idx="295">
                  <c:v>14.80</c:v>
                </c:pt>
                <c:pt idx="296">
                  <c:v>14.85</c:v>
                </c:pt>
                <c:pt idx="297">
                  <c:v>14.90</c:v>
                </c:pt>
                <c:pt idx="298">
                  <c:v>14.95</c:v>
                </c:pt>
                <c:pt idx="299">
                  <c:v>15.00</c:v>
                </c:pt>
              </c:strCache>
            </c:strRef>
          </c:cat>
          <c:val>
            <c:numRef>
              <c:f>Barrido_deltaT!$D$5:$D$304</c:f>
              <c:numCache>
                <c:formatCode>0.0000</c:formatCode>
                <c:ptCount val="300"/>
                <c:pt idx="0">
                  <c:v>1.37480265904172</c:v>
                </c:pt>
                <c:pt idx="1">
                  <c:v>1.04364222718274</c:v>
                </c:pt>
                <c:pt idx="2">
                  <c:v>0.786359344387385</c:v>
                </c:pt>
                <c:pt idx="3">
                  <c:v>1.07943765343119</c:v>
                </c:pt>
                <c:pt idx="4">
                  <c:v>0.81257890135954</c:v>
                </c:pt>
                <c:pt idx="5">
                  <c:v>1.26664388324956</c:v>
                </c:pt>
                <c:pt idx="6">
                  <c:v>0.69957647615551</c:v>
                </c:pt>
                <c:pt idx="7">
                  <c:v>0.545808650244197</c:v>
                </c:pt>
                <c:pt idx="8">
                  <c:v>0.777319181002281</c:v>
                </c:pt>
                <c:pt idx="9">
                  <c:v>1.14553685429666</c:v>
                </c:pt>
                <c:pt idx="10">
                  <c:v>0.922740047328647</c:v>
                </c:pt>
                <c:pt idx="11">
                  <c:v>0.942709580136093</c:v>
                </c:pt>
                <c:pt idx="12">
                  <c:v>0.990956006651635</c:v>
                </c:pt>
                <c:pt idx="13">
                  <c:v>0.716772514305953</c:v>
                </c:pt>
                <c:pt idx="14">
                  <c:v>1.14282697079431</c:v>
                </c:pt>
                <c:pt idx="15">
                  <c:v>1.03149883603347</c:v>
                </c:pt>
                <c:pt idx="16">
                  <c:v>0.796839059177031</c:v>
                </c:pt>
                <c:pt idx="17">
                  <c:v>0.90750065741336</c:v>
                </c:pt>
                <c:pt idx="18">
                  <c:v>0.734915155381844</c:v>
                </c:pt>
                <c:pt idx="19">
                  <c:v>0.653190747536179</c:v>
                </c:pt>
                <c:pt idx="20">
                  <c:v>0.747772298058892</c:v>
                </c:pt>
                <c:pt idx="21">
                  <c:v>0.881413184913421</c:v>
                </c:pt>
                <c:pt idx="22">
                  <c:v>0.811207487115981</c:v>
                </c:pt>
                <c:pt idx="23">
                  <c:v>0.836328934439194</c:v>
                </c:pt>
                <c:pt idx="24">
                  <c:v>0.809709934917626</c:v>
                </c:pt>
                <c:pt idx="25">
                  <c:v>0.546932535206516</c:v>
                </c:pt>
                <c:pt idx="26">
                  <c:v>0.742756838415921</c:v>
                </c:pt>
                <c:pt idx="27">
                  <c:v>0.6884833939394</c:v>
                </c:pt>
                <c:pt idx="28">
                  <c:v>0.627229222569856</c:v>
                </c:pt>
                <c:pt idx="29">
                  <c:v>0.61644501524454</c:v>
                </c:pt>
                <c:pt idx="30">
                  <c:v>0.431007859085343</c:v>
                </c:pt>
                <c:pt idx="31">
                  <c:v>0.492268474245005</c:v>
                </c:pt>
                <c:pt idx="32">
                  <c:v>0.386797002412453</c:v>
                </c:pt>
                <c:pt idx="33">
                  <c:v>0.61089489823907</c:v>
                </c:pt>
                <c:pt idx="34">
                  <c:v>0.392920587443732</c:v>
                </c:pt>
                <c:pt idx="35">
                  <c:v>0.301700111965771</c:v>
                </c:pt>
                <c:pt idx="36">
                  <c:v>0.319817301023396</c:v>
                </c:pt>
                <c:pt idx="37">
                  <c:v>0.406562808709245</c:v>
                </c:pt>
                <c:pt idx="38">
                  <c:v>0.567911540884115</c:v>
                </c:pt>
                <c:pt idx="39">
                  <c:v>0.335800947046419</c:v>
                </c:pt>
                <c:pt idx="40">
                  <c:v>0.388917280411293</c:v>
                </c:pt>
                <c:pt idx="41">
                  <c:v>0.235771765112045</c:v>
                </c:pt>
                <c:pt idx="42">
                  <c:v>0.32135849156445</c:v>
                </c:pt>
                <c:pt idx="43">
                  <c:v>0.148527568870601</c:v>
                </c:pt>
                <c:pt idx="44">
                  <c:v>0.183526441410823</c:v>
                </c:pt>
                <c:pt idx="45">
                  <c:v>0.185536989768668</c:v>
                </c:pt>
                <c:pt idx="46">
                  <c:v>0.166715144060295</c:v>
                </c:pt>
                <c:pt idx="47">
                  <c:v>0.126766312731418</c:v>
                </c:pt>
                <c:pt idx="48">
                  <c:v>0.192620725036981</c:v>
                </c:pt>
                <c:pt idx="49">
                  <c:v>0.197587204026557</c:v>
                </c:pt>
                <c:pt idx="50">
                  <c:v>-0.00810533505978217</c:v>
                </c:pt>
                <c:pt idx="51">
                  <c:v>0.169228209769146</c:v>
                </c:pt>
                <c:pt idx="52">
                  <c:v>0.0298493176950498</c:v>
                </c:pt>
                <c:pt idx="53">
                  <c:v>0.0558090054977254</c:v>
                </c:pt>
                <c:pt idx="54">
                  <c:v>0.0117546811962188</c:v>
                </c:pt>
                <c:pt idx="55">
                  <c:v>-0.0311155699283856</c:v>
                </c:pt>
                <c:pt idx="56">
                  <c:v>0.0239625303352877</c:v>
                </c:pt>
                <c:pt idx="57">
                  <c:v>-0.12433128385988</c:v>
                </c:pt>
                <c:pt idx="58">
                  <c:v>0.0135913347615002</c:v>
                </c:pt>
                <c:pt idx="59">
                  <c:v>-0.148522242292027</c:v>
                </c:pt>
                <c:pt idx="60">
                  <c:v>-0.106477667462014</c:v>
                </c:pt>
                <c:pt idx="61">
                  <c:v>-0.124949633003118</c:v>
                </c:pt>
                <c:pt idx="62">
                  <c:v>-0.042546372566695</c:v>
                </c:pt>
                <c:pt idx="63">
                  <c:v>-0.0252623017375053</c:v>
                </c:pt>
                <c:pt idx="64">
                  <c:v>-0.134546228876032</c:v>
                </c:pt>
                <c:pt idx="65">
                  <c:v>-0.248119546383391</c:v>
                </c:pt>
                <c:pt idx="66">
                  <c:v>-0.19751175873057</c:v>
                </c:pt>
                <c:pt idx="67">
                  <c:v>-0.110605465808292</c:v>
                </c:pt>
                <c:pt idx="68">
                  <c:v>-0.194649091661721</c:v>
                </c:pt>
                <c:pt idx="69">
                  <c:v>-0.214650343945766</c:v>
                </c:pt>
                <c:pt idx="70">
                  <c:v>-0.135672528006771</c:v>
                </c:pt>
                <c:pt idx="71">
                  <c:v>-0.149736323609489</c:v>
                </c:pt>
                <c:pt idx="72">
                  <c:v>-0.113796424149518</c:v>
                </c:pt>
                <c:pt idx="73">
                  <c:v>-0.205062340339255</c:v>
                </c:pt>
                <c:pt idx="74">
                  <c:v>-0.170239352884953</c:v>
                </c:pt>
                <c:pt idx="75">
                  <c:v>-0.27125464067757</c:v>
                </c:pt>
                <c:pt idx="76">
                  <c:v>-0.209875315477099</c:v>
                </c:pt>
                <c:pt idx="77">
                  <c:v>-0.189208073346736</c:v>
                </c:pt>
                <c:pt idx="78">
                  <c:v>-0.236708367123549</c:v>
                </c:pt>
                <c:pt idx="79">
                  <c:v>-0.148120357868664</c:v>
                </c:pt>
                <c:pt idx="80">
                  <c:v>-0.0774000734019946</c:v>
                </c:pt>
                <c:pt idx="81">
                  <c:v>-0.105269117842126</c:v>
                </c:pt>
                <c:pt idx="82">
                  <c:v>-0.162718116809395</c:v>
                </c:pt>
                <c:pt idx="83">
                  <c:v>-0.2923584869631</c:v>
                </c:pt>
                <c:pt idx="84">
                  <c:v>-0.160841378817001</c:v>
                </c:pt>
                <c:pt idx="85">
                  <c:v>-0.0430183079618178</c:v>
                </c:pt>
                <c:pt idx="86">
                  <c:v>-0.184174876453772</c:v>
                </c:pt>
                <c:pt idx="87">
                  <c:v>-0.247187863092722</c:v>
                </c:pt>
                <c:pt idx="88">
                  <c:v>-0.166042426342681</c:v>
                </c:pt>
                <c:pt idx="89">
                  <c:v>-0.143834495553683</c:v>
                </c:pt>
                <c:pt idx="90">
                  <c:v>-0.121613170888011</c:v>
                </c:pt>
                <c:pt idx="91">
                  <c:v>-0.147778635845467</c:v>
                </c:pt>
                <c:pt idx="92">
                  <c:v>-0.086795808038171</c:v>
                </c:pt>
                <c:pt idx="93">
                  <c:v>-0.0736320902881684</c:v>
                </c:pt>
                <c:pt idx="94">
                  <c:v>-0.0968340016129803</c:v>
                </c:pt>
                <c:pt idx="95">
                  <c:v>-0.0987503845627091</c:v>
                </c:pt>
                <c:pt idx="96">
                  <c:v>-0.130860297583947</c:v>
                </c:pt>
                <c:pt idx="97">
                  <c:v>-0.0837936347444761</c:v>
                </c:pt>
                <c:pt idx="98">
                  <c:v>-0.12899340657909</c:v>
                </c:pt>
                <c:pt idx="99">
                  <c:v>-0.131464888852096</c:v>
                </c:pt>
                <c:pt idx="100">
                  <c:v>-0.186331896276728</c:v>
                </c:pt>
                <c:pt idx="101">
                  <c:v>-0.0734009846780572</c:v>
                </c:pt>
                <c:pt idx="102">
                  <c:v>-0.12018631121606</c:v>
                </c:pt>
                <c:pt idx="103">
                  <c:v>-0.210050994470385</c:v>
                </c:pt>
                <c:pt idx="104">
                  <c:v>-0.196303079550805</c:v>
                </c:pt>
                <c:pt idx="105">
                  <c:v>-0.200251071118748</c:v>
                </c:pt>
                <c:pt idx="106">
                  <c:v>-0.0380527835099498</c:v>
                </c:pt>
                <c:pt idx="107">
                  <c:v>-0.0948637736511468</c:v>
                </c:pt>
                <c:pt idx="108">
                  <c:v>-0.102101735717837</c:v>
                </c:pt>
                <c:pt idx="109">
                  <c:v>-0.133159066719669</c:v>
                </c:pt>
                <c:pt idx="110">
                  <c:v>-0.0924034618094343</c:v>
                </c:pt>
                <c:pt idx="111">
                  <c:v>0.0216877624393486</c:v>
                </c:pt>
                <c:pt idx="112">
                  <c:v>-0.0476550718209419</c:v>
                </c:pt>
                <c:pt idx="113">
                  <c:v>-0.0324597451977065</c:v>
                </c:pt>
                <c:pt idx="114">
                  <c:v>-0.0536130258842329</c:v>
                </c:pt>
                <c:pt idx="115">
                  <c:v>-0.0451822743080301</c:v>
                </c:pt>
                <c:pt idx="116">
                  <c:v>0.000619231415008414</c:v>
                </c:pt>
                <c:pt idx="117">
                  <c:v>-0.0310917765443377</c:v>
                </c:pt>
                <c:pt idx="118">
                  <c:v>-0.0139508507845187</c:v>
                </c:pt>
                <c:pt idx="119">
                  <c:v>0.0430006238225769</c:v>
                </c:pt>
                <c:pt idx="120">
                  <c:v>0.0346839583468892</c:v>
                </c:pt>
                <c:pt idx="121">
                  <c:v>0.0868863182297206</c:v>
                </c:pt>
                <c:pt idx="122">
                  <c:v>0.0638253897676968</c:v>
                </c:pt>
                <c:pt idx="123">
                  <c:v>0.0283180027327035</c:v>
                </c:pt>
                <c:pt idx="124">
                  <c:v>-0.00933251958441339</c:v>
                </c:pt>
                <c:pt idx="125">
                  <c:v>-0.0575611524701056</c:v>
                </c:pt>
                <c:pt idx="126">
                  <c:v>-0.00536657491480463</c:v>
                </c:pt>
                <c:pt idx="127">
                  <c:v>0.00731038406150297</c:v>
                </c:pt>
                <c:pt idx="128">
                  <c:v>-0.0372285334746088</c:v>
                </c:pt>
                <c:pt idx="129">
                  <c:v>0.0160394021795849</c:v>
                </c:pt>
                <c:pt idx="130">
                  <c:v>0.0545057562501317</c:v>
                </c:pt>
                <c:pt idx="131">
                  <c:v>0.0375480487483681</c:v>
                </c:pt>
                <c:pt idx="132">
                  <c:v>-0.14774149052879</c:v>
                </c:pt>
                <c:pt idx="133">
                  <c:v>-0.0408475091832763</c:v>
                </c:pt>
                <c:pt idx="134">
                  <c:v>-0.0042284013603533</c:v>
                </c:pt>
                <c:pt idx="135">
                  <c:v>-0.0149398985379219</c:v>
                </c:pt>
                <c:pt idx="136">
                  <c:v>0.0125426749159896</c:v>
                </c:pt>
                <c:pt idx="137">
                  <c:v>-0.0442371467633573</c:v>
                </c:pt>
                <c:pt idx="138">
                  <c:v>-0.000160412558474654</c:v>
                </c:pt>
                <c:pt idx="139">
                  <c:v>0.00337245055167701</c:v>
                </c:pt>
                <c:pt idx="140">
                  <c:v>-0.0204780651590735</c:v>
                </c:pt>
                <c:pt idx="141">
                  <c:v>-0.0503570480215712</c:v>
                </c:pt>
                <c:pt idx="142">
                  <c:v>-0.0917483897719635</c:v>
                </c:pt>
                <c:pt idx="143">
                  <c:v>-0.00373305038124228</c:v>
                </c:pt>
                <c:pt idx="144">
                  <c:v>0.0125255830898601</c:v>
                </c:pt>
                <c:pt idx="145">
                  <c:v>-0.0137303016335704</c:v>
                </c:pt>
                <c:pt idx="146">
                  <c:v>-0.00657590031757893</c:v>
                </c:pt>
                <c:pt idx="147">
                  <c:v>-0.121045055665332</c:v>
                </c:pt>
                <c:pt idx="148">
                  <c:v>-0.0508779144278946</c:v>
                </c:pt>
                <c:pt idx="149">
                  <c:v>-0.0119423465307005</c:v>
                </c:pt>
                <c:pt idx="150">
                  <c:v>-0.0804183542444075</c:v>
                </c:pt>
                <c:pt idx="151">
                  <c:v>-0.00642580964695361</c:v>
                </c:pt>
                <c:pt idx="152">
                  <c:v>-0.0242489759989084</c:v>
                </c:pt>
                <c:pt idx="153">
                  <c:v>-0.0306055181950491</c:v>
                </c:pt>
                <c:pt idx="154">
                  <c:v>-0.0879155211618845</c:v>
                </c:pt>
                <c:pt idx="155">
                  <c:v>-0.100269895785842</c:v>
                </c:pt>
                <c:pt idx="156">
                  <c:v>-0.0957895271966645</c:v>
                </c:pt>
                <c:pt idx="157">
                  <c:v>-0.0216576898715419</c:v>
                </c:pt>
                <c:pt idx="158">
                  <c:v>-0.0553632284295289</c:v>
                </c:pt>
                <c:pt idx="159">
                  <c:v>-0.00609637199860957</c:v>
                </c:pt>
                <c:pt idx="160">
                  <c:v>-0.0514121306729036</c:v>
                </c:pt>
                <c:pt idx="161">
                  <c:v>-0.00960730457929726</c:v>
                </c:pt>
                <c:pt idx="162">
                  <c:v>-0.00417877810493295</c:v>
                </c:pt>
                <c:pt idx="163">
                  <c:v>-0.095656461097223</c:v>
                </c:pt>
                <c:pt idx="164">
                  <c:v>-0.142866559069073</c:v>
                </c:pt>
                <c:pt idx="165">
                  <c:v>-0.0505629471179065</c:v>
                </c:pt>
                <c:pt idx="166">
                  <c:v>-0.140857562931946</c:v>
                </c:pt>
                <c:pt idx="167">
                  <c:v>-0.171964754376156</c:v>
                </c:pt>
                <c:pt idx="168">
                  <c:v>-0.151602674439234</c:v>
                </c:pt>
                <c:pt idx="169">
                  <c:v>-0.142728459124205</c:v>
                </c:pt>
                <c:pt idx="170">
                  <c:v>-0.0908047679277066</c:v>
                </c:pt>
                <c:pt idx="171">
                  <c:v>-0.0666738821800905</c:v>
                </c:pt>
                <c:pt idx="172">
                  <c:v>-0.145167006591673</c:v>
                </c:pt>
                <c:pt idx="173">
                  <c:v>-0.176440164005128</c:v>
                </c:pt>
                <c:pt idx="174">
                  <c:v>-0.137572555753933</c:v>
                </c:pt>
                <c:pt idx="175">
                  <c:v>-0.117315019383412</c:v>
                </c:pt>
                <c:pt idx="176">
                  <c:v>-0.156105018848664</c:v>
                </c:pt>
                <c:pt idx="177">
                  <c:v>-0.16390297209377</c:v>
                </c:pt>
                <c:pt idx="178">
                  <c:v>-0.150259936197359</c:v>
                </c:pt>
                <c:pt idx="179">
                  <c:v>-0.114397300242981</c:v>
                </c:pt>
                <c:pt idx="180">
                  <c:v>-0.117136162381917</c:v>
                </c:pt>
                <c:pt idx="181">
                  <c:v>-0.117091586626087</c:v>
                </c:pt>
                <c:pt idx="182">
                  <c:v>-0.112432896464759</c:v>
                </c:pt>
                <c:pt idx="183">
                  <c:v>-0.0645416240778136</c:v>
                </c:pt>
                <c:pt idx="184">
                  <c:v>-0.0962870577949775</c:v>
                </c:pt>
                <c:pt idx="185">
                  <c:v>-0.095185350541251</c:v>
                </c:pt>
                <c:pt idx="186">
                  <c:v>-0.110668457897021</c:v>
                </c:pt>
                <c:pt idx="187">
                  <c:v>-0.0819145994036132</c:v>
                </c:pt>
                <c:pt idx="188">
                  <c:v>-0.0976317198956007</c:v>
                </c:pt>
                <c:pt idx="189">
                  <c:v>-0.12413863184935</c:v>
                </c:pt>
                <c:pt idx="190">
                  <c:v>-0.114420267551515</c:v>
                </c:pt>
                <c:pt idx="191">
                  <c:v>-0.119858509984622</c:v>
                </c:pt>
                <c:pt idx="192">
                  <c:v>-0.0916712057707234</c:v>
                </c:pt>
                <c:pt idx="193">
                  <c:v>-0.155681111021592</c:v>
                </c:pt>
                <c:pt idx="194">
                  <c:v>-0.111865471495568</c:v>
                </c:pt>
                <c:pt idx="195">
                  <c:v>-0.1164591100373</c:v>
                </c:pt>
                <c:pt idx="196">
                  <c:v>-0.122989886612042</c:v>
                </c:pt>
                <c:pt idx="197">
                  <c:v>-0.182566559949517</c:v>
                </c:pt>
                <c:pt idx="198">
                  <c:v>-0.127584800867945</c:v>
                </c:pt>
                <c:pt idx="199">
                  <c:v>-0.124460242020064</c:v>
                </c:pt>
                <c:pt idx="200">
                  <c:v>-0.0549873496466131</c:v>
                </c:pt>
                <c:pt idx="201">
                  <c:v>-0.133059638705459</c:v>
                </c:pt>
                <c:pt idx="202">
                  <c:v>-0.181625623441384</c:v>
                </c:pt>
                <c:pt idx="203">
                  <c:v>-0.158914678531689</c:v>
                </c:pt>
                <c:pt idx="204">
                  <c:v>-0.0612986106680795</c:v>
                </c:pt>
                <c:pt idx="205">
                  <c:v>-0.0654856021626933</c:v>
                </c:pt>
                <c:pt idx="206">
                  <c:v>-0.181801752065862</c:v>
                </c:pt>
                <c:pt idx="207">
                  <c:v>-0.0906008943345364</c:v>
                </c:pt>
                <c:pt idx="208">
                  <c:v>-0.160345630125641</c:v>
                </c:pt>
                <c:pt idx="209">
                  <c:v>-0.181638761307193</c:v>
                </c:pt>
                <c:pt idx="210">
                  <c:v>-0.0835678326010414</c:v>
                </c:pt>
                <c:pt idx="211">
                  <c:v>-0.0680073042912257</c:v>
                </c:pt>
                <c:pt idx="212">
                  <c:v>-0.0994504290184248</c:v>
                </c:pt>
                <c:pt idx="213">
                  <c:v>-0.164050440694631</c:v>
                </c:pt>
                <c:pt idx="214">
                  <c:v>-0.0196136725950931</c:v>
                </c:pt>
                <c:pt idx="215">
                  <c:v>-0.129207997951867</c:v>
                </c:pt>
                <c:pt idx="216">
                  <c:v>-0.191213155328904</c:v>
                </c:pt>
                <c:pt idx="217">
                  <c:v>-0.141838771008081</c:v>
                </c:pt>
                <c:pt idx="218">
                  <c:v>-0.121294663570734</c:v>
                </c:pt>
                <c:pt idx="219">
                  <c:v>-0.106514117131133</c:v>
                </c:pt>
                <c:pt idx="220">
                  <c:v>-0.0967265398314798</c:v>
                </c:pt>
                <c:pt idx="221">
                  <c:v>-0.20719314851917</c:v>
                </c:pt>
                <c:pt idx="222">
                  <c:v>-0.0616078664720581</c:v>
                </c:pt>
                <c:pt idx="223">
                  <c:v>-0.143867341962899</c:v>
                </c:pt>
                <c:pt idx="224">
                  <c:v>-0.160975202585826</c:v>
                </c:pt>
                <c:pt idx="225">
                  <c:v>-0.171220386622502</c:v>
                </c:pt>
                <c:pt idx="226">
                  <c:v>-0.133692863522929</c:v>
                </c:pt>
                <c:pt idx="227">
                  <c:v>-0.0563319170985888</c:v>
                </c:pt>
                <c:pt idx="228">
                  <c:v>-0.159274331205242</c:v>
                </c:pt>
                <c:pt idx="229">
                  <c:v>-0.167442960065756</c:v>
                </c:pt>
                <c:pt idx="230">
                  <c:v>-0.220760962540827</c:v>
                </c:pt>
                <c:pt idx="231">
                  <c:v>-0.228202017050041</c:v>
                </c:pt>
                <c:pt idx="232">
                  <c:v>-0.297480468560745</c:v>
                </c:pt>
                <c:pt idx="233">
                  <c:v>-0.175988363565467</c:v>
                </c:pt>
                <c:pt idx="234">
                  <c:v>-0.176063921022468</c:v>
                </c:pt>
                <c:pt idx="235">
                  <c:v>-0.177045870457803</c:v>
                </c:pt>
                <c:pt idx="236">
                  <c:v>-0.200916022214805</c:v>
                </c:pt>
                <c:pt idx="237">
                  <c:v>-0.170001971243495</c:v>
                </c:pt>
                <c:pt idx="238">
                  <c:v>-0.169078155196613</c:v>
                </c:pt>
                <c:pt idx="239">
                  <c:v>-0.185473090753653</c:v>
                </c:pt>
                <c:pt idx="240">
                  <c:v>-0.168338867650282</c:v>
                </c:pt>
                <c:pt idx="241">
                  <c:v>-0.242388857083895</c:v>
                </c:pt>
                <c:pt idx="242">
                  <c:v>-0.244670653871139</c:v>
                </c:pt>
                <c:pt idx="243">
                  <c:v>-0.193274454326321</c:v>
                </c:pt>
                <c:pt idx="244">
                  <c:v>-0.320383342443748</c:v>
                </c:pt>
                <c:pt idx="245">
                  <c:v>-0.347865647507577</c:v>
                </c:pt>
                <c:pt idx="246">
                  <c:v>-0.363633761382964</c:v>
                </c:pt>
                <c:pt idx="247">
                  <c:v>-0.336845913601166</c:v>
                </c:pt>
                <c:pt idx="248">
                  <c:v>-0.295010848042173</c:v>
                </c:pt>
                <c:pt idx="249">
                  <c:v>-0.37893490707389</c:v>
                </c:pt>
                <c:pt idx="250">
                  <c:v>-0.270599900004055</c:v>
                </c:pt>
                <c:pt idx="251">
                  <c:v>-0.432772054902284</c:v>
                </c:pt>
                <c:pt idx="252">
                  <c:v>-0.406458401276831</c:v>
                </c:pt>
                <c:pt idx="253">
                  <c:v>-0.470775059555744</c:v>
                </c:pt>
                <c:pt idx="254">
                  <c:v>-0.444705811696858</c:v>
                </c:pt>
                <c:pt idx="255">
                  <c:v>-0.393718185160608</c:v>
                </c:pt>
                <c:pt idx="256">
                  <c:v>-0.403461571254236</c:v>
                </c:pt>
                <c:pt idx="257">
                  <c:v>-0.425685914828763</c:v>
                </c:pt>
                <c:pt idx="258">
                  <c:v>-0.401664867944834</c:v>
                </c:pt>
                <c:pt idx="259">
                  <c:v>-0.421304908483715</c:v>
                </c:pt>
                <c:pt idx="260">
                  <c:v>-0.451126654099364</c:v>
                </c:pt>
                <c:pt idx="261">
                  <c:v>-0.445461569444241</c:v>
                </c:pt>
                <c:pt idx="262">
                  <c:v>-0.520286848621989</c:v>
                </c:pt>
                <c:pt idx="263">
                  <c:v>-0.494764200595663</c:v>
                </c:pt>
                <c:pt idx="264">
                  <c:v>-0.546227307858437</c:v>
                </c:pt>
                <c:pt idx="265">
                  <c:v>-0.499443659776606</c:v>
                </c:pt>
                <c:pt idx="266">
                  <c:v>-0.511932207984449</c:v>
                </c:pt>
                <c:pt idx="267">
                  <c:v>-0.545755538829097</c:v>
                </c:pt>
                <c:pt idx="268">
                  <c:v>-0.617620570907535</c:v>
                </c:pt>
                <c:pt idx="269">
                  <c:v>-0.554665853293894</c:v>
                </c:pt>
                <c:pt idx="270">
                  <c:v>-0.540901165780425</c:v>
                </c:pt>
                <c:pt idx="271">
                  <c:v>-0.515847501592796</c:v>
                </c:pt>
                <c:pt idx="272">
                  <c:v>-0.527945660439633</c:v>
                </c:pt>
                <c:pt idx="273">
                  <c:v>-0.602418959765906</c:v>
                </c:pt>
                <c:pt idx="274">
                  <c:v>-0.47770971100095</c:v>
                </c:pt>
                <c:pt idx="275">
                  <c:v>-0.54312791186373</c:v>
                </c:pt>
                <c:pt idx="276">
                  <c:v>-0.570870229518405</c:v>
                </c:pt>
                <c:pt idx="277">
                  <c:v>-0.482003817389066</c:v>
                </c:pt>
                <c:pt idx="278">
                  <c:v>-0.597730971891276</c:v>
                </c:pt>
                <c:pt idx="279">
                  <c:v>-0.485192898284363</c:v>
                </c:pt>
                <c:pt idx="280">
                  <c:v>-0.518019521025679</c:v>
                </c:pt>
                <c:pt idx="281">
                  <c:v>-0.536343218437314</c:v>
                </c:pt>
                <c:pt idx="282">
                  <c:v>-0.489670321469202</c:v>
                </c:pt>
                <c:pt idx="283">
                  <c:v>-0.474790183203614</c:v>
                </c:pt>
                <c:pt idx="284">
                  <c:v>-0.492695896727913</c:v>
                </c:pt>
                <c:pt idx="285">
                  <c:v>-0.566177344753738</c:v>
                </c:pt>
                <c:pt idx="286">
                  <c:v>-0.445494097517639</c:v>
                </c:pt>
                <c:pt idx="287">
                  <c:v>-0.450062463432816</c:v>
                </c:pt>
                <c:pt idx="288">
                  <c:v>-0.516187226891381</c:v>
                </c:pt>
                <c:pt idx="289">
                  <c:v>-0.547870135138637</c:v>
                </c:pt>
                <c:pt idx="290">
                  <c:v>-0.527918533463776</c:v>
                </c:pt>
                <c:pt idx="291">
                  <c:v>-0.499224750866877</c:v>
                </c:pt>
                <c:pt idx="292">
                  <c:v>-0.470158430406844</c:v>
                </c:pt>
                <c:pt idx="293">
                  <c:v>-0.530691137935718</c:v>
                </c:pt>
                <c:pt idx="294">
                  <c:v>-0.58008169470675</c:v>
                </c:pt>
                <c:pt idx="295">
                  <c:v>-0.476158212576268</c:v>
                </c:pt>
                <c:pt idx="296">
                  <c:v>-0.52939331374847</c:v>
                </c:pt>
                <c:pt idx="297">
                  <c:v>-0.507874889140469</c:v>
                </c:pt>
                <c:pt idx="298">
                  <c:v>-0.499738607817393</c:v>
                </c:pt>
                <c:pt idx="299">
                  <c:v>-0.50814488448033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892307"/>
        <c:axId val="19801956"/>
      </c:lineChart>
      <c:catAx>
        <c:axId val="598923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deltaT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01956"/>
        <c:crosses val="autoZero"/>
        <c:auto val="1"/>
        <c:lblAlgn val="ctr"/>
        <c:lblOffset val="100"/>
        <c:noMultiLvlLbl val="0"/>
      </c:catAx>
      <c:valAx>
        <c:axId val="19801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923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Funcion de supervivencia de 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Supervivencia!C4</c:f>
              <c:strCache>
                <c:ptCount val="1"/>
                <c:pt idx="0">
                  <c:v>P_G_geq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Supervivencia!$B$5:$B$1504</c:f>
              <c:numCache>
                <c:formatCode>0.000</c:formatCode>
                <c:ptCount val="1500"/>
                <c:pt idx="0">
                  <c:v>144.713142713605</c:v>
                </c:pt>
                <c:pt idx="1">
                  <c:v>145.515954911213</c:v>
                </c:pt>
                <c:pt idx="2">
                  <c:v>145.551635453328</c:v>
                </c:pt>
                <c:pt idx="3">
                  <c:v>145.876328386583</c:v>
                </c:pt>
                <c:pt idx="4">
                  <c:v>145.908440874487</c:v>
                </c:pt>
                <c:pt idx="5">
                  <c:v>145.93698530818</c:v>
                </c:pt>
                <c:pt idx="6">
                  <c:v>146.154636615087</c:v>
                </c:pt>
                <c:pt idx="7">
                  <c:v>146.293790729339</c:v>
                </c:pt>
                <c:pt idx="8">
                  <c:v>146.311631000397</c:v>
                </c:pt>
                <c:pt idx="9">
                  <c:v>146.368719867782</c:v>
                </c:pt>
                <c:pt idx="10">
                  <c:v>146.393696247263</c:v>
                </c:pt>
                <c:pt idx="11">
                  <c:v>146.45435316886</c:v>
                </c:pt>
                <c:pt idx="12">
                  <c:v>146.486465656765</c:v>
                </c:pt>
                <c:pt idx="13">
                  <c:v>146.539986469938</c:v>
                </c:pt>
                <c:pt idx="14">
                  <c:v>146.550690632573</c:v>
                </c:pt>
                <c:pt idx="15">
                  <c:v>146.597075337324</c:v>
                </c:pt>
                <c:pt idx="16">
                  <c:v>146.600643391535</c:v>
                </c:pt>
                <c:pt idx="17">
                  <c:v>146.604211445747</c:v>
                </c:pt>
                <c:pt idx="18">
                  <c:v>146.647028096286</c:v>
                </c:pt>
                <c:pt idx="19">
                  <c:v>146.668436421556</c:v>
                </c:pt>
                <c:pt idx="20">
                  <c:v>146.689844746825</c:v>
                </c:pt>
                <c:pt idx="21">
                  <c:v>146.754069722634</c:v>
                </c:pt>
                <c:pt idx="22">
                  <c:v>146.754069722634</c:v>
                </c:pt>
                <c:pt idx="23">
                  <c:v>146.807590535808</c:v>
                </c:pt>
                <c:pt idx="24">
                  <c:v>146.878951620039</c:v>
                </c:pt>
                <c:pt idx="25">
                  <c:v>146.985993246387</c:v>
                </c:pt>
                <c:pt idx="26">
                  <c:v>147.025241842715</c:v>
                </c:pt>
                <c:pt idx="27">
                  <c:v>147.103739035369</c:v>
                </c:pt>
                <c:pt idx="28">
                  <c:v>147.460544456528</c:v>
                </c:pt>
                <c:pt idx="29">
                  <c:v>147.528337486548</c:v>
                </c:pt>
                <c:pt idx="30">
                  <c:v>147.581858299722</c:v>
                </c:pt>
                <c:pt idx="31">
                  <c:v>147.592562462357</c:v>
                </c:pt>
                <c:pt idx="32">
                  <c:v>147.59969857078</c:v>
                </c:pt>
                <c:pt idx="33">
                  <c:v>147.728148522397</c:v>
                </c:pt>
                <c:pt idx="34">
                  <c:v>148.013592859325</c:v>
                </c:pt>
                <c:pt idx="35">
                  <c:v>148.188427515692</c:v>
                </c:pt>
                <c:pt idx="36">
                  <c:v>148.224108057808</c:v>
                </c:pt>
                <c:pt idx="37">
                  <c:v>148.327581629944</c:v>
                </c:pt>
                <c:pt idx="38">
                  <c:v>148.334717738367</c:v>
                </c:pt>
                <c:pt idx="39">
                  <c:v>148.434623256292</c:v>
                </c:pt>
                <c:pt idx="40">
                  <c:v>148.552369045274</c:v>
                </c:pt>
                <c:pt idx="41">
                  <c:v>148.687955105315</c:v>
                </c:pt>
                <c:pt idx="42">
                  <c:v>148.752180081123</c:v>
                </c:pt>
                <c:pt idx="43">
                  <c:v>148.859221707471</c:v>
                </c:pt>
                <c:pt idx="44">
                  <c:v>148.941286954338</c:v>
                </c:pt>
                <c:pt idx="45">
                  <c:v>148.994807767511</c:v>
                </c:pt>
                <c:pt idx="46">
                  <c:v>149.098281339647</c:v>
                </c:pt>
                <c:pt idx="47">
                  <c:v>149.176778532302</c:v>
                </c:pt>
                <c:pt idx="48">
                  <c:v>149.319500700766</c:v>
                </c:pt>
                <c:pt idx="49">
                  <c:v>149.451518706595</c:v>
                </c:pt>
                <c:pt idx="50">
                  <c:v>149.744099151945</c:v>
                </c:pt>
                <c:pt idx="51">
                  <c:v>149.776211639849</c:v>
                </c:pt>
                <c:pt idx="52">
                  <c:v>149.918933808313</c:v>
                </c:pt>
                <c:pt idx="53">
                  <c:v>150.008135163602</c:v>
                </c:pt>
                <c:pt idx="54">
                  <c:v>150.104472627315</c:v>
                </c:pt>
                <c:pt idx="55">
                  <c:v>150.104472627315</c:v>
                </c:pt>
                <c:pt idx="56">
                  <c:v>150.104472627315</c:v>
                </c:pt>
                <c:pt idx="57">
                  <c:v>150.140153169431</c:v>
                </c:pt>
                <c:pt idx="58">
                  <c:v>150.147289277854</c:v>
                </c:pt>
                <c:pt idx="59">
                  <c:v>150.443437777416</c:v>
                </c:pt>
                <c:pt idx="60">
                  <c:v>150.514798861648</c:v>
                </c:pt>
                <c:pt idx="61">
                  <c:v>150.536207186918</c:v>
                </c:pt>
                <c:pt idx="62">
                  <c:v>150.67536130117</c:v>
                </c:pt>
                <c:pt idx="63">
                  <c:v>150.703905734862</c:v>
                </c:pt>
                <c:pt idx="64">
                  <c:v>150.707473789074</c:v>
                </c:pt>
                <c:pt idx="65">
                  <c:v>150.714609897497</c:v>
                </c:pt>
                <c:pt idx="66">
                  <c:v>150.725314060132</c:v>
                </c:pt>
                <c:pt idx="67">
                  <c:v>150.825219578056</c:v>
                </c:pt>
                <c:pt idx="68">
                  <c:v>150.87874039123</c:v>
                </c:pt>
                <c:pt idx="69">
                  <c:v>150.939397312827</c:v>
                </c:pt>
                <c:pt idx="70">
                  <c:v>150.960805638097</c:v>
                </c:pt>
                <c:pt idx="71">
                  <c:v>150.978645909155</c:v>
                </c:pt>
                <c:pt idx="72">
                  <c:v>151.067847264444</c:v>
                </c:pt>
                <c:pt idx="73">
                  <c:v>151.132072240253</c:v>
                </c:pt>
                <c:pt idx="74">
                  <c:v>151.146344457099</c:v>
                </c:pt>
                <c:pt idx="75">
                  <c:v>151.157048619734</c:v>
                </c:pt>
                <c:pt idx="76">
                  <c:v>151.196297216061</c:v>
                </c:pt>
                <c:pt idx="77">
                  <c:v>151.214137487119</c:v>
                </c:pt>
                <c:pt idx="78">
                  <c:v>151.224841649754</c:v>
                </c:pt>
                <c:pt idx="79">
                  <c:v>151.249818029235</c:v>
                </c:pt>
                <c:pt idx="80">
                  <c:v>151.299770788198</c:v>
                </c:pt>
                <c:pt idx="81">
                  <c:v>151.331883276102</c:v>
                </c:pt>
                <c:pt idx="82">
                  <c:v>151.367563818218</c:v>
                </c:pt>
                <c:pt idx="83">
                  <c:v>151.488877661412</c:v>
                </c:pt>
                <c:pt idx="84">
                  <c:v>151.524558203528</c:v>
                </c:pt>
                <c:pt idx="85">
                  <c:v>151.55310263722</c:v>
                </c:pt>
                <c:pt idx="86">
                  <c:v>151.560238745643</c:v>
                </c:pt>
                <c:pt idx="87">
                  <c:v>151.617327613029</c:v>
                </c:pt>
                <c:pt idx="88">
                  <c:v>151.702960914107</c:v>
                </c:pt>
                <c:pt idx="89">
                  <c:v>151.735073402011</c:v>
                </c:pt>
                <c:pt idx="90">
                  <c:v>151.738641456223</c:v>
                </c:pt>
                <c:pt idx="91">
                  <c:v>151.795730323608</c:v>
                </c:pt>
                <c:pt idx="92">
                  <c:v>151.802866432031</c:v>
                </c:pt>
                <c:pt idx="93">
                  <c:v>151.899203895744</c:v>
                </c:pt>
                <c:pt idx="94">
                  <c:v>151.913476112591</c:v>
                </c:pt>
                <c:pt idx="95">
                  <c:v>151.977701088399</c:v>
                </c:pt>
                <c:pt idx="96">
                  <c:v>151.988405251034</c:v>
                </c:pt>
                <c:pt idx="97">
                  <c:v>152.077606606324</c:v>
                </c:pt>
                <c:pt idx="98">
                  <c:v>152.099014931593</c:v>
                </c:pt>
                <c:pt idx="99">
                  <c:v>152.106151040016</c:v>
                </c:pt>
                <c:pt idx="100">
                  <c:v>152.120423256863</c:v>
                </c:pt>
                <c:pt idx="101">
                  <c:v>152.24887320848</c:v>
                </c:pt>
                <c:pt idx="102">
                  <c:v>152.298825967442</c:v>
                </c:pt>
                <c:pt idx="103">
                  <c:v>152.352346780616</c:v>
                </c:pt>
                <c:pt idx="104">
                  <c:v>152.413003702213</c:v>
                </c:pt>
                <c:pt idx="105">
                  <c:v>152.484364786445</c:v>
                </c:pt>
                <c:pt idx="106">
                  <c:v>152.498637003291</c:v>
                </c:pt>
                <c:pt idx="107">
                  <c:v>152.555725870677</c:v>
                </c:pt>
                <c:pt idx="108">
                  <c:v>152.612814738062</c:v>
                </c:pt>
                <c:pt idx="109">
                  <c:v>152.694879984929</c:v>
                </c:pt>
                <c:pt idx="110">
                  <c:v>152.69844803914</c:v>
                </c:pt>
                <c:pt idx="111">
                  <c:v>152.730560527044</c:v>
                </c:pt>
                <c:pt idx="112">
                  <c:v>152.744832743891</c:v>
                </c:pt>
                <c:pt idx="113">
                  <c:v>152.826897990757</c:v>
                </c:pt>
                <c:pt idx="114">
                  <c:v>152.866146587085</c:v>
                </c:pt>
                <c:pt idx="115">
                  <c:v>152.901827129201</c:v>
                </c:pt>
                <c:pt idx="116">
                  <c:v>152.912531291835</c:v>
                </c:pt>
                <c:pt idx="117">
                  <c:v>152.919667400259</c:v>
                </c:pt>
                <c:pt idx="118">
                  <c:v>152.941075725528</c:v>
                </c:pt>
                <c:pt idx="119">
                  <c:v>152.958915996586</c:v>
                </c:pt>
                <c:pt idx="120">
                  <c:v>152.958915996586</c:v>
                </c:pt>
                <c:pt idx="121">
                  <c:v>152.99102848449</c:v>
                </c:pt>
                <c:pt idx="122">
                  <c:v>152.994596538702</c:v>
                </c:pt>
                <c:pt idx="123">
                  <c:v>153.055253460299</c:v>
                </c:pt>
                <c:pt idx="124">
                  <c:v>153.058821514511</c:v>
                </c:pt>
                <c:pt idx="125">
                  <c:v>153.076661785569</c:v>
                </c:pt>
                <c:pt idx="126">
                  <c:v>153.105206219261</c:v>
                </c:pt>
                <c:pt idx="127">
                  <c:v>153.105206219261</c:v>
                </c:pt>
                <c:pt idx="128">
                  <c:v>153.172999249281</c:v>
                </c:pt>
                <c:pt idx="129">
                  <c:v>153.201543682974</c:v>
                </c:pt>
                <c:pt idx="130">
                  <c:v>153.247928387725</c:v>
                </c:pt>
                <c:pt idx="131">
                  <c:v>153.283608929841</c:v>
                </c:pt>
                <c:pt idx="132">
                  <c:v>153.32642558038</c:v>
                </c:pt>
                <c:pt idx="133">
                  <c:v>153.333561688803</c:v>
                </c:pt>
                <c:pt idx="134">
                  <c:v>153.340697797226</c:v>
                </c:pt>
                <c:pt idx="135">
                  <c:v>153.369242230919</c:v>
                </c:pt>
                <c:pt idx="136">
                  <c:v>153.37281028513</c:v>
                </c:pt>
                <c:pt idx="137">
                  <c:v>153.37281028513</c:v>
                </c:pt>
                <c:pt idx="138">
                  <c:v>153.390650556188</c:v>
                </c:pt>
                <c:pt idx="139">
                  <c:v>153.422763044093</c:v>
                </c:pt>
                <c:pt idx="140">
                  <c:v>153.429899152516</c:v>
                </c:pt>
                <c:pt idx="141">
                  <c:v>153.437035260939</c:v>
                </c:pt>
                <c:pt idx="142">
                  <c:v>153.447739423574</c:v>
                </c:pt>
                <c:pt idx="143">
                  <c:v>153.469147748843</c:v>
                </c:pt>
                <c:pt idx="144">
                  <c:v>153.494124128324</c:v>
                </c:pt>
                <c:pt idx="145">
                  <c:v>153.501260236748</c:v>
                </c:pt>
                <c:pt idx="146">
                  <c:v>153.504828290959</c:v>
                </c:pt>
                <c:pt idx="147">
                  <c:v>153.508396345171</c:v>
                </c:pt>
                <c:pt idx="148">
                  <c:v>153.558349104133</c:v>
                </c:pt>
                <c:pt idx="149">
                  <c:v>153.569053266768</c:v>
                </c:pt>
                <c:pt idx="150">
                  <c:v>153.615437971518</c:v>
                </c:pt>
                <c:pt idx="151">
                  <c:v>153.61900602573</c:v>
                </c:pt>
                <c:pt idx="152">
                  <c:v>153.651118513634</c:v>
                </c:pt>
                <c:pt idx="153">
                  <c:v>153.654686567846</c:v>
                </c:pt>
                <c:pt idx="154">
                  <c:v>153.654686567846</c:v>
                </c:pt>
                <c:pt idx="155">
                  <c:v>153.658254622057</c:v>
                </c:pt>
                <c:pt idx="156">
                  <c:v>153.658254622057</c:v>
                </c:pt>
                <c:pt idx="157">
                  <c:v>153.661822676269</c:v>
                </c:pt>
                <c:pt idx="158">
                  <c:v>153.665390730481</c:v>
                </c:pt>
                <c:pt idx="159">
                  <c:v>153.668958784692</c:v>
                </c:pt>
                <c:pt idx="160">
                  <c:v>153.711775435231</c:v>
                </c:pt>
                <c:pt idx="161">
                  <c:v>153.733183760501</c:v>
                </c:pt>
                <c:pt idx="162">
                  <c:v>153.733183760501</c:v>
                </c:pt>
                <c:pt idx="163">
                  <c:v>153.736751814712</c:v>
                </c:pt>
                <c:pt idx="164">
                  <c:v>153.751024031559</c:v>
                </c:pt>
                <c:pt idx="165">
                  <c:v>153.758160139982</c:v>
                </c:pt>
                <c:pt idx="166">
                  <c:v>153.779568465252</c:v>
                </c:pt>
                <c:pt idx="167">
                  <c:v>153.793840682098</c:v>
                </c:pt>
                <c:pt idx="168">
                  <c:v>153.800976790521</c:v>
                </c:pt>
                <c:pt idx="169">
                  <c:v>153.833089278425</c:v>
                </c:pt>
                <c:pt idx="170">
                  <c:v>153.836657332637</c:v>
                </c:pt>
                <c:pt idx="171">
                  <c:v>153.840225386849</c:v>
                </c:pt>
                <c:pt idx="172">
                  <c:v>153.84379344106</c:v>
                </c:pt>
                <c:pt idx="173">
                  <c:v>153.850929549483</c:v>
                </c:pt>
                <c:pt idx="174">
                  <c:v>153.879473983176</c:v>
                </c:pt>
                <c:pt idx="175">
                  <c:v>153.890178145811</c:v>
                </c:pt>
                <c:pt idx="176">
                  <c:v>153.893746200022</c:v>
                </c:pt>
                <c:pt idx="177">
                  <c:v>153.908018416869</c:v>
                </c:pt>
                <c:pt idx="178">
                  <c:v>153.91158647108</c:v>
                </c:pt>
                <c:pt idx="179">
                  <c:v>153.918722579503</c:v>
                </c:pt>
                <c:pt idx="180">
                  <c:v>153.929426742138</c:v>
                </c:pt>
                <c:pt idx="181">
                  <c:v>153.93299479635</c:v>
                </c:pt>
                <c:pt idx="182">
                  <c:v>153.936562850561</c:v>
                </c:pt>
                <c:pt idx="183">
                  <c:v>153.940130904773</c:v>
                </c:pt>
                <c:pt idx="184">
                  <c:v>153.9793795011</c:v>
                </c:pt>
                <c:pt idx="185">
                  <c:v>153.986515609524</c:v>
                </c:pt>
                <c:pt idx="186">
                  <c:v>154.00078782637</c:v>
                </c:pt>
                <c:pt idx="187">
                  <c:v>154.032900314274</c:v>
                </c:pt>
                <c:pt idx="188">
                  <c:v>154.054308639544</c:v>
                </c:pt>
                <c:pt idx="189">
                  <c:v>154.086421127448</c:v>
                </c:pt>
                <c:pt idx="190">
                  <c:v>154.08998918166</c:v>
                </c:pt>
                <c:pt idx="191">
                  <c:v>154.111397506929</c:v>
                </c:pt>
                <c:pt idx="192">
                  <c:v>154.118533615352</c:v>
                </c:pt>
                <c:pt idx="193">
                  <c:v>154.132805832199</c:v>
                </c:pt>
                <c:pt idx="194">
                  <c:v>154.13637388641</c:v>
                </c:pt>
                <c:pt idx="195">
                  <c:v>154.139941940622</c:v>
                </c:pt>
                <c:pt idx="196">
                  <c:v>154.143509994834</c:v>
                </c:pt>
                <c:pt idx="197">
                  <c:v>154.147078049045</c:v>
                </c:pt>
                <c:pt idx="198">
                  <c:v>154.150646103257</c:v>
                </c:pt>
                <c:pt idx="199">
                  <c:v>154.15778221168</c:v>
                </c:pt>
                <c:pt idx="200">
                  <c:v>154.161350265891</c:v>
                </c:pt>
                <c:pt idx="201">
                  <c:v>154.172054428526</c:v>
                </c:pt>
                <c:pt idx="202">
                  <c:v>154.175622482738</c:v>
                </c:pt>
                <c:pt idx="203">
                  <c:v>154.2255752417</c:v>
                </c:pt>
                <c:pt idx="204">
                  <c:v>154.229143295912</c:v>
                </c:pt>
                <c:pt idx="205">
                  <c:v>154.243415512758</c:v>
                </c:pt>
                <c:pt idx="206">
                  <c:v>154.250551621181</c:v>
                </c:pt>
                <c:pt idx="207">
                  <c:v>154.257687729604</c:v>
                </c:pt>
                <c:pt idx="208">
                  <c:v>154.261255783816</c:v>
                </c:pt>
                <c:pt idx="209">
                  <c:v>154.279096054874</c:v>
                </c:pt>
                <c:pt idx="210">
                  <c:v>154.282664109085</c:v>
                </c:pt>
                <c:pt idx="211">
                  <c:v>154.296936325932</c:v>
                </c:pt>
                <c:pt idx="212">
                  <c:v>154.300504380143</c:v>
                </c:pt>
                <c:pt idx="213">
                  <c:v>154.357593247529</c:v>
                </c:pt>
                <c:pt idx="214">
                  <c:v>154.357593247529</c:v>
                </c:pt>
                <c:pt idx="215">
                  <c:v>154.36116130174</c:v>
                </c:pt>
                <c:pt idx="216">
                  <c:v>154.364729355952</c:v>
                </c:pt>
                <c:pt idx="217">
                  <c:v>154.368297410164</c:v>
                </c:pt>
                <c:pt idx="218">
                  <c:v>154.418250169126</c:v>
                </c:pt>
                <c:pt idx="219">
                  <c:v>154.468202928088</c:v>
                </c:pt>
                <c:pt idx="220">
                  <c:v>154.4717709823</c:v>
                </c:pt>
                <c:pt idx="221">
                  <c:v>154.4717709823</c:v>
                </c:pt>
                <c:pt idx="222">
                  <c:v>154.478907090723</c:v>
                </c:pt>
                <c:pt idx="223">
                  <c:v>154.489611253358</c:v>
                </c:pt>
                <c:pt idx="224">
                  <c:v>154.493179307569</c:v>
                </c:pt>
                <c:pt idx="225">
                  <c:v>154.51815568705</c:v>
                </c:pt>
                <c:pt idx="226">
                  <c:v>154.528859849685</c:v>
                </c:pt>
                <c:pt idx="227">
                  <c:v>154.550268174955</c:v>
                </c:pt>
                <c:pt idx="228">
                  <c:v>154.553836229166</c:v>
                </c:pt>
                <c:pt idx="229">
                  <c:v>154.553836229166</c:v>
                </c:pt>
                <c:pt idx="230">
                  <c:v>154.553836229166</c:v>
                </c:pt>
                <c:pt idx="231">
                  <c:v>154.560972337589</c:v>
                </c:pt>
                <c:pt idx="232">
                  <c:v>154.575244554436</c:v>
                </c:pt>
                <c:pt idx="233">
                  <c:v>154.593084825494</c:v>
                </c:pt>
                <c:pt idx="234">
                  <c:v>154.60735704234</c:v>
                </c:pt>
                <c:pt idx="235">
                  <c:v>154.62876536761</c:v>
                </c:pt>
                <c:pt idx="236">
                  <c:v>154.62876536761</c:v>
                </c:pt>
                <c:pt idx="237">
                  <c:v>154.646605638667</c:v>
                </c:pt>
                <c:pt idx="238">
                  <c:v>154.646605638667</c:v>
                </c:pt>
                <c:pt idx="239">
                  <c:v>154.650173692879</c:v>
                </c:pt>
                <c:pt idx="240">
                  <c:v>154.664445909725</c:v>
                </c:pt>
                <c:pt idx="241">
                  <c:v>154.664445909725</c:v>
                </c:pt>
                <c:pt idx="242">
                  <c:v>154.67515007236</c:v>
                </c:pt>
                <c:pt idx="243">
                  <c:v>154.728670885534</c:v>
                </c:pt>
                <c:pt idx="244">
                  <c:v>154.753647265015</c:v>
                </c:pt>
                <c:pt idx="245">
                  <c:v>154.771487536073</c:v>
                </c:pt>
                <c:pt idx="246">
                  <c:v>154.778623644496</c:v>
                </c:pt>
                <c:pt idx="247">
                  <c:v>154.778623644496</c:v>
                </c:pt>
                <c:pt idx="248">
                  <c:v>154.792895861343</c:v>
                </c:pt>
                <c:pt idx="249">
                  <c:v>154.821440295035</c:v>
                </c:pt>
                <c:pt idx="250">
                  <c:v>154.825008349247</c:v>
                </c:pt>
                <c:pt idx="251">
                  <c:v>154.828576403458</c:v>
                </c:pt>
                <c:pt idx="252">
                  <c:v>154.842848620305</c:v>
                </c:pt>
                <c:pt idx="253">
                  <c:v>154.857120837151</c:v>
                </c:pt>
                <c:pt idx="254">
                  <c:v>154.892801379267</c:v>
                </c:pt>
                <c:pt idx="255">
                  <c:v>154.903505541902</c:v>
                </c:pt>
                <c:pt idx="256">
                  <c:v>154.903505541902</c:v>
                </c:pt>
                <c:pt idx="257">
                  <c:v>154.914209704537</c:v>
                </c:pt>
                <c:pt idx="258">
                  <c:v>154.914209704537</c:v>
                </c:pt>
                <c:pt idx="259">
                  <c:v>154.92134581296</c:v>
                </c:pt>
                <c:pt idx="260">
                  <c:v>154.92134581296</c:v>
                </c:pt>
                <c:pt idx="261">
                  <c:v>154.924913867171</c:v>
                </c:pt>
                <c:pt idx="262">
                  <c:v>154.949890246652</c:v>
                </c:pt>
                <c:pt idx="263">
                  <c:v>154.957026355076</c:v>
                </c:pt>
                <c:pt idx="264">
                  <c:v>154.971298571922</c:v>
                </c:pt>
                <c:pt idx="265">
                  <c:v>154.992706897192</c:v>
                </c:pt>
                <c:pt idx="266">
                  <c:v>154.999843005615</c:v>
                </c:pt>
                <c:pt idx="267">
                  <c:v>155.014115222461</c:v>
                </c:pt>
                <c:pt idx="268">
                  <c:v>155.024819385096</c:v>
                </c:pt>
                <c:pt idx="269">
                  <c:v>155.024819385096</c:v>
                </c:pt>
                <c:pt idx="270">
                  <c:v>155.024819385096</c:v>
                </c:pt>
                <c:pt idx="271">
                  <c:v>155.035523547731</c:v>
                </c:pt>
                <c:pt idx="272">
                  <c:v>155.039091601942</c:v>
                </c:pt>
                <c:pt idx="273">
                  <c:v>155.067636035635</c:v>
                </c:pt>
                <c:pt idx="274">
                  <c:v>155.071204089847</c:v>
                </c:pt>
                <c:pt idx="275">
                  <c:v>155.085476306693</c:v>
                </c:pt>
                <c:pt idx="276">
                  <c:v>155.085476306693</c:v>
                </c:pt>
                <c:pt idx="277">
                  <c:v>155.106884631962</c:v>
                </c:pt>
                <c:pt idx="278">
                  <c:v>155.138997119867</c:v>
                </c:pt>
                <c:pt idx="279">
                  <c:v>155.149701282501</c:v>
                </c:pt>
                <c:pt idx="280">
                  <c:v>155.178245716194</c:v>
                </c:pt>
                <c:pt idx="281">
                  <c:v>155.181813770406</c:v>
                </c:pt>
                <c:pt idx="282">
                  <c:v>155.188949878829</c:v>
                </c:pt>
                <c:pt idx="283">
                  <c:v>155.206790149887</c:v>
                </c:pt>
                <c:pt idx="284">
                  <c:v>155.228198475156</c:v>
                </c:pt>
                <c:pt idx="285">
                  <c:v>155.253174854638</c:v>
                </c:pt>
                <c:pt idx="286">
                  <c:v>155.256742908849</c:v>
                </c:pt>
                <c:pt idx="287">
                  <c:v>155.263879017272</c:v>
                </c:pt>
                <c:pt idx="288">
                  <c:v>155.274583179907</c:v>
                </c:pt>
                <c:pt idx="289">
                  <c:v>155.278151234119</c:v>
                </c:pt>
                <c:pt idx="290">
                  <c:v>155.285287342542</c:v>
                </c:pt>
                <c:pt idx="291">
                  <c:v>155.288855396753</c:v>
                </c:pt>
                <c:pt idx="292">
                  <c:v>155.288855396753</c:v>
                </c:pt>
                <c:pt idx="293">
                  <c:v>155.313831776235</c:v>
                </c:pt>
                <c:pt idx="294">
                  <c:v>155.317399830446</c:v>
                </c:pt>
                <c:pt idx="295">
                  <c:v>155.338808155716</c:v>
                </c:pt>
                <c:pt idx="296">
                  <c:v>155.338808155716</c:v>
                </c:pt>
                <c:pt idx="297">
                  <c:v>155.342376209927</c:v>
                </c:pt>
                <c:pt idx="298">
                  <c:v>155.363784535197</c:v>
                </c:pt>
                <c:pt idx="299">
                  <c:v>155.37092064362</c:v>
                </c:pt>
                <c:pt idx="300">
                  <c:v>155.374488697832</c:v>
                </c:pt>
                <c:pt idx="301">
                  <c:v>155.378056752043</c:v>
                </c:pt>
                <c:pt idx="302">
                  <c:v>155.403033131524</c:v>
                </c:pt>
                <c:pt idx="303">
                  <c:v>155.410169239947</c:v>
                </c:pt>
                <c:pt idx="304">
                  <c:v>155.449417836275</c:v>
                </c:pt>
                <c:pt idx="305">
                  <c:v>155.46012199891</c:v>
                </c:pt>
                <c:pt idx="306">
                  <c:v>155.467258107333</c:v>
                </c:pt>
                <c:pt idx="307">
                  <c:v>155.492234486814</c:v>
                </c:pt>
                <c:pt idx="308">
                  <c:v>155.517210866295</c:v>
                </c:pt>
                <c:pt idx="309">
                  <c:v>155.520778920507</c:v>
                </c:pt>
                <c:pt idx="310">
                  <c:v>155.52791502893</c:v>
                </c:pt>
                <c:pt idx="311">
                  <c:v>155.531483083141</c:v>
                </c:pt>
                <c:pt idx="312">
                  <c:v>155.549323354199</c:v>
                </c:pt>
                <c:pt idx="313">
                  <c:v>155.549323354199</c:v>
                </c:pt>
                <c:pt idx="314">
                  <c:v>155.570731679469</c:v>
                </c:pt>
                <c:pt idx="315">
                  <c:v>155.581435842104</c:v>
                </c:pt>
                <c:pt idx="316">
                  <c:v>155.592140004738</c:v>
                </c:pt>
                <c:pt idx="317">
                  <c:v>155.602844167373</c:v>
                </c:pt>
                <c:pt idx="318">
                  <c:v>155.602844167373</c:v>
                </c:pt>
                <c:pt idx="319">
                  <c:v>155.609980275796</c:v>
                </c:pt>
                <c:pt idx="320">
                  <c:v>155.624252492643</c:v>
                </c:pt>
                <c:pt idx="321">
                  <c:v>155.638524709489</c:v>
                </c:pt>
                <c:pt idx="322">
                  <c:v>155.688477468451</c:v>
                </c:pt>
                <c:pt idx="323">
                  <c:v>155.706317739509</c:v>
                </c:pt>
                <c:pt idx="324">
                  <c:v>155.706317739509</c:v>
                </c:pt>
                <c:pt idx="325">
                  <c:v>155.706317739509</c:v>
                </c:pt>
                <c:pt idx="326">
                  <c:v>155.713453847932</c:v>
                </c:pt>
                <c:pt idx="327">
                  <c:v>155.713453847932</c:v>
                </c:pt>
                <c:pt idx="328">
                  <c:v>155.717021902144</c:v>
                </c:pt>
                <c:pt idx="329">
                  <c:v>155.756270498471</c:v>
                </c:pt>
                <c:pt idx="330">
                  <c:v>155.766974661106</c:v>
                </c:pt>
                <c:pt idx="331">
                  <c:v>155.781246877953</c:v>
                </c:pt>
                <c:pt idx="332">
                  <c:v>155.781246877953</c:v>
                </c:pt>
                <c:pt idx="333">
                  <c:v>155.781246877953</c:v>
                </c:pt>
                <c:pt idx="334">
                  <c:v>155.784814932164</c:v>
                </c:pt>
                <c:pt idx="335">
                  <c:v>155.799087149011</c:v>
                </c:pt>
                <c:pt idx="336">
                  <c:v>155.802655203222</c:v>
                </c:pt>
                <c:pt idx="337">
                  <c:v>155.806223257434</c:v>
                </c:pt>
                <c:pt idx="338">
                  <c:v>155.806223257434</c:v>
                </c:pt>
                <c:pt idx="339">
                  <c:v>155.809791311645</c:v>
                </c:pt>
                <c:pt idx="340">
                  <c:v>155.809791311645</c:v>
                </c:pt>
                <c:pt idx="341">
                  <c:v>155.827631582703</c:v>
                </c:pt>
                <c:pt idx="342">
                  <c:v>155.849039907973</c:v>
                </c:pt>
                <c:pt idx="343">
                  <c:v>155.852607962184</c:v>
                </c:pt>
                <c:pt idx="344">
                  <c:v>155.863312124819</c:v>
                </c:pt>
                <c:pt idx="345">
                  <c:v>155.881152395877</c:v>
                </c:pt>
                <c:pt idx="346">
                  <c:v>155.898992666935</c:v>
                </c:pt>
                <c:pt idx="347">
                  <c:v>155.902560721147</c:v>
                </c:pt>
                <c:pt idx="348">
                  <c:v>155.906128775358</c:v>
                </c:pt>
                <c:pt idx="349">
                  <c:v>155.90969682957</c:v>
                </c:pt>
                <c:pt idx="350">
                  <c:v>155.913264883781</c:v>
                </c:pt>
                <c:pt idx="351">
                  <c:v>155.923969046416</c:v>
                </c:pt>
                <c:pt idx="352">
                  <c:v>155.927537100628</c:v>
                </c:pt>
                <c:pt idx="353">
                  <c:v>155.945377371686</c:v>
                </c:pt>
                <c:pt idx="354">
                  <c:v>155.959649588532</c:v>
                </c:pt>
                <c:pt idx="355">
                  <c:v>155.966785696955</c:v>
                </c:pt>
                <c:pt idx="356">
                  <c:v>155.991762076436</c:v>
                </c:pt>
                <c:pt idx="357">
                  <c:v>155.995330130648</c:v>
                </c:pt>
                <c:pt idx="358">
                  <c:v>155.995330130648</c:v>
                </c:pt>
                <c:pt idx="359">
                  <c:v>156.006034293283</c:v>
                </c:pt>
                <c:pt idx="360">
                  <c:v>156.009602347494</c:v>
                </c:pt>
                <c:pt idx="361">
                  <c:v>156.013170401706</c:v>
                </c:pt>
                <c:pt idx="362">
                  <c:v>156.016738455917</c:v>
                </c:pt>
                <c:pt idx="363">
                  <c:v>156.020306510129</c:v>
                </c:pt>
                <c:pt idx="364">
                  <c:v>156.020306510129</c:v>
                </c:pt>
                <c:pt idx="365">
                  <c:v>156.023874564341</c:v>
                </c:pt>
                <c:pt idx="366">
                  <c:v>156.027442618552</c:v>
                </c:pt>
                <c:pt idx="367">
                  <c:v>156.027442618552</c:v>
                </c:pt>
                <c:pt idx="368">
                  <c:v>156.038146781187</c:v>
                </c:pt>
                <c:pt idx="369">
                  <c:v>156.041714835399</c:v>
                </c:pt>
                <c:pt idx="370">
                  <c:v>156.052418998033</c:v>
                </c:pt>
                <c:pt idx="371">
                  <c:v>156.055987052245</c:v>
                </c:pt>
                <c:pt idx="372">
                  <c:v>156.063123160668</c:v>
                </c:pt>
                <c:pt idx="373">
                  <c:v>156.070259269091</c:v>
                </c:pt>
                <c:pt idx="374">
                  <c:v>156.095235648572</c:v>
                </c:pt>
                <c:pt idx="375">
                  <c:v>156.116643973842</c:v>
                </c:pt>
                <c:pt idx="376">
                  <c:v>156.116643973842</c:v>
                </c:pt>
                <c:pt idx="377">
                  <c:v>156.127348136477</c:v>
                </c:pt>
                <c:pt idx="378">
                  <c:v>156.1344842449</c:v>
                </c:pt>
                <c:pt idx="379">
                  <c:v>156.1344842449</c:v>
                </c:pt>
                <c:pt idx="380">
                  <c:v>156.148756461746</c:v>
                </c:pt>
                <c:pt idx="381">
                  <c:v>156.166596732804</c:v>
                </c:pt>
                <c:pt idx="382">
                  <c:v>156.180868949651</c:v>
                </c:pt>
                <c:pt idx="383">
                  <c:v>156.180868949651</c:v>
                </c:pt>
                <c:pt idx="384">
                  <c:v>156.180868949651</c:v>
                </c:pt>
                <c:pt idx="385">
                  <c:v>156.188005058074</c:v>
                </c:pt>
                <c:pt idx="386">
                  <c:v>156.191573112285</c:v>
                </c:pt>
                <c:pt idx="387">
                  <c:v>156.205845329132</c:v>
                </c:pt>
                <c:pt idx="388">
                  <c:v>156.205845329132</c:v>
                </c:pt>
                <c:pt idx="389">
                  <c:v>156.22368560019</c:v>
                </c:pt>
                <c:pt idx="390">
                  <c:v>156.227253654401</c:v>
                </c:pt>
                <c:pt idx="391">
                  <c:v>156.234389762824</c:v>
                </c:pt>
                <c:pt idx="392">
                  <c:v>156.245093925459</c:v>
                </c:pt>
                <c:pt idx="393">
                  <c:v>156.262934196517</c:v>
                </c:pt>
                <c:pt idx="394">
                  <c:v>156.266502250729</c:v>
                </c:pt>
                <c:pt idx="395">
                  <c:v>156.27007030494</c:v>
                </c:pt>
                <c:pt idx="396">
                  <c:v>156.27007030494</c:v>
                </c:pt>
                <c:pt idx="397">
                  <c:v>156.273638359152</c:v>
                </c:pt>
                <c:pt idx="398">
                  <c:v>156.33786333496</c:v>
                </c:pt>
                <c:pt idx="399">
                  <c:v>156.341431389172</c:v>
                </c:pt>
                <c:pt idx="400">
                  <c:v>156.344999443384</c:v>
                </c:pt>
                <c:pt idx="401">
                  <c:v>156.344999443384</c:v>
                </c:pt>
                <c:pt idx="402">
                  <c:v>156.344999443384</c:v>
                </c:pt>
                <c:pt idx="403">
                  <c:v>156.362839714442</c:v>
                </c:pt>
                <c:pt idx="404">
                  <c:v>156.387816093923</c:v>
                </c:pt>
                <c:pt idx="405">
                  <c:v>156.387816093923</c:v>
                </c:pt>
                <c:pt idx="406">
                  <c:v>156.391384148134</c:v>
                </c:pt>
                <c:pt idx="407">
                  <c:v>156.394952202346</c:v>
                </c:pt>
                <c:pt idx="408">
                  <c:v>156.394952202346</c:v>
                </c:pt>
                <c:pt idx="409">
                  <c:v>156.405656364981</c:v>
                </c:pt>
                <c:pt idx="410">
                  <c:v>156.409224419192</c:v>
                </c:pt>
                <c:pt idx="411">
                  <c:v>156.437768852885</c:v>
                </c:pt>
                <c:pt idx="412">
                  <c:v>156.459177178154</c:v>
                </c:pt>
                <c:pt idx="413">
                  <c:v>156.466313286578</c:v>
                </c:pt>
                <c:pt idx="414">
                  <c:v>156.512697991328</c:v>
                </c:pt>
                <c:pt idx="415">
                  <c:v>156.512697991328</c:v>
                </c:pt>
                <c:pt idx="416">
                  <c:v>156.534106316598</c:v>
                </c:pt>
                <c:pt idx="417">
                  <c:v>156.537674370809</c:v>
                </c:pt>
                <c:pt idx="418">
                  <c:v>156.548378533444</c:v>
                </c:pt>
                <c:pt idx="419">
                  <c:v>156.559082696079</c:v>
                </c:pt>
                <c:pt idx="420">
                  <c:v>156.559082696079</c:v>
                </c:pt>
                <c:pt idx="421">
                  <c:v>156.559082696079</c:v>
                </c:pt>
                <c:pt idx="422">
                  <c:v>156.566218804502</c:v>
                </c:pt>
                <c:pt idx="423">
                  <c:v>156.58405907556</c:v>
                </c:pt>
                <c:pt idx="424">
                  <c:v>156.58405907556</c:v>
                </c:pt>
                <c:pt idx="425">
                  <c:v>156.591195183983</c:v>
                </c:pt>
                <c:pt idx="426">
                  <c:v>156.594763238195</c:v>
                </c:pt>
                <c:pt idx="427">
                  <c:v>156.609035455041</c:v>
                </c:pt>
                <c:pt idx="428">
                  <c:v>156.658988214003</c:v>
                </c:pt>
                <c:pt idx="429">
                  <c:v>156.669692376638</c:v>
                </c:pt>
                <c:pt idx="430">
                  <c:v>156.67326043085</c:v>
                </c:pt>
                <c:pt idx="431">
                  <c:v>156.687532647696</c:v>
                </c:pt>
                <c:pt idx="432">
                  <c:v>156.694668756119</c:v>
                </c:pt>
                <c:pt idx="433">
                  <c:v>156.708940972966</c:v>
                </c:pt>
                <c:pt idx="434">
                  <c:v>156.7196451356</c:v>
                </c:pt>
                <c:pt idx="435">
                  <c:v>156.769597894563</c:v>
                </c:pt>
                <c:pt idx="436">
                  <c:v>156.776734002986</c:v>
                </c:pt>
                <c:pt idx="437">
                  <c:v>156.776734002986</c:v>
                </c:pt>
                <c:pt idx="438">
                  <c:v>156.791006219832</c:v>
                </c:pt>
                <c:pt idx="439">
                  <c:v>156.798142328255</c:v>
                </c:pt>
                <c:pt idx="440">
                  <c:v>156.823118707736</c:v>
                </c:pt>
                <c:pt idx="441">
                  <c:v>156.862367304064</c:v>
                </c:pt>
                <c:pt idx="442">
                  <c:v>156.87663952091</c:v>
                </c:pt>
                <c:pt idx="443">
                  <c:v>156.883775629333</c:v>
                </c:pt>
                <c:pt idx="444">
                  <c:v>156.890911737757</c:v>
                </c:pt>
                <c:pt idx="445">
                  <c:v>156.901615900391</c:v>
                </c:pt>
                <c:pt idx="446">
                  <c:v>156.908752008815</c:v>
                </c:pt>
                <c:pt idx="447">
                  <c:v>156.923024225661</c:v>
                </c:pt>
                <c:pt idx="448">
                  <c:v>156.933728388296</c:v>
                </c:pt>
                <c:pt idx="449">
                  <c:v>156.940864496719</c:v>
                </c:pt>
                <c:pt idx="450">
                  <c:v>156.940864496719</c:v>
                </c:pt>
                <c:pt idx="451">
                  <c:v>156.948000605142</c:v>
                </c:pt>
                <c:pt idx="452">
                  <c:v>156.955136713565</c:v>
                </c:pt>
                <c:pt idx="453">
                  <c:v>156.9658408762</c:v>
                </c:pt>
                <c:pt idx="454">
                  <c:v>156.997953364104</c:v>
                </c:pt>
                <c:pt idx="455">
                  <c:v>157.005089472527</c:v>
                </c:pt>
                <c:pt idx="456">
                  <c:v>157.015793635162</c:v>
                </c:pt>
                <c:pt idx="457">
                  <c:v>157.015793635162</c:v>
                </c:pt>
                <c:pt idx="458">
                  <c:v>157.015793635162</c:v>
                </c:pt>
                <c:pt idx="459">
                  <c:v>157.019361689374</c:v>
                </c:pt>
                <c:pt idx="460">
                  <c:v>157.026497797797</c:v>
                </c:pt>
                <c:pt idx="461">
                  <c:v>157.030065852009</c:v>
                </c:pt>
                <c:pt idx="462">
                  <c:v>157.030065852009</c:v>
                </c:pt>
                <c:pt idx="463">
                  <c:v>157.03363390622</c:v>
                </c:pt>
                <c:pt idx="464">
                  <c:v>157.03363390622</c:v>
                </c:pt>
                <c:pt idx="465">
                  <c:v>157.044338068855</c:v>
                </c:pt>
                <c:pt idx="466">
                  <c:v>157.058610285701</c:v>
                </c:pt>
                <c:pt idx="467">
                  <c:v>157.097858882029</c:v>
                </c:pt>
                <c:pt idx="468">
                  <c:v>157.104994990452</c:v>
                </c:pt>
                <c:pt idx="469">
                  <c:v>157.140675532568</c:v>
                </c:pt>
                <c:pt idx="470">
                  <c:v>157.144243586779</c:v>
                </c:pt>
                <c:pt idx="471">
                  <c:v>157.165651912049</c:v>
                </c:pt>
                <c:pt idx="472">
                  <c:v>157.179924128895</c:v>
                </c:pt>
                <c:pt idx="473">
                  <c:v>157.215604671011</c:v>
                </c:pt>
                <c:pt idx="474">
                  <c:v>157.219172725223</c:v>
                </c:pt>
                <c:pt idx="475">
                  <c:v>157.219172725223</c:v>
                </c:pt>
                <c:pt idx="476">
                  <c:v>157.247717158915</c:v>
                </c:pt>
                <c:pt idx="477">
                  <c:v>157.247717158915</c:v>
                </c:pt>
                <c:pt idx="478">
                  <c:v>157.247717158915</c:v>
                </c:pt>
                <c:pt idx="479">
                  <c:v>157.251285213127</c:v>
                </c:pt>
                <c:pt idx="480">
                  <c:v>157.265557429973</c:v>
                </c:pt>
                <c:pt idx="481">
                  <c:v>157.276261592608</c:v>
                </c:pt>
                <c:pt idx="482">
                  <c:v>157.283397701031</c:v>
                </c:pt>
                <c:pt idx="483">
                  <c:v>157.294101863666</c:v>
                </c:pt>
                <c:pt idx="484">
                  <c:v>157.329782405782</c:v>
                </c:pt>
                <c:pt idx="485">
                  <c:v>157.34762267684</c:v>
                </c:pt>
                <c:pt idx="486">
                  <c:v>157.354758785263</c:v>
                </c:pt>
                <c:pt idx="487">
                  <c:v>157.376167110533</c:v>
                </c:pt>
                <c:pt idx="488">
                  <c:v>157.386871273167</c:v>
                </c:pt>
                <c:pt idx="489">
                  <c:v>157.408279598437</c:v>
                </c:pt>
                <c:pt idx="490">
                  <c:v>157.418983761072</c:v>
                </c:pt>
                <c:pt idx="491">
                  <c:v>157.433255977918</c:v>
                </c:pt>
                <c:pt idx="492">
                  <c:v>157.451096248976</c:v>
                </c:pt>
                <c:pt idx="493">
                  <c:v>157.454664303188</c:v>
                </c:pt>
                <c:pt idx="494">
                  <c:v>157.458232357399</c:v>
                </c:pt>
                <c:pt idx="495">
                  <c:v>157.48320873688</c:v>
                </c:pt>
                <c:pt idx="496">
                  <c:v>157.508185116361</c:v>
                </c:pt>
                <c:pt idx="497">
                  <c:v>157.529593441631</c:v>
                </c:pt>
                <c:pt idx="498">
                  <c:v>157.547433712689</c:v>
                </c:pt>
                <c:pt idx="499">
                  <c:v>157.561705929535</c:v>
                </c:pt>
                <c:pt idx="500">
                  <c:v>157.565273983747</c:v>
                </c:pt>
                <c:pt idx="501">
                  <c:v>157.568842037958</c:v>
                </c:pt>
                <c:pt idx="502">
                  <c:v>157.57241009217</c:v>
                </c:pt>
                <c:pt idx="503">
                  <c:v>157.575978146382</c:v>
                </c:pt>
                <c:pt idx="504">
                  <c:v>157.575978146382</c:v>
                </c:pt>
                <c:pt idx="505">
                  <c:v>157.583114254805</c:v>
                </c:pt>
                <c:pt idx="506">
                  <c:v>157.597386471651</c:v>
                </c:pt>
                <c:pt idx="507">
                  <c:v>157.608090634286</c:v>
                </c:pt>
                <c:pt idx="508">
                  <c:v>157.636635067979</c:v>
                </c:pt>
                <c:pt idx="509">
                  <c:v>157.665179501671</c:v>
                </c:pt>
                <c:pt idx="510">
                  <c:v>157.683019772729</c:v>
                </c:pt>
                <c:pt idx="511">
                  <c:v>157.700860043787</c:v>
                </c:pt>
                <c:pt idx="512">
                  <c:v>157.70799615221</c:v>
                </c:pt>
                <c:pt idx="513">
                  <c:v>157.750812802749</c:v>
                </c:pt>
                <c:pt idx="514">
                  <c:v>157.754380856961</c:v>
                </c:pt>
                <c:pt idx="515">
                  <c:v>157.757948911173</c:v>
                </c:pt>
                <c:pt idx="516">
                  <c:v>157.757948911173</c:v>
                </c:pt>
                <c:pt idx="517">
                  <c:v>157.757948911173</c:v>
                </c:pt>
                <c:pt idx="518">
                  <c:v>157.761516965384</c:v>
                </c:pt>
                <c:pt idx="519">
                  <c:v>157.786493344865</c:v>
                </c:pt>
                <c:pt idx="520">
                  <c:v>157.800765561712</c:v>
                </c:pt>
                <c:pt idx="521">
                  <c:v>157.800765561712</c:v>
                </c:pt>
                <c:pt idx="522">
                  <c:v>157.811469724346</c:v>
                </c:pt>
                <c:pt idx="523">
                  <c:v>157.822173886981</c:v>
                </c:pt>
                <c:pt idx="524">
                  <c:v>157.822173886981</c:v>
                </c:pt>
                <c:pt idx="525">
                  <c:v>157.836446103828</c:v>
                </c:pt>
                <c:pt idx="526">
                  <c:v>157.872126645943</c:v>
                </c:pt>
                <c:pt idx="527">
                  <c:v>157.897103025425</c:v>
                </c:pt>
                <c:pt idx="528">
                  <c:v>157.897103025425</c:v>
                </c:pt>
                <c:pt idx="529">
                  <c:v>157.914943296483</c:v>
                </c:pt>
                <c:pt idx="530">
                  <c:v>157.95419189281</c:v>
                </c:pt>
                <c:pt idx="531">
                  <c:v>157.97560021808</c:v>
                </c:pt>
                <c:pt idx="532">
                  <c:v>157.982736326503</c:v>
                </c:pt>
                <c:pt idx="533">
                  <c:v>157.986304380714</c:v>
                </c:pt>
                <c:pt idx="534">
                  <c:v>157.989872434926</c:v>
                </c:pt>
                <c:pt idx="535">
                  <c:v>158.011280760195</c:v>
                </c:pt>
                <c:pt idx="536">
                  <c:v>158.036257139677</c:v>
                </c:pt>
                <c:pt idx="537">
                  <c:v>158.0433932481</c:v>
                </c:pt>
                <c:pt idx="538">
                  <c:v>158.086209898639</c:v>
                </c:pt>
                <c:pt idx="539">
                  <c:v>158.08977795285</c:v>
                </c:pt>
                <c:pt idx="540">
                  <c:v>158.139730711813</c:v>
                </c:pt>
                <c:pt idx="541">
                  <c:v>158.150434874447</c:v>
                </c:pt>
                <c:pt idx="542">
                  <c:v>158.196819579198</c:v>
                </c:pt>
                <c:pt idx="543">
                  <c:v>158.203955687621</c:v>
                </c:pt>
                <c:pt idx="544">
                  <c:v>158.207523741833</c:v>
                </c:pt>
                <c:pt idx="545">
                  <c:v>158.214659850256</c:v>
                </c:pt>
                <c:pt idx="546">
                  <c:v>158.221795958679</c:v>
                </c:pt>
                <c:pt idx="547">
                  <c:v>158.232500121314</c:v>
                </c:pt>
                <c:pt idx="548">
                  <c:v>158.253908446583</c:v>
                </c:pt>
                <c:pt idx="549">
                  <c:v>158.261044555007</c:v>
                </c:pt>
                <c:pt idx="550">
                  <c:v>158.26818066343</c:v>
                </c:pt>
                <c:pt idx="551">
                  <c:v>158.26818066343</c:v>
                </c:pt>
                <c:pt idx="552">
                  <c:v>158.275316771853</c:v>
                </c:pt>
                <c:pt idx="553">
                  <c:v>158.275316771853</c:v>
                </c:pt>
                <c:pt idx="554">
                  <c:v>158.278884826065</c:v>
                </c:pt>
                <c:pt idx="555">
                  <c:v>158.286020934488</c:v>
                </c:pt>
                <c:pt idx="556">
                  <c:v>158.31456536818</c:v>
                </c:pt>
                <c:pt idx="557">
                  <c:v>158.318133422392</c:v>
                </c:pt>
                <c:pt idx="558">
                  <c:v>158.339541747662</c:v>
                </c:pt>
                <c:pt idx="559">
                  <c:v>158.368086181354</c:v>
                </c:pt>
                <c:pt idx="560">
                  <c:v>158.371654235566</c:v>
                </c:pt>
                <c:pt idx="561">
                  <c:v>158.389494506624</c:v>
                </c:pt>
                <c:pt idx="562">
                  <c:v>158.40376672347</c:v>
                </c:pt>
                <c:pt idx="563">
                  <c:v>158.418038940316</c:v>
                </c:pt>
                <c:pt idx="564">
                  <c:v>158.421606994528</c:v>
                </c:pt>
                <c:pt idx="565">
                  <c:v>158.432311157163</c:v>
                </c:pt>
                <c:pt idx="566">
                  <c:v>158.435879211374</c:v>
                </c:pt>
                <c:pt idx="567">
                  <c:v>158.446583374009</c:v>
                </c:pt>
                <c:pt idx="568">
                  <c:v>158.446583374009</c:v>
                </c:pt>
                <c:pt idx="569">
                  <c:v>158.446583374009</c:v>
                </c:pt>
                <c:pt idx="570">
                  <c:v>158.457287536644</c:v>
                </c:pt>
                <c:pt idx="571">
                  <c:v>158.457287536644</c:v>
                </c:pt>
                <c:pt idx="572">
                  <c:v>158.457287536644</c:v>
                </c:pt>
                <c:pt idx="573">
                  <c:v>158.478695861914</c:v>
                </c:pt>
                <c:pt idx="574">
                  <c:v>158.482263916125</c:v>
                </c:pt>
                <c:pt idx="575">
                  <c:v>158.500104187183</c:v>
                </c:pt>
                <c:pt idx="576">
                  <c:v>158.503672241395</c:v>
                </c:pt>
                <c:pt idx="577">
                  <c:v>158.521512512453</c:v>
                </c:pt>
                <c:pt idx="578">
                  <c:v>158.532216675087</c:v>
                </c:pt>
                <c:pt idx="579">
                  <c:v>158.557193054568</c:v>
                </c:pt>
                <c:pt idx="580">
                  <c:v>158.557193054568</c:v>
                </c:pt>
                <c:pt idx="581">
                  <c:v>158.575033325626</c:v>
                </c:pt>
                <c:pt idx="582">
                  <c:v>158.58216943405</c:v>
                </c:pt>
                <c:pt idx="583">
                  <c:v>158.585737488261</c:v>
                </c:pt>
                <c:pt idx="584">
                  <c:v>158.589305542473</c:v>
                </c:pt>
                <c:pt idx="585">
                  <c:v>158.603577759319</c:v>
                </c:pt>
                <c:pt idx="586">
                  <c:v>158.617849976165</c:v>
                </c:pt>
                <c:pt idx="587">
                  <c:v>158.635690247223</c:v>
                </c:pt>
                <c:pt idx="588">
                  <c:v>158.639258301435</c:v>
                </c:pt>
                <c:pt idx="589">
                  <c:v>158.646394409858</c:v>
                </c:pt>
                <c:pt idx="590">
                  <c:v>158.674938843551</c:v>
                </c:pt>
                <c:pt idx="591">
                  <c:v>158.674938843551</c:v>
                </c:pt>
                <c:pt idx="592">
                  <c:v>158.674938843551</c:v>
                </c:pt>
                <c:pt idx="593">
                  <c:v>158.682074951974</c:v>
                </c:pt>
                <c:pt idx="594">
                  <c:v>158.707051331455</c:v>
                </c:pt>
                <c:pt idx="595">
                  <c:v>158.724891602513</c:v>
                </c:pt>
                <c:pt idx="596">
                  <c:v>158.746299927783</c:v>
                </c:pt>
                <c:pt idx="597">
                  <c:v>158.753436036206</c:v>
                </c:pt>
                <c:pt idx="598">
                  <c:v>158.771276307264</c:v>
                </c:pt>
                <c:pt idx="599">
                  <c:v>158.803388795168</c:v>
                </c:pt>
                <c:pt idx="600">
                  <c:v>158.803388795168</c:v>
                </c:pt>
                <c:pt idx="601">
                  <c:v>158.80695684938</c:v>
                </c:pt>
                <c:pt idx="602">
                  <c:v>158.810524903591</c:v>
                </c:pt>
                <c:pt idx="603">
                  <c:v>158.810524903591</c:v>
                </c:pt>
                <c:pt idx="604">
                  <c:v>158.814092957803</c:v>
                </c:pt>
                <c:pt idx="605">
                  <c:v>158.821229066226</c:v>
                </c:pt>
                <c:pt idx="606">
                  <c:v>158.846205445707</c:v>
                </c:pt>
                <c:pt idx="607">
                  <c:v>158.846205445707</c:v>
                </c:pt>
                <c:pt idx="608">
                  <c:v>158.849773499919</c:v>
                </c:pt>
                <c:pt idx="609">
                  <c:v>158.849773499919</c:v>
                </c:pt>
                <c:pt idx="610">
                  <c:v>158.856909608342</c:v>
                </c:pt>
                <c:pt idx="611">
                  <c:v>158.881885987823</c:v>
                </c:pt>
                <c:pt idx="612">
                  <c:v>158.903294313093</c:v>
                </c:pt>
                <c:pt idx="613">
                  <c:v>158.913998475727</c:v>
                </c:pt>
                <c:pt idx="614">
                  <c:v>158.931838746785</c:v>
                </c:pt>
                <c:pt idx="615">
                  <c:v>158.956815126266</c:v>
                </c:pt>
                <c:pt idx="616">
                  <c:v>158.974655397324</c:v>
                </c:pt>
                <c:pt idx="617">
                  <c:v>158.981791505747</c:v>
                </c:pt>
                <c:pt idx="618">
                  <c:v>158.988927614171</c:v>
                </c:pt>
                <c:pt idx="619">
                  <c:v>158.988927614171</c:v>
                </c:pt>
                <c:pt idx="620">
                  <c:v>159.006767885229</c:v>
                </c:pt>
                <c:pt idx="621">
                  <c:v>159.035312318921</c:v>
                </c:pt>
                <c:pt idx="622">
                  <c:v>159.056720644191</c:v>
                </c:pt>
                <c:pt idx="623">
                  <c:v>159.067424806826</c:v>
                </c:pt>
                <c:pt idx="624">
                  <c:v>159.067424806826</c:v>
                </c:pt>
                <c:pt idx="625">
                  <c:v>159.070992861037</c:v>
                </c:pt>
                <c:pt idx="626">
                  <c:v>159.074560915249</c:v>
                </c:pt>
                <c:pt idx="627">
                  <c:v>159.092401186307</c:v>
                </c:pt>
                <c:pt idx="628">
                  <c:v>159.095969240518</c:v>
                </c:pt>
                <c:pt idx="629">
                  <c:v>159.113809511576</c:v>
                </c:pt>
                <c:pt idx="630">
                  <c:v>159.117377565788</c:v>
                </c:pt>
                <c:pt idx="631">
                  <c:v>159.124513674211</c:v>
                </c:pt>
                <c:pt idx="632">
                  <c:v>159.131649782634</c:v>
                </c:pt>
                <c:pt idx="633">
                  <c:v>159.145921999481</c:v>
                </c:pt>
                <c:pt idx="634">
                  <c:v>159.160194216327</c:v>
                </c:pt>
                <c:pt idx="635">
                  <c:v>159.170898378962</c:v>
                </c:pt>
                <c:pt idx="636">
                  <c:v>159.185170595808</c:v>
                </c:pt>
                <c:pt idx="637">
                  <c:v>159.18873865002</c:v>
                </c:pt>
                <c:pt idx="638">
                  <c:v>159.192306704231</c:v>
                </c:pt>
                <c:pt idx="639">
                  <c:v>159.206578921078</c:v>
                </c:pt>
                <c:pt idx="640">
                  <c:v>159.224419192135</c:v>
                </c:pt>
                <c:pt idx="641">
                  <c:v>159.227987246347</c:v>
                </c:pt>
                <c:pt idx="642">
                  <c:v>159.270803896886</c:v>
                </c:pt>
                <c:pt idx="643">
                  <c:v>159.306484439002</c:v>
                </c:pt>
                <c:pt idx="644">
                  <c:v>159.313620547425</c:v>
                </c:pt>
                <c:pt idx="645">
                  <c:v>159.313620547425</c:v>
                </c:pt>
                <c:pt idx="646">
                  <c:v>159.317188601637</c:v>
                </c:pt>
                <c:pt idx="647">
                  <c:v>159.317188601637</c:v>
                </c:pt>
                <c:pt idx="648">
                  <c:v>159.320756655848</c:v>
                </c:pt>
                <c:pt idx="649">
                  <c:v>159.342164981118</c:v>
                </c:pt>
                <c:pt idx="650">
                  <c:v>159.356437197964</c:v>
                </c:pt>
                <c:pt idx="651">
                  <c:v>159.356437197964</c:v>
                </c:pt>
                <c:pt idx="652">
                  <c:v>159.360005252176</c:v>
                </c:pt>
                <c:pt idx="653">
                  <c:v>159.384981631657</c:v>
                </c:pt>
                <c:pt idx="654">
                  <c:v>159.39211774008</c:v>
                </c:pt>
                <c:pt idx="655">
                  <c:v>159.399253848503</c:v>
                </c:pt>
                <c:pt idx="656">
                  <c:v>159.402821902715</c:v>
                </c:pt>
                <c:pt idx="657">
                  <c:v>159.402821902715</c:v>
                </c:pt>
                <c:pt idx="658">
                  <c:v>159.409958011138</c:v>
                </c:pt>
                <c:pt idx="659">
                  <c:v>159.417094119561</c:v>
                </c:pt>
                <c:pt idx="660">
                  <c:v>159.424230227984</c:v>
                </c:pt>
                <c:pt idx="661">
                  <c:v>159.438502444831</c:v>
                </c:pt>
                <c:pt idx="662">
                  <c:v>159.442070499042</c:v>
                </c:pt>
                <c:pt idx="663">
                  <c:v>159.445638553254</c:v>
                </c:pt>
                <c:pt idx="664">
                  <c:v>159.452774661677</c:v>
                </c:pt>
                <c:pt idx="665">
                  <c:v>159.470614932735</c:v>
                </c:pt>
                <c:pt idx="666">
                  <c:v>159.474182986947</c:v>
                </c:pt>
                <c:pt idx="667">
                  <c:v>159.477751041158</c:v>
                </c:pt>
                <c:pt idx="668">
                  <c:v>159.524135745909</c:v>
                </c:pt>
                <c:pt idx="669">
                  <c:v>159.534839908544</c:v>
                </c:pt>
                <c:pt idx="670">
                  <c:v>159.552680179602</c:v>
                </c:pt>
                <c:pt idx="671">
                  <c:v>159.566952396448</c:v>
                </c:pt>
                <c:pt idx="672">
                  <c:v>159.57052045066</c:v>
                </c:pt>
                <c:pt idx="673">
                  <c:v>159.577656559083</c:v>
                </c:pt>
                <c:pt idx="674">
                  <c:v>159.602632938564</c:v>
                </c:pt>
                <c:pt idx="675">
                  <c:v>159.602632938564</c:v>
                </c:pt>
                <c:pt idx="676">
                  <c:v>159.606200992775</c:v>
                </c:pt>
                <c:pt idx="677">
                  <c:v>159.609769046987</c:v>
                </c:pt>
                <c:pt idx="678">
                  <c:v>159.634745426468</c:v>
                </c:pt>
                <c:pt idx="679">
                  <c:v>159.652585697526</c:v>
                </c:pt>
                <c:pt idx="680">
                  <c:v>159.659721805949</c:v>
                </c:pt>
                <c:pt idx="681">
                  <c:v>159.670425968584</c:v>
                </c:pt>
                <c:pt idx="682">
                  <c:v>159.68469818543</c:v>
                </c:pt>
                <c:pt idx="683">
                  <c:v>159.7061065107</c:v>
                </c:pt>
                <c:pt idx="684">
                  <c:v>159.709674564912</c:v>
                </c:pt>
                <c:pt idx="685">
                  <c:v>159.716810673335</c:v>
                </c:pt>
                <c:pt idx="686">
                  <c:v>159.731082890181</c:v>
                </c:pt>
                <c:pt idx="687">
                  <c:v>159.731082890181</c:v>
                </c:pt>
                <c:pt idx="688">
                  <c:v>159.741787052816</c:v>
                </c:pt>
                <c:pt idx="689">
                  <c:v>159.745355107027</c:v>
                </c:pt>
                <c:pt idx="690">
                  <c:v>159.77389954072</c:v>
                </c:pt>
                <c:pt idx="691">
                  <c:v>159.777467594932</c:v>
                </c:pt>
                <c:pt idx="692">
                  <c:v>159.784603703355</c:v>
                </c:pt>
                <c:pt idx="693">
                  <c:v>159.79530786599</c:v>
                </c:pt>
                <c:pt idx="694">
                  <c:v>159.79530786599</c:v>
                </c:pt>
                <c:pt idx="695">
                  <c:v>159.806012028624</c:v>
                </c:pt>
                <c:pt idx="696">
                  <c:v>159.823852299682</c:v>
                </c:pt>
                <c:pt idx="697">
                  <c:v>159.823852299682</c:v>
                </c:pt>
                <c:pt idx="698">
                  <c:v>159.838124516529</c:v>
                </c:pt>
                <c:pt idx="699">
                  <c:v>159.84169257074</c:v>
                </c:pt>
                <c:pt idx="700">
                  <c:v>159.845260624952</c:v>
                </c:pt>
                <c:pt idx="701">
                  <c:v>159.852396733375</c:v>
                </c:pt>
                <c:pt idx="702">
                  <c:v>159.855964787587</c:v>
                </c:pt>
                <c:pt idx="703">
                  <c:v>159.877373112856</c:v>
                </c:pt>
                <c:pt idx="704">
                  <c:v>159.891645329703</c:v>
                </c:pt>
                <c:pt idx="705">
                  <c:v>159.895213383914</c:v>
                </c:pt>
                <c:pt idx="706">
                  <c:v>159.902349492337</c:v>
                </c:pt>
                <c:pt idx="707">
                  <c:v>159.905917546549</c:v>
                </c:pt>
                <c:pt idx="708">
                  <c:v>159.913053654972</c:v>
                </c:pt>
                <c:pt idx="709">
                  <c:v>159.93089392603</c:v>
                </c:pt>
                <c:pt idx="710">
                  <c:v>159.945166142876</c:v>
                </c:pt>
                <c:pt idx="711">
                  <c:v>159.948734197088</c:v>
                </c:pt>
                <c:pt idx="712">
                  <c:v>159.955870305511</c:v>
                </c:pt>
                <c:pt idx="713">
                  <c:v>159.966574468146</c:v>
                </c:pt>
                <c:pt idx="714">
                  <c:v>159.977278630781</c:v>
                </c:pt>
                <c:pt idx="715">
                  <c:v>159.984414739204</c:v>
                </c:pt>
                <c:pt idx="716">
                  <c:v>159.984414739204</c:v>
                </c:pt>
                <c:pt idx="717">
                  <c:v>159.987982793415</c:v>
                </c:pt>
                <c:pt idx="718">
                  <c:v>159.995118901839</c:v>
                </c:pt>
                <c:pt idx="719">
                  <c:v>159.995118901839</c:v>
                </c:pt>
                <c:pt idx="720">
                  <c:v>160.002255010262</c:v>
                </c:pt>
                <c:pt idx="721">
                  <c:v>160.002255010262</c:v>
                </c:pt>
                <c:pt idx="722">
                  <c:v>160.005823064473</c:v>
                </c:pt>
                <c:pt idx="723">
                  <c:v>160.009391118685</c:v>
                </c:pt>
                <c:pt idx="724">
                  <c:v>160.009391118685</c:v>
                </c:pt>
                <c:pt idx="725">
                  <c:v>160.023663335531</c:v>
                </c:pt>
                <c:pt idx="726">
                  <c:v>160.037935552378</c:v>
                </c:pt>
                <c:pt idx="727">
                  <c:v>160.045071660801</c:v>
                </c:pt>
                <c:pt idx="728">
                  <c:v>160.052207769224</c:v>
                </c:pt>
                <c:pt idx="729">
                  <c:v>160.055775823436</c:v>
                </c:pt>
                <c:pt idx="730">
                  <c:v>160.070048040282</c:v>
                </c:pt>
                <c:pt idx="731">
                  <c:v>160.080752202917</c:v>
                </c:pt>
                <c:pt idx="732">
                  <c:v>160.084320257128</c:v>
                </c:pt>
                <c:pt idx="733">
                  <c:v>160.091456365551</c:v>
                </c:pt>
                <c:pt idx="734">
                  <c:v>160.095024419763</c:v>
                </c:pt>
                <c:pt idx="735">
                  <c:v>160.112864690821</c:v>
                </c:pt>
                <c:pt idx="736">
                  <c:v>160.120000799244</c:v>
                </c:pt>
                <c:pt idx="737">
                  <c:v>160.127136907667</c:v>
                </c:pt>
                <c:pt idx="738">
                  <c:v>160.134273016091</c:v>
                </c:pt>
                <c:pt idx="739">
                  <c:v>160.159249395572</c:v>
                </c:pt>
                <c:pt idx="740">
                  <c:v>160.162817449783</c:v>
                </c:pt>
                <c:pt idx="741">
                  <c:v>160.17708966663</c:v>
                </c:pt>
                <c:pt idx="742">
                  <c:v>160.187793829264</c:v>
                </c:pt>
                <c:pt idx="743">
                  <c:v>160.187793829264</c:v>
                </c:pt>
                <c:pt idx="744">
                  <c:v>160.22347437138</c:v>
                </c:pt>
                <c:pt idx="745">
                  <c:v>160.227042425592</c:v>
                </c:pt>
                <c:pt idx="746">
                  <c:v>160.230610479803</c:v>
                </c:pt>
                <c:pt idx="747">
                  <c:v>160.237746588227</c:v>
                </c:pt>
                <c:pt idx="748">
                  <c:v>160.241314642438</c:v>
                </c:pt>
                <c:pt idx="749">
                  <c:v>160.241314642438</c:v>
                </c:pt>
                <c:pt idx="750">
                  <c:v>160.24488269665</c:v>
                </c:pt>
                <c:pt idx="751">
                  <c:v>160.24488269665</c:v>
                </c:pt>
                <c:pt idx="752">
                  <c:v>160.259154913496</c:v>
                </c:pt>
                <c:pt idx="753">
                  <c:v>160.266291021919</c:v>
                </c:pt>
                <c:pt idx="754">
                  <c:v>160.273427130343</c:v>
                </c:pt>
                <c:pt idx="755">
                  <c:v>160.280563238766</c:v>
                </c:pt>
                <c:pt idx="756">
                  <c:v>160.2912674014</c:v>
                </c:pt>
                <c:pt idx="757">
                  <c:v>160.319811835093</c:v>
                </c:pt>
                <c:pt idx="758">
                  <c:v>160.359060431421</c:v>
                </c:pt>
                <c:pt idx="759">
                  <c:v>160.366196539844</c:v>
                </c:pt>
                <c:pt idx="760">
                  <c:v>160.369764594055</c:v>
                </c:pt>
                <c:pt idx="761">
                  <c:v>160.384036810902</c:v>
                </c:pt>
                <c:pt idx="762">
                  <c:v>160.384036810902</c:v>
                </c:pt>
                <c:pt idx="763">
                  <c:v>160.387604865113</c:v>
                </c:pt>
                <c:pt idx="764">
                  <c:v>160.394740973536</c:v>
                </c:pt>
                <c:pt idx="765">
                  <c:v>160.394740973536</c:v>
                </c:pt>
                <c:pt idx="766">
                  <c:v>160.40187708196</c:v>
                </c:pt>
                <c:pt idx="767">
                  <c:v>160.405445136171</c:v>
                </c:pt>
                <c:pt idx="768">
                  <c:v>160.419717353018</c:v>
                </c:pt>
                <c:pt idx="769">
                  <c:v>160.441125678287</c:v>
                </c:pt>
                <c:pt idx="770">
                  <c:v>160.458965949345</c:v>
                </c:pt>
                <c:pt idx="771">
                  <c:v>160.473238166191</c:v>
                </c:pt>
                <c:pt idx="772">
                  <c:v>160.476806220403</c:v>
                </c:pt>
                <c:pt idx="773">
                  <c:v>160.480374274615</c:v>
                </c:pt>
                <c:pt idx="774">
                  <c:v>160.483942328826</c:v>
                </c:pt>
                <c:pt idx="775">
                  <c:v>160.491078437249</c:v>
                </c:pt>
                <c:pt idx="776">
                  <c:v>160.494646491461</c:v>
                </c:pt>
                <c:pt idx="777">
                  <c:v>160.498214545673</c:v>
                </c:pt>
                <c:pt idx="778">
                  <c:v>160.501782599884</c:v>
                </c:pt>
                <c:pt idx="779">
                  <c:v>160.505350654096</c:v>
                </c:pt>
                <c:pt idx="780">
                  <c:v>160.508918708307</c:v>
                </c:pt>
                <c:pt idx="781">
                  <c:v>160.519622870942</c:v>
                </c:pt>
                <c:pt idx="782">
                  <c:v>160.530327033577</c:v>
                </c:pt>
                <c:pt idx="783">
                  <c:v>160.548167304635</c:v>
                </c:pt>
                <c:pt idx="784">
                  <c:v>160.562439521481</c:v>
                </c:pt>
                <c:pt idx="785">
                  <c:v>160.573143684116</c:v>
                </c:pt>
                <c:pt idx="786">
                  <c:v>160.576711738328</c:v>
                </c:pt>
                <c:pt idx="787">
                  <c:v>160.594552009385</c:v>
                </c:pt>
                <c:pt idx="788">
                  <c:v>160.60525617202</c:v>
                </c:pt>
                <c:pt idx="789">
                  <c:v>160.612392280443</c:v>
                </c:pt>
                <c:pt idx="790">
                  <c:v>160.619528388867</c:v>
                </c:pt>
                <c:pt idx="791">
                  <c:v>160.62666449729</c:v>
                </c:pt>
                <c:pt idx="792">
                  <c:v>160.658776985194</c:v>
                </c:pt>
                <c:pt idx="793">
                  <c:v>160.67304920204</c:v>
                </c:pt>
                <c:pt idx="794">
                  <c:v>160.67304920204</c:v>
                </c:pt>
                <c:pt idx="795">
                  <c:v>160.676617256252</c:v>
                </c:pt>
                <c:pt idx="796">
                  <c:v>160.676617256252</c:v>
                </c:pt>
                <c:pt idx="797">
                  <c:v>160.680185310464</c:v>
                </c:pt>
                <c:pt idx="798">
                  <c:v>160.680185310464</c:v>
                </c:pt>
                <c:pt idx="799">
                  <c:v>160.683753364675</c:v>
                </c:pt>
                <c:pt idx="800">
                  <c:v>160.683753364675</c:v>
                </c:pt>
                <c:pt idx="801">
                  <c:v>160.687321418887</c:v>
                </c:pt>
                <c:pt idx="802">
                  <c:v>160.687321418887</c:v>
                </c:pt>
                <c:pt idx="803">
                  <c:v>160.690889473098</c:v>
                </c:pt>
                <c:pt idx="804">
                  <c:v>160.69445752731</c:v>
                </c:pt>
                <c:pt idx="805">
                  <c:v>160.701593635733</c:v>
                </c:pt>
                <c:pt idx="806">
                  <c:v>160.719433906791</c:v>
                </c:pt>
                <c:pt idx="807">
                  <c:v>160.733706123637</c:v>
                </c:pt>
                <c:pt idx="808">
                  <c:v>160.755114448907</c:v>
                </c:pt>
                <c:pt idx="809">
                  <c:v>160.765818611542</c:v>
                </c:pt>
                <c:pt idx="810">
                  <c:v>160.769386665753</c:v>
                </c:pt>
                <c:pt idx="811">
                  <c:v>160.7836588826</c:v>
                </c:pt>
                <c:pt idx="812">
                  <c:v>160.805067207869</c:v>
                </c:pt>
                <c:pt idx="813">
                  <c:v>160.805067207869</c:v>
                </c:pt>
                <c:pt idx="814">
                  <c:v>160.812203316292</c:v>
                </c:pt>
                <c:pt idx="815">
                  <c:v>160.815771370504</c:v>
                </c:pt>
                <c:pt idx="816">
                  <c:v>160.833611641562</c:v>
                </c:pt>
                <c:pt idx="817">
                  <c:v>160.837179695773</c:v>
                </c:pt>
                <c:pt idx="818">
                  <c:v>160.840747749985</c:v>
                </c:pt>
                <c:pt idx="819">
                  <c:v>160.855019966831</c:v>
                </c:pt>
                <c:pt idx="820">
                  <c:v>160.872860237889</c:v>
                </c:pt>
                <c:pt idx="821">
                  <c:v>160.883564400524</c:v>
                </c:pt>
                <c:pt idx="822">
                  <c:v>160.890700508947</c:v>
                </c:pt>
                <c:pt idx="823">
                  <c:v>160.894268563159</c:v>
                </c:pt>
                <c:pt idx="824">
                  <c:v>160.904972725794</c:v>
                </c:pt>
                <c:pt idx="825">
                  <c:v>160.91924494264</c:v>
                </c:pt>
                <c:pt idx="826">
                  <c:v>160.922812996852</c:v>
                </c:pt>
                <c:pt idx="827">
                  <c:v>160.926381051063</c:v>
                </c:pt>
                <c:pt idx="828">
                  <c:v>160.926381051063</c:v>
                </c:pt>
                <c:pt idx="829">
                  <c:v>160.929949105275</c:v>
                </c:pt>
                <c:pt idx="830">
                  <c:v>160.944221322121</c:v>
                </c:pt>
                <c:pt idx="831">
                  <c:v>160.951357430544</c:v>
                </c:pt>
                <c:pt idx="832">
                  <c:v>160.972765755814</c:v>
                </c:pt>
                <c:pt idx="833">
                  <c:v>160.979901864237</c:v>
                </c:pt>
                <c:pt idx="834">
                  <c:v>160.994174081083</c:v>
                </c:pt>
                <c:pt idx="835">
                  <c:v>161.004878243718</c:v>
                </c:pt>
                <c:pt idx="836">
                  <c:v>161.012014352141</c:v>
                </c:pt>
                <c:pt idx="837">
                  <c:v>161.015582406353</c:v>
                </c:pt>
                <c:pt idx="838">
                  <c:v>161.022718514776</c:v>
                </c:pt>
                <c:pt idx="839">
                  <c:v>161.029854623199</c:v>
                </c:pt>
                <c:pt idx="840">
                  <c:v>161.036990731622</c:v>
                </c:pt>
                <c:pt idx="841">
                  <c:v>161.040558785834</c:v>
                </c:pt>
                <c:pt idx="842">
                  <c:v>161.047694894257</c:v>
                </c:pt>
                <c:pt idx="843">
                  <c:v>161.069103219527</c:v>
                </c:pt>
                <c:pt idx="844">
                  <c:v>161.069103219527</c:v>
                </c:pt>
                <c:pt idx="845">
                  <c:v>161.072671273738</c:v>
                </c:pt>
                <c:pt idx="846">
                  <c:v>161.07623932795</c:v>
                </c:pt>
                <c:pt idx="847">
                  <c:v>161.086943490585</c:v>
                </c:pt>
                <c:pt idx="848">
                  <c:v>161.101215707431</c:v>
                </c:pt>
                <c:pt idx="849">
                  <c:v>161.108351815854</c:v>
                </c:pt>
                <c:pt idx="850">
                  <c:v>161.108351815854</c:v>
                </c:pt>
                <c:pt idx="851">
                  <c:v>161.126192086912</c:v>
                </c:pt>
                <c:pt idx="852">
                  <c:v>161.133328195335</c:v>
                </c:pt>
                <c:pt idx="853">
                  <c:v>161.133328195335</c:v>
                </c:pt>
                <c:pt idx="854">
                  <c:v>161.136896249547</c:v>
                </c:pt>
                <c:pt idx="855">
                  <c:v>161.14403235797</c:v>
                </c:pt>
                <c:pt idx="856">
                  <c:v>161.14403235797</c:v>
                </c:pt>
                <c:pt idx="857">
                  <c:v>161.161872629028</c:v>
                </c:pt>
                <c:pt idx="858">
                  <c:v>161.186849008509</c:v>
                </c:pt>
                <c:pt idx="859">
                  <c:v>161.204689279567</c:v>
                </c:pt>
                <c:pt idx="860">
                  <c:v>161.21182538799</c:v>
                </c:pt>
                <c:pt idx="861">
                  <c:v>161.21182538799</c:v>
                </c:pt>
                <c:pt idx="862">
                  <c:v>161.218961496413</c:v>
                </c:pt>
                <c:pt idx="863">
                  <c:v>161.218961496413</c:v>
                </c:pt>
                <c:pt idx="864">
                  <c:v>161.229665659048</c:v>
                </c:pt>
                <c:pt idx="865">
                  <c:v>161.229665659048</c:v>
                </c:pt>
                <c:pt idx="866">
                  <c:v>161.23323371326</c:v>
                </c:pt>
                <c:pt idx="867">
                  <c:v>161.243937875895</c:v>
                </c:pt>
                <c:pt idx="868">
                  <c:v>161.247505930106</c:v>
                </c:pt>
                <c:pt idx="869">
                  <c:v>161.254642038529</c:v>
                </c:pt>
                <c:pt idx="870">
                  <c:v>161.254642038529</c:v>
                </c:pt>
                <c:pt idx="871">
                  <c:v>161.272482309587</c:v>
                </c:pt>
                <c:pt idx="872">
                  <c:v>161.293890634857</c:v>
                </c:pt>
                <c:pt idx="873">
                  <c:v>161.318867014338</c:v>
                </c:pt>
                <c:pt idx="874">
                  <c:v>161.318867014338</c:v>
                </c:pt>
                <c:pt idx="875">
                  <c:v>161.333139231184</c:v>
                </c:pt>
                <c:pt idx="876">
                  <c:v>161.340275339607</c:v>
                </c:pt>
                <c:pt idx="877">
                  <c:v>161.343843393819</c:v>
                </c:pt>
                <c:pt idx="878">
                  <c:v>161.343843393819</c:v>
                </c:pt>
                <c:pt idx="879">
                  <c:v>161.347411448031</c:v>
                </c:pt>
                <c:pt idx="880">
                  <c:v>161.350979502242</c:v>
                </c:pt>
                <c:pt idx="881">
                  <c:v>161.379523935935</c:v>
                </c:pt>
                <c:pt idx="882">
                  <c:v>161.379523935935</c:v>
                </c:pt>
                <c:pt idx="883">
                  <c:v>161.379523935935</c:v>
                </c:pt>
                <c:pt idx="884">
                  <c:v>161.383091990147</c:v>
                </c:pt>
                <c:pt idx="885">
                  <c:v>161.397364206993</c:v>
                </c:pt>
                <c:pt idx="886">
                  <c:v>161.400932261204</c:v>
                </c:pt>
                <c:pt idx="887">
                  <c:v>161.404500315416</c:v>
                </c:pt>
                <c:pt idx="888">
                  <c:v>161.411636423839</c:v>
                </c:pt>
                <c:pt idx="889">
                  <c:v>161.422340586474</c:v>
                </c:pt>
                <c:pt idx="890">
                  <c:v>161.43661280332</c:v>
                </c:pt>
                <c:pt idx="891">
                  <c:v>161.454453074378</c:v>
                </c:pt>
                <c:pt idx="892">
                  <c:v>161.479429453859</c:v>
                </c:pt>
                <c:pt idx="893">
                  <c:v>161.500837779129</c:v>
                </c:pt>
                <c:pt idx="894">
                  <c:v>161.507973887552</c:v>
                </c:pt>
                <c:pt idx="895">
                  <c:v>161.518678050187</c:v>
                </c:pt>
                <c:pt idx="896">
                  <c:v>161.522246104398</c:v>
                </c:pt>
                <c:pt idx="897">
                  <c:v>161.529382212822</c:v>
                </c:pt>
                <c:pt idx="898">
                  <c:v>161.565062754938</c:v>
                </c:pt>
                <c:pt idx="899">
                  <c:v>161.572198863361</c:v>
                </c:pt>
                <c:pt idx="900">
                  <c:v>161.575766917572</c:v>
                </c:pt>
                <c:pt idx="901">
                  <c:v>161.582903025995</c:v>
                </c:pt>
                <c:pt idx="902">
                  <c:v>161.582903025995</c:v>
                </c:pt>
                <c:pt idx="903">
                  <c:v>161.607879405477</c:v>
                </c:pt>
                <c:pt idx="904">
                  <c:v>161.636423839169</c:v>
                </c:pt>
                <c:pt idx="905">
                  <c:v>161.654264110227</c:v>
                </c:pt>
                <c:pt idx="906">
                  <c:v>161.657832164439</c:v>
                </c:pt>
                <c:pt idx="907">
                  <c:v>161.66140021865</c:v>
                </c:pt>
                <c:pt idx="908">
                  <c:v>161.664968272862</c:v>
                </c:pt>
                <c:pt idx="909">
                  <c:v>161.672104381285</c:v>
                </c:pt>
                <c:pt idx="910">
                  <c:v>161.689944652343</c:v>
                </c:pt>
                <c:pt idx="911">
                  <c:v>161.693512706555</c:v>
                </c:pt>
                <c:pt idx="912">
                  <c:v>161.711352977613</c:v>
                </c:pt>
                <c:pt idx="913">
                  <c:v>161.729193248671</c:v>
                </c:pt>
                <c:pt idx="914">
                  <c:v>161.743465465517</c:v>
                </c:pt>
                <c:pt idx="915">
                  <c:v>161.75060157394</c:v>
                </c:pt>
                <c:pt idx="916">
                  <c:v>161.75060157394</c:v>
                </c:pt>
                <c:pt idx="917">
                  <c:v>161.779146007633</c:v>
                </c:pt>
                <c:pt idx="918">
                  <c:v>161.779146007633</c:v>
                </c:pt>
                <c:pt idx="919">
                  <c:v>161.786282116056</c:v>
                </c:pt>
                <c:pt idx="920">
                  <c:v>161.789850170268</c:v>
                </c:pt>
                <c:pt idx="921">
                  <c:v>161.800554332902</c:v>
                </c:pt>
                <c:pt idx="922">
                  <c:v>161.804122387114</c:v>
                </c:pt>
                <c:pt idx="923">
                  <c:v>161.807690441326</c:v>
                </c:pt>
                <c:pt idx="924">
                  <c:v>161.836234875018</c:v>
                </c:pt>
                <c:pt idx="925">
                  <c:v>161.836234875018</c:v>
                </c:pt>
                <c:pt idx="926">
                  <c:v>161.850507091865</c:v>
                </c:pt>
                <c:pt idx="927">
                  <c:v>161.854075146076</c:v>
                </c:pt>
                <c:pt idx="928">
                  <c:v>161.857643200288</c:v>
                </c:pt>
                <c:pt idx="929">
                  <c:v>161.857643200288</c:v>
                </c:pt>
                <c:pt idx="930">
                  <c:v>161.864779308711</c:v>
                </c:pt>
                <c:pt idx="931">
                  <c:v>161.871915417134</c:v>
                </c:pt>
                <c:pt idx="932">
                  <c:v>161.882619579769</c:v>
                </c:pt>
                <c:pt idx="933">
                  <c:v>161.893323742404</c:v>
                </c:pt>
                <c:pt idx="934">
                  <c:v>161.918300121885</c:v>
                </c:pt>
                <c:pt idx="935">
                  <c:v>161.925436230308</c:v>
                </c:pt>
                <c:pt idx="936">
                  <c:v>161.92900428452</c:v>
                </c:pt>
                <c:pt idx="937">
                  <c:v>161.932572338731</c:v>
                </c:pt>
                <c:pt idx="938">
                  <c:v>161.936140392943</c:v>
                </c:pt>
                <c:pt idx="939">
                  <c:v>161.946844555577</c:v>
                </c:pt>
                <c:pt idx="940">
                  <c:v>161.957548718212</c:v>
                </c:pt>
                <c:pt idx="941">
                  <c:v>161.964684826635</c:v>
                </c:pt>
                <c:pt idx="942">
                  <c:v>161.968252880847</c:v>
                </c:pt>
                <c:pt idx="943">
                  <c:v>161.971820935059</c:v>
                </c:pt>
                <c:pt idx="944">
                  <c:v>161.978957043482</c:v>
                </c:pt>
                <c:pt idx="945">
                  <c:v>161.989661206117</c:v>
                </c:pt>
                <c:pt idx="946">
                  <c:v>161.993229260328</c:v>
                </c:pt>
                <c:pt idx="947">
                  <c:v>162.003933422963</c:v>
                </c:pt>
                <c:pt idx="948">
                  <c:v>162.011069531386</c:v>
                </c:pt>
                <c:pt idx="949">
                  <c:v>162.014637585598</c:v>
                </c:pt>
                <c:pt idx="950">
                  <c:v>162.025341748232</c:v>
                </c:pt>
                <c:pt idx="951">
                  <c:v>162.025341748232</c:v>
                </c:pt>
                <c:pt idx="952">
                  <c:v>162.032477856656</c:v>
                </c:pt>
                <c:pt idx="953">
                  <c:v>162.057454236137</c:v>
                </c:pt>
                <c:pt idx="954">
                  <c:v>162.061022290348</c:v>
                </c:pt>
                <c:pt idx="955">
                  <c:v>162.078862561406</c:v>
                </c:pt>
                <c:pt idx="956">
                  <c:v>162.082430615618</c:v>
                </c:pt>
                <c:pt idx="957">
                  <c:v>162.107406995099</c:v>
                </c:pt>
                <c:pt idx="958">
                  <c:v>162.125247266157</c:v>
                </c:pt>
                <c:pt idx="959">
                  <c:v>162.128815320369</c:v>
                </c:pt>
                <c:pt idx="960">
                  <c:v>162.150223645638</c:v>
                </c:pt>
                <c:pt idx="961">
                  <c:v>162.171631970908</c:v>
                </c:pt>
                <c:pt idx="962">
                  <c:v>162.178768079331</c:v>
                </c:pt>
                <c:pt idx="963">
                  <c:v>162.182336133542</c:v>
                </c:pt>
                <c:pt idx="964">
                  <c:v>162.182336133542</c:v>
                </c:pt>
                <c:pt idx="965">
                  <c:v>162.196608350389</c:v>
                </c:pt>
                <c:pt idx="966">
                  <c:v>162.203744458812</c:v>
                </c:pt>
                <c:pt idx="967">
                  <c:v>162.207312513023</c:v>
                </c:pt>
                <c:pt idx="968">
                  <c:v>162.228720838293</c:v>
                </c:pt>
                <c:pt idx="969">
                  <c:v>162.242993055139</c:v>
                </c:pt>
                <c:pt idx="970">
                  <c:v>162.257265271986</c:v>
                </c:pt>
                <c:pt idx="971">
                  <c:v>162.271537488832</c:v>
                </c:pt>
                <c:pt idx="972">
                  <c:v>162.28937775989</c:v>
                </c:pt>
                <c:pt idx="973">
                  <c:v>162.296513868313</c:v>
                </c:pt>
                <c:pt idx="974">
                  <c:v>162.317922193583</c:v>
                </c:pt>
                <c:pt idx="975">
                  <c:v>162.335762464641</c:v>
                </c:pt>
                <c:pt idx="976">
                  <c:v>162.339330518852</c:v>
                </c:pt>
                <c:pt idx="977">
                  <c:v>162.342898573064</c:v>
                </c:pt>
                <c:pt idx="978">
                  <c:v>162.346466627275</c:v>
                </c:pt>
                <c:pt idx="979">
                  <c:v>162.367874952545</c:v>
                </c:pt>
                <c:pt idx="980">
                  <c:v>162.367874952545</c:v>
                </c:pt>
                <c:pt idx="981">
                  <c:v>162.389283277814</c:v>
                </c:pt>
                <c:pt idx="982">
                  <c:v>162.410691603084</c:v>
                </c:pt>
                <c:pt idx="983">
                  <c:v>162.414259657296</c:v>
                </c:pt>
                <c:pt idx="984">
                  <c:v>162.417827711507</c:v>
                </c:pt>
                <c:pt idx="985">
                  <c:v>162.432099928354</c:v>
                </c:pt>
                <c:pt idx="986">
                  <c:v>162.435667982565</c:v>
                </c:pt>
                <c:pt idx="987">
                  <c:v>162.435667982565</c:v>
                </c:pt>
                <c:pt idx="988">
                  <c:v>162.442804090988</c:v>
                </c:pt>
                <c:pt idx="989">
                  <c:v>162.467780470469</c:v>
                </c:pt>
                <c:pt idx="990">
                  <c:v>162.467780470469</c:v>
                </c:pt>
                <c:pt idx="991">
                  <c:v>162.467780470469</c:v>
                </c:pt>
                <c:pt idx="992">
                  <c:v>162.482052687316</c:v>
                </c:pt>
                <c:pt idx="993">
                  <c:v>162.485620741527</c:v>
                </c:pt>
                <c:pt idx="994">
                  <c:v>162.489188795739</c:v>
                </c:pt>
                <c:pt idx="995">
                  <c:v>162.499892958374</c:v>
                </c:pt>
                <c:pt idx="996">
                  <c:v>162.503461012585</c:v>
                </c:pt>
                <c:pt idx="997">
                  <c:v>162.524869337855</c:v>
                </c:pt>
                <c:pt idx="998">
                  <c:v>162.528437392066</c:v>
                </c:pt>
                <c:pt idx="999">
                  <c:v>162.546277663124</c:v>
                </c:pt>
                <c:pt idx="1000">
                  <c:v>162.567685988394</c:v>
                </c:pt>
                <c:pt idx="1001">
                  <c:v>162.578390151029</c:v>
                </c:pt>
                <c:pt idx="1002">
                  <c:v>162.585526259452</c:v>
                </c:pt>
                <c:pt idx="1003">
                  <c:v>162.60336653051</c:v>
                </c:pt>
                <c:pt idx="1004">
                  <c:v>162.606934584721</c:v>
                </c:pt>
                <c:pt idx="1005">
                  <c:v>162.631910964202</c:v>
                </c:pt>
                <c:pt idx="1006">
                  <c:v>162.646183181049</c:v>
                </c:pt>
                <c:pt idx="1007">
                  <c:v>162.667591506318</c:v>
                </c:pt>
                <c:pt idx="1008">
                  <c:v>162.67115956053</c:v>
                </c:pt>
                <c:pt idx="1009">
                  <c:v>162.6925678858</c:v>
                </c:pt>
                <c:pt idx="1010">
                  <c:v>162.699703994223</c:v>
                </c:pt>
                <c:pt idx="1011">
                  <c:v>162.703272048434</c:v>
                </c:pt>
                <c:pt idx="1012">
                  <c:v>162.721112319492</c:v>
                </c:pt>
                <c:pt idx="1013">
                  <c:v>162.735384536339</c:v>
                </c:pt>
                <c:pt idx="1014">
                  <c:v>162.742520644762</c:v>
                </c:pt>
                <c:pt idx="1015">
                  <c:v>162.756792861608</c:v>
                </c:pt>
                <c:pt idx="1016">
                  <c:v>162.756792861608</c:v>
                </c:pt>
                <c:pt idx="1017">
                  <c:v>162.76036091582</c:v>
                </c:pt>
                <c:pt idx="1018">
                  <c:v>162.792473403724</c:v>
                </c:pt>
                <c:pt idx="1019">
                  <c:v>162.792473403724</c:v>
                </c:pt>
                <c:pt idx="1020">
                  <c:v>162.810313674782</c:v>
                </c:pt>
                <c:pt idx="1021">
                  <c:v>162.817449783205</c:v>
                </c:pt>
                <c:pt idx="1022">
                  <c:v>162.821017837417</c:v>
                </c:pt>
                <c:pt idx="1023">
                  <c:v>162.835290054263</c:v>
                </c:pt>
                <c:pt idx="1024">
                  <c:v>162.835290054263</c:v>
                </c:pt>
                <c:pt idx="1025">
                  <c:v>162.849562271109</c:v>
                </c:pt>
                <c:pt idx="1026">
                  <c:v>162.853130325321</c:v>
                </c:pt>
                <c:pt idx="1027">
                  <c:v>162.870970596379</c:v>
                </c:pt>
                <c:pt idx="1028">
                  <c:v>162.874538650591</c:v>
                </c:pt>
                <c:pt idx="1029">
                  <c:v>162.885242813225</c:v>
                </c:pt>
                <c:pt idx="1030">
                  <c:v>162.892378921648</c:v>
                </c:pt>
                <c:pt idx="1031">
                  <c:v>162.913787246918</c:v>
                </c:pt>
                <c:pt idx="1032">
                  <c:v>162.938763626399</c:v>
                </c:pt>
                <c:pt idx="1033">
                  <c:v>162.956603897457</c:v>
                </c:pt>
                <c:pt idx="1034">
                  <c:v>162.960171951669</c:v>
                </c:pt>
                <c:pt idx="1035">
                  <c:v>162.967308060092</c:v>
                </c:pt>
                <c:pt idx="1036">
                  <c:v>162.978012222727</c:v>
                </c:pt>
                <c:pt idx="1037">
                  <c:v>162.978012222727</c:v>
                </c:pt>
                <c:pt idx="1038">
                  <c:v>162.98514833115</c:v>
                </c:pt>
                <c:pt idx="1039">
                  <c:v>162.988716385361</c:v>
                </c:pt>
                <c:pt idx="1040">
                  <c:v>162.995852493785</c:v>
                </c:pt>
                <c:pt idx="1041">
                  <c:v>163.024396927477</c:v>
                </c:pt>
                <c:pt idx="1042">
                  <c:v>163.027964981689</c:v>
                </c:pt>
                <c:pt idx="1043">
                  <c:v>163.0315330359</c:v>
                </c:pt>
                <c:pt idx="1044">
                  <c:v>163.0315330359</c:v>
                </c:pt>
                <c:pt idx="1045">
                  <c:v>163.035101090112</c:v>
                </c:pt>
                <c:pt idx="1046">
                  <c:v>163.035101090112</c:v>
                </c:pt>
                <c:pt idx="1047">
                  <c:v>163.049373306958</c:v>
                </c:pt>
                <c:pt idx="1048">
                  <c:v>163.05294136117</c:v>
                </c:pt>
                <c:pt idx="1049">
                  <c:v>163.056509415382</c:v>
                </c:pt>
                <c:pt idx="1050">
                  <c:v>163.077917740651</c:v>
                </c:pt>
                <c:pt idx="1051">
                  <c:v>163.113598282767</c:v>
                </c:pt>
                <c:pt idx="1052">
                  <c:v>163.117166336979</c:v>
                </c:pt>
                <c:pt idx="1053">
                  <c:v>163.117166336979</c:v>
                </c:pt>
                <c:pt idx="1054">
                  <c:v>163.152846879094</c:v>
                </c:pt>
                <c:pt idx="1055">
                  <c:v>163.152846879094</c:v>
                </c:pt>
                <c:pt idx="1056">
                  <c:v>163.163551041729</c:v>
                </c:pt>
                <c:pt idx="1057">
                  <c:v>163.184959366999</c:v>
                </c:pt>
                <c:pt idx="1058">
                  <c:v>163.192095475422</c:v>
                </c:pt>
                <c:pt idx="1059">
                  <c:v>163.195663529633</c:v>
                </c:pt>
                <c:pt idx="1060">
                  <c:v>163.199231583845</c:v>
                </c:pt>
                <c:pt idx="1061">
                  <c:v>163.206367692268</c:v>
                </c:pt>
                <c:pt idx="1062">
                  <c:v>163.213503800691</c:v>
                </c:pt>
                <c:pt idx="1063">
                  <c:v>163.227776017538</c:v>
                </c:pt>
                <c:pt idx="1064">
                  <c:v>163.231344071749</c:v>
                </c:pt>
                <c:pt idx="1065">
                  <c:v>163.252752397019</c:v>
                </c:pt>
                <c:pt idx="1066">
                  <c:v>163.263456559654</c:v>
                </c:pt>
                <c:pt idx="1067">
                  <c:v>163.284864884923</c:v>
                </c:pt>
                <c:pt idx="1068">
                  <c:v>163.288432939135</c:v>
                </c:pt>
                <c:pt idx="1069">
                  <c:v>163.302705155981</c:v>
                </c:pt>
                <c:pt idx="1070">
                  <c:v>163.302705155981</c:v>
                </c:pt>
                <c:pt idx="1071">
                  <c:v>163.302705155981</c:v>
                </c:pt>
                <c:pt idx="1072">
                  <c:v>163.309841264404</c:v>
                </c:pt>
                <c:pt idx="1073">
                  <c:v>163.324113481251</c:v>
                </c:pt>
                <c:pt idx="1074">
                  <c:v>163.324113481251</c:v>
                </c:pt>
                <c:pt idx="1075">
                  <c:v>163.338385698097</c:v>
                </c:pt>
                <c:pt idx="1076">
                  <c:v>163.338385698097</c:v>
                </c:pt>
                <c:pt idx="1077">
                  <c:v>163.349089860732</c:v>
                </c:pt>
                <c:pt idx="1078">
                  <c:v>163.352657914943</c:v>
                </c:pt>
                <c:pt idx="1079">
                  <c:v>163.359794023367</c:v>
                </c:pt>
                <c:pt idx="1080">
                  <c:v>163.359794023367</c:v>
                </c:pt>
                <c:pt idx="1081">
                  <c:v>163.399042619694</c:v>
                </c:pt>
                <c:pt idx="1082">
                  <c:v>163.420450944964</c:v>
                </c:pt>
                <c:pt idx="1083">
                  <c:v>163.427587053387</c:v>
                </c:pt>
                <c:pt idx="1084">
                  <c:v>163.431155107598</c:v>
                </c:pt>
                <c:pt idx="1085">
                  <c:v>163.445427324445</c:v>
                </c:pt>
                <c:pt idx="1086">
                  <c:v>163.470403703926</c:v>
                </c:pt>
                <c:pt idx="1087">
                  <c:v>163.473971758137</c:v>
                </c:pt>
                <c:pt idx="1088">
                  <c:v>163.473971758137</c:v>
                </c:pt>
                <c:pt idx="1089">
                  <c:v>163.477539812349</c:v>
                </c:pt>
                <c:pt idx="1090">
                  <c:v>163.491812029195</c:v>
                </c:pt>
                <c:pt idx="1091">
                  <c:v>163.527492571311</c:v>
                </c:pt>
                <c:pt idx="1092">
                  <c:v>163.531060625523</c:v>
                </c:pt>
                <c:pt idx="1093">
                  <c:v>163.545332842369</c:v>
                </c:pt>
                <c:pt idx="1094">
                  <c:v>163.556037005004</c:v>
                </c:pt>
                <c:pt idx="1095">
                  <c:v>163.57030922185</c:v>
                </c:pt>
                <c:pt idx="1096">
                  <c:v>163.584581438697</c:v>
                </c:pt>
                <c:pt idx="1097">
                  <c:v>163.584581438697</c:v>
                </c:pt>
                <c:pt idx="1098">
                  <c:v>163.605989763966</c:v>
                </c:pt>
                <c:pt idx="1099">
                  <c:v>163.609557818178</c:v>
                </c:pt>
                <c:pt idx="1100">
                  <c:v>163.616693926601</c:v>
                </c:pt>
                <c:pt idx="1101">
                  <c:v>163.630966143447</c:v>
                </c:pt>
                <c:pt idx="1102">
                  <c:v>163.630966143447</c:v>
                </c:pt>
                <c:pt idx="1103">
                  <c:v>163.641670306082</c:v>
                </c:pt>
                <c:pt idx="1104">
                  <c:v>163.645238360294</c:v>
                </c:pt>
                <c:pt idx="1105">
                  <c:v>163.670214739775</c:v>
                </c:pt>
                <c:pt idx="1106">
                  <c:v>163.673782793986</c:v>
                </c:pt>
                <c:pt idx="1107">
                  <c:v>163.680918902409</c:v>
                </c:pt>
                <c:pt idx="1108">
                  <c:v>163.709463336102</c:v>
                </c:pt>
                <c:pt idx="1109">
                  <c:v>163.713031390314</c:v>
                </c:pt>
                <c:pt idx="1110">
                  <c:v>163.738007769795</c:v>
                </c:pt>
                <c:pt idx="1111">
                  <c:v>163.738007769795</c:v>
                </c:pt>
                <c:pt idx="1112">
                  <c:v>163.784392474546</c:v>
                </c:pt>
                <c:pt idx="1113">
                  <c:v>163.791528582969</c:v>
                </c:pt>
                <c:pt idx="1114">
                  <c:v>163.79509663718</c:v>
                </c:pt>
                <c:pt idx="1115">
                  <c:v>163.79509663718</c:v>
                </c:pt>
                <c:pt idx="1116">
                  <c:v>163.79509663718</c:v>
                </c:pt>
                <c:pt idx="1117">
                  <c:v>163.812936908238</c:v>
                </c:pt>
                <c:pt idx="1118">
                  <c:v>163.81650496245</c:v>
                </c:pt>
                <c:pt idx="1119">
                  <c:v>163.827209125085</c:v>
                </c:pt>
                <c:pt idx="1120">
                  <c:v>163.845049396143</c:v>
                </c:pt>
                <c:pt idx="1121">
                  <c:v>163.845049396143</c:v>
                </c:pt>
                <c:pt idx="1122">
                  <c:v>163.855753558777</c:v>
                </c:pt>
                <c:pt idx="1123">
                  <c:v>163.859321612989</c:v>
                </c:pt>
                <c:pt idx="1124">
                  <c:v>163.877161884047</c:v>
                </c:pt>
                <c:pt idx="1125">
                  <c:v>163.887866046682</c:v>
                </c:pt>
                <c:pt idx="1126">
                  <c:v>163.90570631774</c:v>
                </c:pt>
                <c:pt idx="1127">
                  <c:v>163.909274371951</c:v>
                </c:pt>
                <c:pt idx="1128">
                  <c:v>163.909274371951</c:v>
                </c:pt>
                <c:pt idx="1129">
                  <c:v>163.930682697221</c:v>
                </c:pt>
                <c:pt idx="1130">
                  <c:v>163.944954914067</c:v>
                </c:pt>
                <c:pt idx="1131">
                  <c:v>163.95209102249</c:v>
                </c:pt>
                <c:pt idx="1132">
                  <c:v>163.969931293548</c:v>
                </c:pt>
                <c:pt idx="1133">
                  <c:v>163.991339618818</c:v>
                </c:pt>
                <c:pt idx="1134">
                  <c:v>164.055564594626</c:v>
                </c:pt>
                <c:pt idx="1135">
                  <c:v>164.069836811473</c:v>
                </c:pt>
                <c:pt idx="1136">
                  <c:v>164.076972919896</c:v>
                </c:pt>
                <c:pt idx="1137">
                  <c:v>164.076972919896</c:v>
                </c:pt>
                <c:pt idx="1138">
                  <c:v>164.087677082531</c:v>
                </c:pt>
                <c:pt idx="1139">
                  <c:v>164.091245136742</c:v>
                </c:pt>
                <c:pt idx="1140">
                  <c:v>164.101949299377</c:v>
                </c:pt>
                <c:pt idx="1141">
                  <c:v>164.105517353589</c:v>
                </c:pt>
                <c:pt idx="1142">
                  <c:v>164.123357624646</c:v>
                </c:pt>
                <c:pt idx="1143">
                  <c:v>164.123357624646</c:v>
                </c:pt>
                <c:pt idx="1144">
                  <c:v>164.137629841493</c:v>
                </c:pt>
                <c:pt idx="1145">
                  <c:v>164.162606220974</c:v>
                </c:pt>
                <c:pt idx="1146">
                  <c:v>164.184014546243</c:v>
                </c:pt>
                <c:pt idx="1147">
                  <c:v>164.223263142571</c:v>
                </c:pt>
                <c:pt idx="1148">
                  <c:v>164.237535359417</c:v>
                </c:pt>
                <c:pt idx="1149">
                  <c:v>164.273215901533</c:v>
                </c:pt>
                <c:pt idx="1150">
                  <c:v>164.298192281014</c:v>
                </c:pt>
                <c:pt idx="1151">
                  <c:v>164.33387282313</c:v>
                </c:pt>
                <c:pt idx="1152">
                  <c:v>164.337440877342</c:v>
                </c:pt>
                <c:pt idx="1153">
                  <c:v>164.344576985765</c:v>
                </c:pt>
                <c:pt idx="1154">
                  <c:v>164.351713094188</c:v>
                </c:pt>
                <c:pt idx="1155">
                  <c:v>164.362417256823</c:v>
                </c:pt>
                <c:pt idx="1156">
                  <c:v>164.373121419458</c:v>
                </c:pt>
                <c:pt idx="1157">
                  <c:v>164.380257527881</c:v>
                </c:pt>
                <c:pt idx="1158">
                  <c:v>164.383825582092</c:v>
                </c:pt>
                <c:pt idx="1159">
                  <c:v>164.387393636304</c:v>
                </c:pt>
                <c:pt idx="1160">
                  <c:v>164.415938069997</c:v>
                </c:pt>
                <c:pt idx="1161">
                  <c:v>164.419506124208</c:v>
                </c:pt>
                <c:pt idx="1162">
                  <c:v>164.440914449478</c:v>
                </c:pt>
                <c:pt idx="1163">
                  <c:v>164.465890828959</c:v>
                </c:pt>
                <c:pt idx="1164">
                  <c:v>164.465890828959</c:v>
                </c:pt>
                <c:pt idx="1165">
                  <c:v>164.483731100017</c:v>
                </c:pt>
                <c:pt idx="1166">
                  <c:v>164.49086720844</c:v>
                </c:pt>
                <c:pt idx="1167">
                  <c:v>164.505139425286</c:v>
                </c:pt>
                <c:pt idx="1168">
                  <c:v>164.522979696344</c:v>
                </c:pt>
                <c:pt idx="1169">
                  <c:v>164.537251913191</c:v>
                </c:pt>
                <c:pt idx="1170">
                  <c:v>164.537251913191</c:v>
                </c:pt>
                <c:pt idx="1171">
                  <c:v>164.594340780576</c:v>
                </c:pt>
                <c:pt idx="1172">
                  <c:v>164.605044943211</c:v>
                </c:pt>
                <c:pt idx="1173">
                  <c:v>164.622885214269</c:v>
                </c:pt>
                <c:pt idx="1174">
                  <c:v>164.633589376904</c:v>
                </c:pt>
                <c:pt idx="1175">
                  <c:v>164.676406027443</c:v>
                </c:pt>
                <c:pt idx="1176">
                  <c:v>164.690678244289</c:v>
                </c:pt>
                <c:pt idx="1177">
                  <c:v>164.733494894828</c:v>
                </c:pt>
                <c:pt idx="1178">
                  <c:v>164.73706294904</c:v>
                </c:pt>
                <c:pt idx="1179">
                  <c:v>164.740631003251</c:v>
                </c:pt>
                <c:pt idx="1180">
                  <c:v>164.747767111674</c:v>
                </c:pt>
                <c:pt idx="1181">
                  <c:v>164.790583762214</c:v>
                </c:pt>
                <c:pt idx="1182">
                  <c:v>164.794151816425</c:v>
                </c:pt>
                <c:pt idx="1183">
                  <c:v>164.797719870637</c:v>
                </c:pt>
                <c:pt idx="1184">
                  <c:v>164.808424033271</c:v>
                </c:pt>
                <c:pt idx="1185">
                  <c:v>164.819128195906</c:v>
                </c:pt>
                <c:pt idx="1186">
                  <c:v>164.844104575387</c:v>
                </c:pt>
                <c:pt idx="1187">
                  <c:v>164.847672629599</c:v>
                </c:pt>
                <c:pt idx="1188">
                  <c:v>164.851240683811</c:v>
                </c:pt>
                <c:pt idx="1189">
                  <c:v>164.876217063292</c:v>
                </c:pt>
                <c:pt idx="1190">
                  <c:v>164.876217063292</c:v>
                </c:pt>
                <c:pt idx="1191">
                  <c:v>164.89405733435</c:v>
                </c:pt>
                <c:pt idx="1192">
                  <c:v>164.897625388561</c:v>
                </c:pt>
                <c:pt idx="1193">
                  <c:v>164.901193442773</c:v>
                </c:pt>
                <c:pt idx="1194">
                  <c:v>164.919033713831</c:v>
                </c:pt>
                <c:pt idx="1195">
                  <c:v>164.965418418581</c:v>
                </c:pt>
                <c:pt idx="1196">
                  <c:v>164.983258689639</c:v>
                </c:pt>
                <c:pt idx="1197">
                  <c:v>164.990394798062</c:v>
                </c:pt>
                <c:pt idx="1198">
                  <c:v>165.001098960697</c:v>
                </c:pt>
                <c:pt idx="1199">
                  <c:v>165.015371177544</c:v>
                </c:pt>
                <c:pt idx="1200">
                  <c:v>165.018939231755</c:v>
                </c:pt>
                <c:pt idx="1201">
                  <c:v>165.022507285967</c:v>
                </c:pt>
                <c:pt idx="1202">
                  <c:v>165.036779502813</c:v>
                </c:pt>
                <c:pt idx="1203">
                  <c:v>165.043915611236</c:v>
                </c:pt>
                <c:pt idx="1204">
                  <c:v>165.054619773871</c:v>
                </c:pt>
                <c:pt idx="1205">
                  <c:v>165.076028099141</c:v>
                </c:pt>
                <c:pt idx="1206">
                  <c:v>165.076028099141</c:v>
                </c:pt>
                <c:pt idx="1207">
                  <c:v>165.083164207564</c:v>
                </c:pt>
                <c:pt idx="1208">
                  <c:v>165.111708641256</c:v>
                </c:pt>
                <c:pt idx="1209">
                  <c:v>165.129548912314</c:v>
                </c:pt>
                <c:pt idx="1210">
                  <c:v>165.147389183372</c:v>
                </c:pt>
                <c:pt idx="1211">
                  <c:v>165.154525291796</c:v>
                </c:pt>
                <c:pt idx="1212">
                  <c:v>165.154525291796</c:v>
                </c:pt>
                <c:pt idx="1213">
                  <c:v>165.172365562853</c:v>
                </c:pt>
                <c:pt idx="1214">
                  <c:v>165.179501671277</c:v>
                </c:pt>
                <c:pt idx="1215">
                  <c:v>165.229454430239</c:v>
                </c:pt>
                <c:pt idx="1216">
                  <c:v>165.250862755508</c:v>
                </c:pt>
                <c:pt idx="1217">
                  <c:v>165.293679406047</c:v>
                </c:pt>
                <c:pt idx="1218">
                  <c:v>165.293679406047</c:v>
                </c:pt>
                <c:pt idx="1219">
                  <c:v>165.300815514471</c:v>
                </c:pt>
                <c:pt idx="1220">
                  <c:v>165.304383568682</c:v>
                </c:pt>
                <c:pt idx="1221">
                  <c:v>165.307951622894</c:v>
                </c:pt>
                <c:pt idx="1222">
                  <c:v>165.307951622894</c:v>
                </c:pt>
                <c:pt idx="1223">
                  <c:v>165.311519677105</c:v>
                </c:pt>
                <c:pt idx="1224">
                  <c:v>165.315087731317</c:v>
                </c:pt>
                <c:pt idx="1225">
                  <c:v>165.332928002375</c:v>
                </c:pt>
                <c:pt idx="1226">
                  <c:v>165.336496056587</c:v>
                </c:pt>
                <c:pt idx="1227">
                  <c:v>165.414993249242</c:v>
                </c:pt>
                <c:pt idx="1228">
                  <c:v>165.425697411876</c:v>
                </c:pt>
                <c:pt idx="1229">
                  <c:v>165.457809899781</c:v>
                </c:pt>
                <c:pt idx="1230">
                  <c:v>165.504194604531</c:v>
                </c:pt>
                <c:pt idx="1231">
                  <c:v>165.504194604531</c:v>
                </c:pt>
                <c:pt idx="1232">
                  <c:v>165.525602929801</c:v>
                </c:pt>
                <c:pt idx="1233">
                  <c:v>165.539875146647</c:v>
                </c:pt>
                <c:pt idx="1234">
                  <c:v>165.575555688763</c:v>
                </c:pt>
                <c:pt idx="1235">
                  <c:v>165.575555688763</c:v>
                </c:pt>
                <c:pt idx="1236">
                  <c:v>165.579123742975</c:v>
                </c:pt>
                <c:pt idx="1237">
                  <c:v>165.579123742975</c:v>
                </c:pt>
                <c:pt idx="1238">
                  <c:v>165.582691797186</c:v>
                </c:pt>
                <c:pt idx="1239">
                  <c:v>165.593395959821</c:v>
                </c:pt>
                <c:pt idx="1240">
                  <c:v>165.611236230879</c:v>
                </c:pt>
                <c:pt idx="1241">
                  <c:v>165.618372339302</c:v>
                </c:pt>
                <c:pt idx="1242">
                  <c:v>165.632644556148</c:v>
                </c:pt>
                <c:pt idx="1243">
                  <c:v>165.632644556148</c:v>
                </c:pt>
                <c:pt idx="1244">
                  <c:v>165.650484827206</c:v>
                </c:pt>
                <c:pt idx="1245">
                  <c:v>165.664757044053</c:v>
                </c:pt>
                <c:pt idx="1246">
                  <c:v>165.668325098264</c:v>
                </c:pt>
                <c:pt idx="1247">
                  <c:v>165.689733423534</c:v>
                </c:pt>
                <c:pt idx="1248">
                  <c:v>165.711141748803</c:v>
                </c:pt>
                <c:pt idx="1249">
                  <c:v>165.711141748803</c:v>
                </c:pt>
                <c:pt idx="1250">
                  <c:v>165.714709803015</c:v>
                </c:pt>
                <c:pt idx="1251">
                  <c:v>165.718277857227</c:v>
                </c:pt>
                <c:pt idx="1252">
                  <c:v>165.743254236708</c:v>
                </c:pt>
                <c:pt idx="1253">
                  <c:v>165.768230616189</c:v>
                </c:pt>
                <c:pt idx="1254">
                  <c:v>165.768230616189</c:v>
                </c:pt>
                <c:pt idx="1255">
                  <c:v>165.782502833035</c:v>
                </c:pt>
                <c:pt idx="1256">
                  <c:v>165.789638941458</c:v>
                </c:pt>
                <c:pt idx="1257">
                  <c:v>165.79320699567</c:v>
                </c:pt>
                <c:pt idx="1258">
                  <c:v>165.796775049881</c:v>
                </c:pt>
                <c:pt idx="1259">
                  <c:v>165.821751429363</c:v>
                </c:pt>
                <c:pt idx="1260">
                  <c:v>165.843159754632</c:v>
                </c:pt>
                <c:pt idx="1261">
                  <c:v>165.843159754632</c:v>
                </c:pt>
                <c:pt idx="1262">
                  <c:v>165.907384730441</c:v>
                </c:pt>
                <c:pt idx="1263">
                  <c:v>165.932361109922</c:v>
                </c:pt>
                <c:pt idx="1264">
                  <c:v>165.946633326768</c:v>
                </c:pt>
                <c:pt idx="1265">
                  <c:v>165.953769435191</c:v>
                </c:pt>
                <c:pt idx="1266">
                  <c:v>165.971609706249</c:v>
                </c:pt>
                <c:pt idx="1267">
                  <c:v>165.982313868884</c:v>
                </c:pt>
                <c:pt idx="1268">
                  <c:v>166.017994411</c:v>
                </c:pt>
                <c:pt idx="1269">
                  <c:v>166.028698573635</c:v>
                </c:pt>
                <c:pt idx="1270">
                  <c:v>166.039402736269</c:v>
                </c:pt>
                <c:pt idx="1271">
                  <c:v>166.089355495232</c:v>
                </c:pt>
                <c:pt idx="1272">
                  <c:v>166.117899928924</c:v>
                </c:pt>
                <c:pt idx="1273">
                  <c:v>166.128604091559</c:v>
                </c:pt>
                <c:pt idx="1274">
                  <c:v>166.142876308406</c:v>
                </c:pt>
                <c:pt idx="1275">
                  <c:v>166.203533230003</c:v>
                </c:pt>
                <c:pt idx="1276">
                  <c:v>166.203533230003</c:v>
                </c:pt>
                <c:pt idx="1277">
                  <c:v>166.217805446849</c:v>
                </c:pt>
                <c:pt idx="1278">
                  <c:v>166.235645717907</c:v>
                </c:pt>
                <c:pt idx="1279">
                  <c:v>166.246349880542</c:v>
                </c:pt>
                <c:pt idx="1280">
                  <c:v>166.278462368446</c:v>
                </c:pt>
                <c:pt idx="1281">
                  <c:v>166.289166531081</c:v>
                </c:pt>
                <c:pt idx="1282">
                  <c:v>166.296302639504</c:v>
                </c:pt>
                <c:pt idx="1283">
                  <c:v>166.37836788637</c:v>
                </c:pt>
                <c:pt idx="1284">
                  <c:v>166.392640103217</c:v>
                </c:pt>
                <c:pt idx="1285">
                  <c:v>166.396208157428</c:v>
                </c:pt>
                <c:pt idx="1286">
                  <c:v>166.449728970602</c:v>
                </c:pt>
                <c:pt idx="1287">
                  <c:v>166.474705350083</c:v>
                </c:pt>
                <c:pt idx="1288">
                  <c:v>166.481841458506</c:v>
                </c:pt>
                <c:pt idx="1289">
                  <c:v>166.528226163257</c:v>
                </c:pt>
                <c:pt idx="1290">
                  <c:v>166.538930325892</c:v>
                </c:pt>
                <c:pt idx="1291">
                  <c:v>166.546066434315</c:v>
                </c:pt>
                <c:pt idx="1292">
                  <c:v>166.553202542738</c:v>
                </c:pt>
                <c:pt idx="1293">
                  <c:v>166.55677059695</c:v>
                </c:pt>
                <c:pt idx="1294">
                  <c:v>166.578178922219</c:v>
                </c:pt>
                <c:pt idx="1295">
                  <c:v>166.588883084854</c:v>
                </c:pt>
                <c:pt idx="1296">
                  <c:v>166.592451139066</c:v>
                </c:pt>
                <c:pt idx="1297">
                  <c:v>166.606723355912</c:v>
                </c:pt>
                <c:pt idx="1298">
                  <c:v>166.613859464335</c:v>
                </c:pt>
                <c:pt idx="1299">
                  <c:v>166.613859464335</c:v>
                </c:pt>
                <c:pt idx="1300">
                  <c:v>166.62456362697</c:v>
                </c:pt>
                <c:pt idx="1301">
                  <c:v>166.631699735393</c:v>
                </c:pt>
                <c:pt idx="1302">
                  <c:v>166.638835843816</c:v>
                </c:pt>
                <c:pt idx="1303">
                  <c:v>166.656676114874</c:v>
                </c:pt>
                <c:pt idx="1304">
                  <c:v>166.674516385932</c:v>
                </c:pt>
                <c:pt idx="1305">
                  <c:v>166.678084440144</c:v>
                </c:pt>
                <c:pt idx="1306">
                  <c:v>166.695924711202</c:v>
                </c:pt>
                <c:pt idx="1307">
                  <c:v>166.710196928048</c:v>
                </c:pt>
                <c:pt idx="1308">
                  <c:v>166.71376498226</c:v>
                </c:pt>
                <c:pt idx="1309">
                  <c:v>166.720901090683</c:v>
                </c:pt>
                <c:pt idx="1310">
                  <c:v>166.731605253318</c:v>
                </c:pt>
                <c:pt idx="1311">
                  <c:v>166.756581632799</c:v>
                </c:pt>
                <c:pt idx="1312">
                  <c:v>166.763717741222</c:v>
                </c:pt>
                <c:pt idx="1313">
                  <c:v>166.788694120703</c:v>
                </c:pt>
                <c:pt idx="1314">
                  <c:v>166.788694120703</c:v>
                </c:pt>
                <c:pt idx="1315">
                  <c:v>166.806534391761</c:v>
                </c:pt>
                <c:pt idx="1316">
                  <c:v>166.860055204935</c:v>
                </c:pt>
                <c:pt idx="1317">
                  <c:v>166.860055204935</c:v>
                </c:pt>
                <c:pt idx="1318">
                  <c:v>166.87075936757</c:v>
                </c:pt>
                <c:pt idx="1319">
                  <c:v>166.877895475993</c:v>
                </c:pt>
                <c:pt idx="1320">
                  <c:v>166.945688506013</c:v>
                </c:pt>
                <c:pt idx="1321">
                  <c:v>166.949256560225</c:v>
                </c:pt>
                <c:pt idx="1322">
                  <c:v>166.992073210764</c:v>
                </c:pt>
                <c:pt idx="1323">
                  <c:v>167.00634542761</c:v>
                </c:pt>
                <c:pt idx="1324">
                  <c:v>167.017049590245</c:v>
                </c:pt>
                <c:pt idx="1325">
                  <c:v>167.020617644456</c:v>
                </c:pt>
                <c:pt idx="1326">
                  <c:v>167.042025969726</c:v>
                </c:pt>
                <c:pt idx="1327">
                  <c:v>167.042025969726</c:v>
                </c:pt>
                <c:pt idx="1328">
                  <c:v>167.056298186572</c:v>
                </c:pt>
                <c:pt idx="1329">
                  <c:v>167.070570403419</c:v>
                </c:pt>
                <c:pt idx="1330">
                  <c:v>167.081274566053</c:v>
                </c:pt>
                <c:pt idx="1331">
                  <c:v>167.088410674476</c:v>
                </c:pt>
                <c:pt idx="1332">
                  <c:v>167.102682891323</c:v>
                </c:pt>
                <c:pt idx="1333">
                  <c:v>167.116955108169</c:v>
                </c:pt>
                <c:pt idx="1334">
                  <c:v>167.120523162381</c:v>
                </c:pt>
                <c:pt idx="1335">
                  <c:v>167.124091216592</c:v>
                </c:pt>
                <c:pt idx="1336">
                  <c:v>167.124091216592</c:v>
                </c:pt>
                <c:pt idx="1337">
                  <c:v>167.14193148765</c:v>
                </c:pt>
                <c:pt idx="1338">
                  <c:v>167.184748138189</c:v>
                </c:pt>
                <c:pt idx="1339">
                  <c:v>167.238268951363</c:v>
                </c:pt>
                <c:pt idx="1340">
                  <c:v>167.259677276633</c:v>
                </c:pt>
                <c:pt idx="1341">
                  <c:v>167.259677276633</c:v>
                </c:pt>
                <c:pt idx="1342">
                  <c:v>167.281085601902</c:v>
                </c:pt>
                <c:pt idx="1343">
                  <c:v>167.284653656114</c:v>
                </c:pt>
                <c:pt idx="1344">
                  <c:v>167.284653656114</c:v>
                </c:pt>
                <c:pt idx="1345">
                  <c:v>167.302493927172</c:v>
                </c:pt>
                <c:pt idx="1346">
                  <c:v>167.306061981383</c:v>
                </c:pt>
                <c:pt idx="1347">
                  <c:v>167.306061981383</c:v>
                </c:pt>
                <c:pt idx="1348">
                  <c:v>167.338174469288</c:v>
                </c:pt>
                <c:pt idx="1349">
                  <c:v>167.38812722825</c:v>
                </c:pt>
                <c:pt idx="1350">
                  <c:v>167.391695282461</c:v>
                </c:pt>
                <c:pt idx="1351">
                  <c:v>167.402399445096</c:v>
                </c:pt>
                <c:pt idx="1352">
                  <c:v>167.405967499308</c:v>
                </c:pt>
                <c:pt idx="1353">
                  <c:v>167.438079987212</c:v>
                </c:pt>
                <c:pt idx="1354">
                  <c:v>167.452352204058</c:v>
                </c:pt>
                <c:pt idx="1355">
                  <c:v>167.459488312482</c:v>
                </c:pt>
                <c:pt idx="1356">
                  <c:v>167.484464691963</c:v>
                </c:pt>
                <c:pt idx="1357">
                  <c:v>167.584370209887</c:v>
                </c:pt>
                <c:pt idx="1358">
                  <c:v>167.630754914638</c:v>
                </c:pt>
                <c:pt idx="1359">
                  <c:v>167.63432296885</c:v>
                </c:pt>
                <c:pt idx="1360">
                  <c:v>167.637891023061</c:v>
                </c:pt>
                <c:pt idx="1361">
                  <c:v>167.645027131484</c:v>
                </c:pt>
                <c:pt idx="1362">
                  <c:v>167.691411836235</c:v>
                </c:pt>
                <c:pt idx="1363">
                  <c:v>167.70211599887</c:v>
                </c:pt>
                <c:pt idx="1364">
                  <c:v>167.719956269928</c:v>
                </c:pt>
                <c:pt idx="1365">
                  <c:v>167.727092378351</c:v>
                </c:pt>
                <c:pt idx="1366">
                  <c:v>167.737796540986</c:v>
                </c:pt>
                <c:pt idx="1367">
                  <c:v>167.741364595197</c:v>
                </c:pt>
                <c:pt idx="1368">
                  <c:v>167.876950655238</c:v>
                </c:pt>
                <c:pt idx="1369">
                  <c:v>167.880518709449</c:v>
                </c:pt>
                <c:pt idx="1370">
                  <c:v>167.912631197353</c:v>
                </c:pt>
                <c:pt idx="1371">
                  <c:v>167.923335359988</c:v>
                </c:pt>
                <c:pt idx="1372">
                  <c:v>167.969720064739</c:v>
                </c:pt>
                <c:pt idx="1373">
                  <c:v>167.97328811895</c:v>
                </c:pt>
                <c:pt idx="1374">
                  <c:v>168.023240877913</c:v>
                </c:pt>
                <c:pt idx="1375">
                  <c:v>168.026808932124</c:v>
                </c:pt>
                <c:pt idx="1376">
                  <c:v>168.041081148971</c:v>
                </c:pt>
                <c:pt idx="1377">
                  <c:v>168.051785311605</c:v>
                </c:pt>
                <c:pt idx="1378">
                  <c:v>168.119578341626</c:v>
                </c:pt>
                <c:pt idx="1379">
                  <c:v>168.133850558472</c:v>
                </c:pt>
                <c:pt idx="1380">
                  <c:v>168.140986666895</c:v>
                </c:pt>
                <c:pt idx="1381">
                  <c:v>168.176667209011</c:v>
                </c:pt>
                <c:pt idx="1382">
                  <c:v>168.194507480069</c:v>
                </c:pt>
                <c:pt idx="1383">
                  <c:v>168.223051913762</c:v>
                </c:pt>
                <c:pt idx="1384">
                  <c:v>168.28727688957</c:v>
                </c:pt>
                <c:pt idx="1385">
                  <c:v>168.351501865379</c:v>
                </c:pt>
                <c:pt idx="1386">
                  <c:v>168.37647824486</c:v>
                </c:pt>
                <c:pt idx="1387">
                  <c:v>168.437135166457</c:v>
                </c:pt>
                <c:pt idx="1388">
                  <c:v>168.472815708573</c:v>
                </c:pt>
                <c:pt idx="1389">
                  <c:v>168.504928196477</c:v>
                </c:pt>
                <c:pt idx="1390">
                  <c:v>168.529904575958</c:v>
                </c:pt>
                <c:pt idx="1391">
                  <c:v>168.540608738593</c:v>
                </c:pt>
                <c:pt idx="1392">
                  <c:v>168.547744847016</c:v>
                </c:pt>
                <c:pt idx="1393">
                  <c:v>168.558449009651</c:v>
                </c:pt>
                <c:pt idx="1394">
                  <c:v>168.636946202306</c:v>
                </c:pt>
                <c:pt idx="1395">
                  <c:v>168.640514256517</c:v>
                </c:pt>
                <c:pt idx="1396">
                  <c:v>168.654786473364</c:v>
                </c:pt>
                <c:pt idx="1397">
                  <c:v>168.665490635999</c:v>
                </c:pt>
                <c:pt idx="1398">
                  <c:v>168.704739232326</c:v>
                </c:pt>
                <c:pt idx="1399">
                  <c:v>168.726147557596</c:v>
                </c:pt>
                <c:pt idx="1400">
                  <c:v>168.73685172023</c:v>
                </c:pt>
                <c:pt idx="1401">
                  <c:v>168.73685172023</c:v>
                </c:pt>
                <c:pt idx="1402">
                  <c:v>168.786804479193</c:v>
                </c:pt>
                <c:pt idx="1403">
                  <c:v>168.793940587616</c:v>
                </c:pt>
                <c:pt idx="1404">
                  <c:v>168.829621129732</c:v>
                </c:pt>
                <c:pt idx="1405">
                  <c:v>168.833189183943</c:v>
                </c:pt>
                <c:pt idx="1406">
                  <c:v>168.876005834482</c:v>
                </c:pt>
                <c:pt idx="1407">
                  <c:v>168.950934972926</c:v>
                </c:pt>
                <c:pt idx="1408">
                  <c:v>168.958071081349</c:v>
                </c:pt>
                <c:pt idx="1409">
                  <c:v>168.979479406618</c:v>
                </c:pt>
                <c:pt idx="1410">
                  <c:v>169.000887731888</c:v>
                </c:pt>
                <c:pt idx="1411">
                  <c:v>169.022296057157</c:v>
                </c:pt>
                <c:pt idx="1412">
                  <c:v>169.065112707696</c:v>
                </c:pt>
                <c:pt idx="1413">
                  <c:v>169.100793249812</c:v>
                </c:pt>
                <c:pt idx="1414">
                  <c:v>169.11863352087</c:v>
                </c:pt>
                <c:pt idx="1415">
                  <c:v>169.136473791928</c:v>
                </c:pt>
                <c:pt idx="1416">
                  <c:v>169.197130713525</c:v>
                </c:pt>
                <c:pt idx="1417">
                  <c:v>169.214970984583</c:v>
                </c:pt>
                <c:pt idx="1418">
                  <c:v>169.214970984583</c:v>
                </c:pt>
                <c:pt idx="1419">
                  <c:v>169.222107093006</c:v>
                </c:pt>
                <c:pt idx="1420">
                  <c:v>169.314876502508</c:v>
                </c:pt>
                <c:pt idx="1421">
                  <c:v>169.329148719354</c:v>
                </c:pt>
                <c:pt idx="1422">
                  <c:v>169.3434209362</c:v>
                </c:pt>
                <c:pt idx="1423">
                  <c:v>169.371965369893</c:v>
                </c:pt>
                <c:pt idx="1424">
                  <c:v>169.407645912009</c:v>
                </c:pt>
                <c:pt idx="1425">
                  <c:v>169.482575050452</c:v>
                </c:pt>
                <c:pt idx="1426">
                  <c:v>169.489711158876</c:v>
                </c:pt>
                <c:pt idx="1427">
                  <c:v>169.496847267299</c:v>
                </c:pt>
                <c:pt idx="1428">
                  <c:v>169.571776405742</c:v>
                </c:pt>
                <c:pt idx="1429">
                  <c:v>169.603888893646</c:v>
                </c:pt>
                <c:pt idx="1430">
                  <c:v>169.775155495803</c:v>
                </c:pt>
                <c:pt idx="1431">
                  <c:v>169.792995766861</c:v>
                </c:pt>
                <c:pt idx="1432">
                  <c:v>169.796563821072</c:v>
                </c:pt>
                <c:pt idx="1433">
                  <c:v>169.807267983707</c:v>
                </c:pt>
                <c:pt idx="1434">
                  <c:v>169.974966531652</c:v>
                </c:pt>
                <c:pt idx="1435">
                  <c:v>170.024919290614</c:v>
                </c:pt>
                <c:pt idx="1436">
                  <c:v>170.024919290614</c:v>
                </c:pt>
                <c:pt idx="1437">
                  <c:v>170.049895670095</c:v>
                </c:pt>
                <c:pt idx="1438">
                  <c:v>170.153369242231</c:v>
                </c:pt>
                <c:pt idx="1439">
                  <c:v>170.156937296443</c:v>
                </c:pt>
                <c:pt idx="1440">
                  <c:v>170.342476115445</c:v>
                </c:pt>
                <c:pt idx="1441">
                  <c:v>170.413837199677</c:v>
                </c:pt>
                <c:pt idx="1442">
                  <c:v>170.627920452372</c:v>
                </c:pt>
                <c:pt idx="1443">
                  <c:v>170.688577373969</c:v>
                </c:pt>
                <c:pt idx="1444">
                  <c:v>170.777778729259</c:v>
                </c:pt>
                <c:pt idx="1445">
                  <c:v>170.909796735088</c:v>
                </c:pt>
                <c:pt idx="1446">
                  <c:v>170.927637006146</c:v>
                </c:pt>
                <c:pt idx="1447">
                  <c:v>170.95974949405</c:v>
                </c:pt>
                <c:pt idx="1448">
                  <c:v>170.988293927743</c:v>
                </c:pt>
                <c:pt idx="1449">
                  <c:v>171.016838361435</c:v>
                </c:pt>
                <c:pt idx="1450">
                  <c:v>171.106039716725</c:v>
                </c:pt>
                <c:pt idx="1451">
                  <c:v>171.152424421476</c:v>
                </c:pt>
                <c:pt idx="1452">
                  <c:v>171.355803511536</c:v>
                </c:pt>
                <c:pt idx="1453">
                  <c:v>171.373643782594</c:v>
                </c:pt>
                <c:pt idx="1454">
                  <c:v>171.398620162075</c:v>
                </c:pt>
                <c:pt idx="1455">
                  <c:v>171.437868758403</c:v>
                </c:pt>
                <c:pt idx="1456">
                  <c:v>171.559182601597</c:v>
                </c:pt>
                <c:pt idx="1457">
                  <c:v>171.591295089501</c:v>
                </c:pt>
                <c:pt idx="1458">
                  <c:v>171.726881149541</c:v>
                </c:pt>
                <c:pt idx="1459">
                  <c:v>171.734017257965</c:v>
                </c:pt>
                <c:pt idx="1460">
                  <c:v>171.734017257965</c:v>
                </c:pt>
                <c:pt idx="1461">
                  <c:v>171.783970016927</c:v>
                </c:pt>
                <c:pt idx="1462">
                  <c:v>171.816082504831</c:v>
                </c:pt>
                <c:pt idx="1463">
                  <c:v>171.841058884312</c:v>
                </c:pt>
                <c:pt idx="1464">
                  <c:v>171.876739426428</c:v>
                </c:pt>
                <c:pt idx="1465">
                  <c:v>171.919556076967</c:v>
                </c:pt>
                <c:pt idx="1466">
                  <c:v>171.976644944353</c:v>
                </c:pt>
                <c:pt idx="1467">
                  <c:v>172.005189378045</c:v>
                </c:pt>
                <c:pt idx="1468">
                  <c:v>172.108662950181</c:v>
                </c:pt>
                <c:pt idx="1469">
                  <c:v>172.39767534132</c:v>
                </c:pt>
                <c:pt idx="1470">
                  <c:v>172.501148913456</c:v>
                </c:pt>
                <c:pt idx="1471">
                  <c:v>172.815137684076</c:v>
                </c:pt>
                <c:pt idx="1472">
                  <c:v>172.886498768308</c:v>
                </c:pt>
                <c:pt idx="1473">
                  <c:v>173.007812611502</c:v>
                </c:pt>
                <c:pt idx="1474">
                  <c:v>173.029220936771</c:v>
                </c:pt>
                <c:pt idx="1475">
                  <c:v>173.171943105235</c:v>
                </c:pt>
                <c:pt idx="1476">
                  <c:v>173.196919484716</c:v>
                </c:pt>
                <c:pt idx="1477">
                  <c:v>173.336073598968</c:v>
                </c:pt>
                <c:pt idx="1478">
                  <c:v>173.353913870026</c:v>
                </c:pt>
                <c:pt idx="1479">
                  <c:v>173.696447074338</c:v>
                </c:pt>
                <c:pt idx="1480">
                  <c:v>173.703583182762</c:v>
                </c:pt>
                <c:pt idx="1481">
                  <c:v>173.956915031784</c:v>
                </c:pt>
                <c:pt idx="1482">
                  <c:v>174.096069146036</c:v>
                </c:pt>
                <c:pt idx="1483">
                  <c:v>174.477850946676</c:v>
                </c:pt>
                <c:pt idx="1484">
                  <c:v>174.559916193543</c:v>
                </c:pt>
                <c:pt idx="1485">
                  <c:v>174.749023066757</c:v>
                </c:pt>
                <c:pt idx="1486">
                  <c:v>174.763295283603</c:v>
                </c:pt>
                <c:pt idx="1487">
                  <c:v>174.781135554661</c:v>
                </c:pt>
                <c:pt idx="1488">
                  <c:v>174.831088313623</c:v>
                </c:pt>
                <c:pt idx="1489">
                  <c:v>174.906017452067</c:v>
                </c:pt>
                <c:pt idx="1490">
                  <c:v>175.22714233111</c:v>
                </c:pt>
                <c:pt idx="1491">
                  <c:v>175.426953366959</c:v>
                </c:pt>
                <c:pt idx="1492">
                  <c:v>175.455497800651</c:v>
                </c:pt>
                <c:pt idx="1493">
                  <c:v>175.469770017498</c:v>
                </c:pt>
                <c:pt idx="1494">
                  <c:v>175.937185119216</c:v>
                </c:pt>
                <c:pt idx="1495">
                  <c:v>175.983569823967</c:v>
                </c:pt>
                <c:pt idx="1496">
                  <c:v>176.568730714667</c:v>
                </c:pt>
                <c:pt idx="1497">
                  <c:v>176.650795961534</c:v>
                </c:pt>
                <c:pt idx="1498">
                  <c:v>176.775677858939</c:v>
                </c:pt>
                <c:pt idx="1499">
                  <c:v>177.774733038184</c:v>
                </c:pt>
              </c:numCache>
            </c:numRef>
          </c:xVal>
          <c:yVal>
            <c:numRef>
              <c:f>Supervivencia!$C$5:$C$1504</c:f>
              <c:numCache>
                <c:formatCode>0.000000</c:formatCode>
                <c:ptCount val="1500"/>
                <c:pt idx="0">
                  <c:v>1</c:v>
                </c:pt>
                <c:pt idx="1">
                  <c:v>0.999333333333333</c:v>
                </c:pt>
                <c:pt idx="2">
                  <c:v>0.998666666666667</c:v>
                </c:pt>
                <c:pt idx="3">
                  <c:v>0.998</c:v>
                </c:pt>
                <c:pt idx="4">
                  <c:v>0.997333333333333</c:v>
                </c:pt>
                <c:pt idx="5">
                  <c:v>0.996666666666667</c:v>
                </c:pt>
                <c:pt idx="6">
                  <c:v>0.996</c:v>
                </c:pt>
                <c:pt idx="7">
                  <c:v>0.995333333333333</c:v>
                </c:pt>
                <c:pt idx="8">
                  <c:v>0.994666666666667</c:v>
                </c:pt>
                <c:pt idx="9">
                  <c:v>0.994</c:v>
                </c:pt>
                <c:pt idx="10">
                  <c:v>0.993333333333333</c:v>
                </c:pt>
                <c:pt idx="11">
                  <c:v>0.992666666666667</c:v>
                </c:pt>
                <c:pt idx="12">
                  <c:v>0.992</c:v>
                </c:pt>
                <c:pt idx="13">
                  <c:v>0.991333333333333</c:v>
                </c:pt>
                <c:pt idx="14">
                  <c:v>0.990666666666667</c:v>
                </c:pt>
                <c:pt idx="15">
                  <c:v>0.99</c:v>
                </c:pt>
                <c:pt idx="16">
                  <c:v>0.989333333333333</c:v>
                </c:pt>
                <c:pt idx="17">
                  <c:v>0.988666666666667</c:v>
                </c:pt>
                <c:pt idx="18">
                  <c:v>0.988</c:v>
                </c:pt>
                <c:pt idx="19">
                  <c:v>0.987333333333333</c:v>
                </c:pt>
                <c:pt idx="20">
                  <c:v>0.986666666666667</c:v>
                </c:pt>
                <c:pt idx="21">
                  <c:v>0.986</c:v>
                </c:pt>
                <c:pt idx="22">
                  <c:v>0.985333333333333</c:v>
                </c:pt>
                <c:pt idx="23">
                  <c:v>0.984666666666667</c:v>
                </c:pt>
                <c:pt idx="24">
                  <c:v>0.984</c:v>
                </c:pt>
                <c:pt idx="25">
                  <c:v>0.983333333333333</c:v>
                </c:pt>
                <c:pt idx="26">
                  <c:v>0.982666666666667</c:v>
                </c:pt>
                <c:pt idx="27">
                  <c:v>0.982</c:v>
                </c:pt>
                <c:pt idx="28">
                  <c:v>0.981333333333333</c:v>
                </c:pt>
                <c:pt idx="29">
                  <c:v>0.980666666666667</c:v>
                </c:pt>
                <c:pt idx="30">
                  <c:v>0.98</c:v>
                </c:pt>
                <c:pt idx="31">
                  <c:v>0.979333333333333</c:v>
                </c:pt>
                <c:pt idx="32">
                  <c:v>0.978666666666667</c:v>
                </c:pt>
                <c:pt idx="33">
                  <c:v>0.978</c:v>
                </c:pt>
                <c:pt idx="34">
                  <c:v>0.977333333333333</c:v>
                </c:pt>
                <c:pt idx="35">
                  <c:v>0.976666666666667</c:v>
                </c:pt>
                <c:pt idx="36">
                  <c:v>0.976</c:v>
                </c:pt>
                <c:pt idx="37">
                  <c:v>0.975333333333333</c:v>
                </c:pt>
                <c:pt idx="38">
                  <c:v>0.974666666666667</c:v>
                </c:pt>
                <c:pt idx="39">
                  <c:v>0.974</c:v>
                </c:pt>
                <c:pt idx="40">
                  <c:v>0.973333333333333</c:v>
                </c:pt>
                <c:pt idx="41">
                  <c:v>0.972666666666667</c:v>
                </c:pt>
                <c:pt idx="42">
                  <c:v>0.972</c:v>
                </c:pt>
                <c:pt idx="43">
                  <c:v>0.971333333333333</c:v>
                </c:pt>
                <c:pt idx="44">
                  <c:v>0.970666666666667</c:v>
                </c:pt>
                <c:pt idx="45">
                  <c:v>0.97</c:v>
                </c:pt>
                <c:pt idx="46">
                  <c:v>0.969333333333333</c:v>
                </c:pt>
                <c:pt idx="47">
                  <c:v>0.968666666666667</c:v>
                </c:pt>
                <c:pt idx="48">
                  <c:v>0.968</c:v>
                </c:pt>
                <c:pt idx="49">
                  <c:v>0.967333333333333</c:v>
                </c:pt>
                <c:pt idx="50">
                  <c:v>0.966666666666667</c:v>
                </c:pt>
                <c:pt idx="51">
                  <c:v>0.966</c:v>
                </c:pt>
                <c:pt idx="52">
                  <c:v>0.965333333333333</c:v>
                </c:pt>
                <c:pt idx="53">
                  <c:v>0.964666666666667</c:v>
                </c:pt>
                <c:pt idx="54">
                  <c:v>0.964</c:v>
                </c:pt>
                <c:pt idx="55">
                  <c:v>0.963333333333333</c:v>
                </c:pt>
                <c:pt idx="56">
                  <c:v>0.962666666666667</c:v>
                </c:pt>
                <c:pt idx="57">
                  <c:v>0.962</c:v>
                </c:pt>
                <c:pt idx="58">
                  <c:v>0.961333333333333</c:v>
                </c:pt>
                <c:pt idx="59">
                  <c:v>0.960666666666667</c:v>
                </c:pt>
                <c:pt idx="60">
                  <c:v>0.96</c:v>
                </c:pt>
                <c:pt idx="61">
                  <c:v>0.959333333333333</c:v>
                </c:pt>
                <c:pt idx="62">
                  <c:v>0.958666666666667</c:v>
                </c:pt>
                <c:pt idx="63">
                  <c:v>0.958</c:v>
                </c:pt>
                <c:pt idx="64">
                  <c:v>0.957333333333333</c:v>
                </c:pt>
                <c:pt idx="65">
                  <c:v>0.956666666666667</c:v>
                </c:pt>
                <c:pt idx="66">
                  <c:v>0.956</c:v>
                </c:pt>
                <c:pt idx="67">
                  <c:v>0.955333333333333</c:v>
                </c:pt>
                <c:pt idx="68">
                  <c:v>0.954666666666667</c:v>
                </c:pt>
                <c:pt idx="69">
                  <c:v>0.954</c:v>
                </c:pt>
                <c:pt idx="70">
                  <c:v>0.953333333333333</c:v>
                </c:pt>
                <c:pt idx="71">
                  <c:v>0.952666666666667</c:v>
                </c:pt>
                <c:pt idx="72">
                  <c:v>0.952</c:v>
                </c:pt>
                <c:pt idx="73">
                  <c:v>0.951333333333333</c:v>
                </c:pt>
                <c:pt idx="74">
                  <c:v>0.950666666666667</c:v>
                </c:pt>
                <c:pt idx="75">
                  <c:v>0.95</c:v>
                </c:pt>
                <c:pt idx="76">
                  <c:v>0.949333333333333</c:v>
                </c:pt>
                <c:pt idx="77">
                  <c:v>0.948666666666667</c:v>
                </c:pt>
                <c:pt idx="78">
                  <c:v>0.948</c:v>
                </c:pt>
                <c:pt idx="79">
                  <c:v>0.947333333333333</c:v>
                </c:pt>
                <c:pt idx="80">
                  <c:v>0.946666666666667</c:v>
                </c:pt>
                <c:pt idx="81">
                  <c:v>0.946</c:v>
                </c:pt>
                <c:pt idx="82">
                  <c:v>0.945333333333333</c:v>
                </c:pt>
                <c:pt idx="83">
                  <c:v>0.944666666666667</c:v>
                </c:pt>
                <c:pt idx="84">
                  <c:v>0.944</c:v>
                </c:pt>
                <c:pt idx="85">
                  <c:v>0.943333333333333</c:v>
                </c:pt>
                <c:pt idx="86">
                  <c:v>0.942666666666667</c:v>
                </c:pt>
                <c:pt idx="87">
                  <c:v>0.942</c:v>
                </c:pt>
                <c:pt idx="88">
                  <c:v>0.941333333333333</c:v>
                </c:pt>
                <c:pt idx="89">
                  <c:v>0.940666666666667</c:v>
                </c:pt>
                <c:pt idx="90">
                  <c:v>0.94</c:v>
                </c:pt>
                <c:pt idx="91">
                  <c:v>0.939333333333333</c:v>
                </c:pt>
                <c:pt idx="92">
                  <c:v>0.938666666666667</c:v>
                </c:pt>
                <c:pt idx="93">
                  <c:v>0.938</c:v>
                </c:pt>
                <c:pt idx="94">
                  <c:v>0.937333333333333</c:v>
                </c:pt>
                <c:pt idx="95">
                  <c:v>0.936666666666667</c:v>
                </c:pt>
                <c:pt idx="96">
                  <c:v>0.936</c:v>
                </c:pt>
                <c:pt idx="97">
                  <c:v>0.935333333333333</c:v>
                </c:pt>
                <c:pt idx="98">
                  <c:v>0.934666666666667</c:v>
                </c:pt>
                <c:pt idx="99">
                  <c:v>0.934</c:v>
                </c:pt>
                <c:pt idx="100">
                  <c:v>0.933333333333333</c:v>
                </c:pt>
                <c:pt idx="101">
                  <c:v>0.932666666666667</c:v>
                </c:pt>
                <c:pt idx="102">
                  <c:v>0.932</c:v>
                </c:pt>
                <c:pt idx="103">
                  <c:v>0.931333333333333</c:v>
                </c:pt>
                <c:pt idx="104">
                  <c:v>0.930666666666667</c:v>
                </c:pt>
                <c:pt idx="105">
                  <c:v>0.93</c:v>
                </c:pt>
                <c:pt idx="106">
                  <c:v>0.929333333333333</c:v>
                </c:pt>
                <c:pt idx="107">
                  <c:v>0.928666666666667</c:v>
                </c:pt>
                <c:pt idx="108">
                  <c:v>0.928</c:v>
                </c:pt>
                <c:pt idx="109">
                  <c:v>0.927333333333333</c:v>
                </c:pt>
                <c:pt idx="110">
                  <c:v>0.926666666666667</c:v>
                </c:pt>
                <c:pt idx="111">
                  <c:v>0.926</c:v>
                </c:pt>
                <c:pt idx="112">
                  <c:v>0.925333333333333</c:v>
                </c:pt>
                <c:pt idx="113">
                  <c:v>0.924666666666667</c:v>
                </c:pt>
                <c:pt idx="114">
                  <c:v>0.924</c:v>
                </c:pt>
                <c:pt idx="115">
                  <c:v>0.923333333333333</c:v>
                </c:pt>
                <c:pt idx="116">
                  <c:v>0.922666666666667</c:v>
                </c:pt>
                <c:pt idx="117">
                  <c:v>0.922</c:v>
                </c:pt>
                <c:pt idx="118">
                  <c:v>0.921333333333333</c:v>
                </c:pt>
                <c:pt idx="119">
                  <c:v>0.920666666666667</c:v>
                </c:pt>
                <c:pt idx="120">
                  <c:v>0.92</c:v>
                </c:pt>
                <c:pt idx="121">
                  <c:v>0.919333333333333</c:v>
                </c:pt>
                <c:pt idx="122">
                  <c:v>0.918666666666667</c:v>
                </c:pt>
                <c:pt idx="123">
                  <c:v>0.918</c:v>
                </c:pt>
                <c:pt idx="124">
                  <c:v>0.917333333333333</c:v>
                </c:pt>
                <c:pt idx="125">
                  <c:v>0.916666666666667</c:v>
                </c:pt>
                <c:pt idx="126">
                  <c:v>0.916</c:v>
                </c:pt>
                <c:pt idx="127">
                  <c:v>0.915333333333333</c:v>
                </c:pt>
                <c:pt idx="128">
                  <c:v>0.914666666666667</c:v>
                </c:pt>
                <c:pt idx="129">
                  <c:v>0.914</c:v>
                </c:pt>
                <c:pt idx="130">
                  <c:v>0.913333333333333</c:v>
                </c:pt>
                <c:pt idx="131">
                  <c:v>0.912666666666667</c:v>
                </c:pt>
                <c:pt idx="132">
                  <c:v>0.912</c:v>
                </c:pt>
                <c:pt idx="133">
                  <c:v>0.911333333333333</c:v>
                </c:pt>
                <c:pt idx="134">
                  <c:v>0.910666666666667</c:v>
                </c:pt>
                <c:pt idx="135">
                  <c:v>0.91</c:v>
                </c:pt>
                <c:pt idx="136">
                  <c:v>0.909333333333333</c:v>
                </c:pt>
                <c:pt idx="137">
                  <c:v>0.908666666666667</c:v>
                </c:pt>
                <c:pt idx="138">
                  <c:v>0.908</c:v>
                </c:pt>
                <c:pt idx="139">
                  <c:v>0.907333333333333</c:v>
                </c:pt>
                <c:pt idx="140">
                  <c:v>0.906666666666667</c:v>
                </c:pt>
                <c:pt idx="141">
                  <c:v>0.906</c:v>
                </c:pt>
                <c:pt idx="142">
                  <c:v>0.905333333333333</c:v>
                </c:pt>
                <c:pt idx="143">
                  <c:v>0.904666666666667</c:v>
                </c:pt>
                <c:pt idx="144">
                  <c:v>0.904</c:v>
                </c:pt>
                <c:pt idx="145">
                  <c:v>0.903333333333333</c:v>
                </c:pt>
                <c:pt idx="146">
                  <c:v>0.902666666666667</c:v>
                </c:pt>
                <c:pt idx="147">
                  <c:v>0.902</c:v>
                </c:pt>
                <c:pt idx="148">
                  <c:v>0.901333333333333</c:v>
                </c:pt>
                <c:pt idx="149">
                  <c:v>0.900666666666667</c:v>
                </c:pt>
                <c:pt idx="150">
                  <c:v>0.9</c:v>
                </c:pt>
                <c:pt idx="151">
                  <c:v>0.899333333333333</c:v>
                </c:pt>
                <c:pt idx="152">
                  <c:v>0.898666666666667</c:v>
                </c:pt>
                <c:pt idx="153">
                  <c:v>0.898</c:v>
                </c:pt>
                <c:pt idx="154">
                  <c:v>0.897333333333333</c:v>
                </c:pt>
                <c:pt idx="155">
                  <c:v>0.896666666666667</c:v>
                </c:pt>
                <c:pt idx="156">
                  <c:v>0.896</c:v>
                </c:pt>
                <c:pt idx="157">
                  <c:v>0.895333333333333</c:v>
                </c:pt>
                <c:pt idx="158">
                  <c:v>0.894666666666667</c:v>
                </c:pt>
                <c:pt idx="159">
                  <c:v>0.894</c:v>
                </c:pt>
                <c:pt idx="160">
                  <c:v>0.893333333333333</c:v>
                </c:pt>
                <c:pt idx="161">
                  <c:v>0.892666666666667</c:v>
                </c:pt>
                <c:pt idx="162">
                  <c:v>0.892</c:v>
                </c:pt>
                <c:pt idx="163">
                  <c:v>0.891333333333333</c:v>
                </c:pt>
                <c:pt idx="164">
                  <c:v>0.890666666666667</c:v>
                </c:pt>
                <c:pt idx="165">
                  <c:v>0.89</c:v>
                </c:pt>
                <c:pt idx="166">
                  <c:v>0.889333333333333</c:v>
                </c:pt>
                <c:pt idx="167">
                  <c:v>0.888666666666667</c:v>
                </c:pt>
                <c:pt idx="168">
                  <c:v>0.888</c:v>
                </c:pt>
                <c:pt idx="169">
                  <c:v>0.887333333333333</c:v>
                </c:pt>
                <c:pt idx="170">
                  <c:v>0.886666666666667</c:v>
                </c:pt>
                <c:pt idx="171">
                  <c:v>0.886</c:v>
                </c:pt>
                <c:pt idx="172">
                  <c:v>0.885333333333333</c:v>
                </c:pt>
                <c:pt idx="173">
                  <c:v>0.884666666666667</c:v>
                </c:pt>
                <c:pt idx="174">
                  <c:v>0.884</c:v>
                </c:pt>
                <c:pt idx="175">
                  <c:v>0.883333333333333</c:v>
                </c:pt>
                <c:pt idx="176">
                  <c:v>0.882666666666667</c:v>
                </c:pt>
                <c:pt idx="177">
                  <c:v>0.882</c:v>
                </c:pt>
                <c:pt idx="178">
                  <c:v>0.881333333333333</c:v>
                </c:pt>
                <c:pt idx="179">
                  <c:v>0.880666666666667</c:v>
                </c:pt>
                <c:pt idx="180">
                  <c:v>0.88</c:v>
                </c:pt>
                <c:pt idx="181">
                  <c:v>0.879333333333333</c:v>
                </c:pt>
                <c:pt idx="182">
                  <c:v>0.878666666666667</c:v>
                </c:pt>
                <c:pt idx="183">
                  <c:v>0.878</c:v>
                </c:pt>
                <c:pt idx="184">
                  <c:v>0.877333333333333</c:v>
                </c:pt>
                <c:pt idx="185">
                  <c:v>0.876666666666667</c:v>
                </c:pt>
                <c:pt idx="186">
                  <c:v>0.876</c:v>
                </c:pt>
                <c:pt idx="187">
                  <c:v>0.875333333333333</c:v>
                </c:pt>
                <c:pt idx="188">
                  <c:v>0.874666666666667</c:v>
                </c:pt>
                <c:pt idx="189">
                  <c:v>0.874</c:v>
                </c:pt>
                <c:pt idx="190">
                  <c:v>0.873333333333333</c:v>
                </c:pt>
                <c:pt idx="191">
                  <c:v>0.872666666666667</c:v>
                </c:pt>
                <c:pt idx="192">
                  <c:v>0.872</c:v>
                </c:pt>
                <c:pt idx="193">
                  <c:v>0.871333333333333</c:v>
                </c:pt>
                <c:pt idx="194">
                  <c:v>0.870666666666667</c:v>
                </c:pt>
                <c:pt idx="195">
                  <c:v>0.87</c:v>
                </c:pt>
                <c:pt idx="196">
                  <c:v>0.869333333333333</c:v>
                </c:pt>
                <c:pt idx="197">
                  <c:v>0.868666666666667</c:v>
                </c:pt>
                <c:pt idx="198">
                  <c:v>0.868</c:v>
                </c:pt>
                <c:pt idx="199">
                  <c:v>0.867333333333333</c:v>
                </c:pt>
                <c:pt idx="200">
                  <c:v>0.866666666666667</c:v>
                </c:pt>
                <c:pt idx="201">
                  <c:v>0.866</c:v>
                </c:pt>
                <c:pt idx="202">
                  <c:v>0.865333333333333</c:v>
                </c:pt>
                <c:pt idx="203">
                  <c:v>0.864666666666667</c:v>
                </c:pt>
                <c:pt idx="204">
                  <c:v>0.864</c:v>
                </c:pt>
                <c:pt idx="205">
                  <c:v>0.863333333333333</c:v>
                </c:pt>
                <c:pt idx="206">
                  <c:v>0.862666666666667</c:v>
                </c:pt>
                <c:pt idx="207">
                  <c:v>0.862</c:v>
                </c:pt>
                <c:pt idx="208">
                  <c:v>0.861333333333333</c:v>
                </c:pt>
                <c:pt idx="209">
                  <c:v>0.860666666666667</c:v>
                </c:pt>
                <c:pt idx="210">
                  <c:v>0.86</c:v>
                </c:pt>
                <c:pt idx="211">
                  <c:v>0.859333333333333</c:v>
                </c:pt>
                <c:pt idx="212">
                  <c:v>0.858666666666667</c:v>
                </c:pt>
                <c:pt idx="213">
                  <c:v>0.858</c:v>
                </c:pt>
                <c:pt idx="214">
                  <c:v>0.857333333333333</c:v>
                </c:pt>
                <c:pt idx="215">
                  <c:v>0.856666666666667</c:v>
                </c:pt>
                <c:pt idx="216">
                  <c:v>0.856</c:v>
                </c:pt>
                <c:pt idx="217">
                  <c:v>0.855333333333333</c:v>
                </c:pt>
                <c:pt idx="218">
                  <c:v>0.854666666666667</c:v>
                </c:pt>
                <c:pt idx="219">
                  <c:v>0.854</c:v>
                </c:pt>
                <c:pt idx="220">
                  <c:v>0.853333333333333</c:v>
                </c:pt>
                <c:pt idx="221">
                  <c:v>0.852666666666667</c:v>
                </c:pt>
                <c:pt idx="222">
                  <c:v>0.852</c:v>
                </c:pt>
                <c:pt idx="223">
                  <c:v>0.851333333333333</c:v>
                </c:pt>
                <c:pt idx="224">
                  <c:v>0.850666666666667</c:v>
                </c:pt>
                <c:pt idx="225">
                  <c:v>0.85</c:v>
                </c:pt>
                <c:pt idx="226">
                  <c:v>0.849333333333333</c:v>
                </c:pt>
                <c:pt idx="227">
                  <c:v>0.848666666666667</c:v>
                </c:pt>
                <c:pt idx="228">
                  <c:v>0.848</c:v>
                </c:pt>
                <c:pt idx="229">
                  <c:v>0.847333333333333</c:v>
                </c:pt>
                <c:pt idx="230">
                  <c:v>0.846666666666667</c:v>
                </c:pt>
                <c:pt idx="231">
                  <c:v>0.846</c:v>
                </c:pt>
                <c:pt idx="232">
                  <c:v>0.845333333333333</c:v>
                </c:pt>
                <c:pt idx="233">
                  <c:v>0.844666666666667</c:v>
                </c:pt>
                <c:pt idx="234">
                  <c:v>0.844</c:v>
                </c:pt>
                <c:pt idx="235">
                  <c:v>0.843333333333333</c:v>
                </c:pt>
                <c:pt idx="236">
                  <c:v>0.842666666666667</c:v>
                </c:pt>
                <c:pt idx="237">
                  <c:v>0.842</c:v>
                </c:pt>
                <c:pt idx="238">
                  <c:v>0.841333333333333</c:v>
                </c:pt>
                <c:pt idx="239">
                  <c:v>0.840666666666667</c:v>
                </c:pt>
                <c:pt idx="240">
                  <c:v>0.84</c:v>
                </c:pt>
                <c:pt idx="241">
                  <c:v>0.839333333333333</c:v>
                </c:pt>
                <c:pt idx="242">
                  <c:v>0.838666666666667</c:v>
                </c:pt>
                <c:pt idx="243">
                  <c:v>0.838</c:v>
                </c:pt>
                <c:pt idx="244">
                  <c:v>0.837333333333333</c:v>
                </c:pt>
                <c:pt idx="245">
                  <c:v>0.836666666666667</c:v>
                </c:pt>
                <c:pt idx="246">
                  <c:v>0.836</c:v>
                </c:pt>
                <c:pt idx="247">
                  <c:v>0.835333333333333</c:v>
                </c:pt>
                <c:pt idx="248">
                  <c:v>0.834666666666667</c:v>
                </c:pt>
                <c:pt idx="249">
                  <c:v>0.834</c:v>
                </c:pt>
                <c:pt idx="250">
                  <c:v>0.833333333333333</c:v>
                </c:pt>
                <c:pt idx="251">
                  <c:v>0.832666666666667</c:v>
                </c:pt>
                <c:pt idx="252">
                  <c:v>0.832</c:v>
                </c:pt>
                <c:pt idx="253">
                  <c:v>0.831333333333333</c:v>
                </c:pt>
                <c:pt idx="254">
                  <c:v>0.830666666666667</c:v>
                </c:pt>
                <c:pt idx="255">
                  <c:v>0.83</c:v>
                </c:pt>
                <c:pt idx="256">
                  <c:v>0.829333333333333</c:v>
                </c:pt>
                <c:pt idx="257">
                  <c:v>0.828666666666667</c:v>
                </c:pt>
                <c:pt idx="258">
                  <c:v>0.828</c:v>
                </c:pt>
                <c:pt idx="259">
                  <c:v>0.827333333333333</c:v>
                </c:pt>
                <c:pt idx="260">
                  <c:v>0.826666666666667</c:v>
                </c:pt>
                <c:pt idx="261">
                  <c:v>0.826</c:v>
                </c:pt>
                <c:pt idx="262">
                  <c:v>0.825333333333333</c:v>
                </c:pt>
                <c:pt idx="263">
                  <c:v>0.824666666666667</c:v>
                </c:pt>
                <c:pt idx="264">
                  <c:v>0.824</c:v>
                </c:pt>
                <c:pt idx="265">
                  <c:v>0.823333333333333</c:v>
                </c:pt>
                <c:pt idx="266">
                  <c:v>0.822666666666667</c:v>
                </c:pt>
                <c:pt idx="267">
                  <c:v>0.822</c:v>
                </c:pt>
                <c:pt idx="268">
                  <c:v>0.821333333333333</c:v>
                </c:pt>
                <c:pt idx="269">
                  <c:v>0.820666666666667</c:v>
                </c:pt>
                <c:pt idx="270">
                  <c:v>0.82</c:v>
                </c:pt>
                <c:pt idx="271">
                  <c:v>0.819333333333333</c:v>
                </c:pt>
                <c:pt idx="272">
                  <c:v>0.818666666666667</c:v>
                </c:pt>
                <c:pt idx="273">
                  <c:v>0.818</c:v>
                </c:pt>
                <c:pt idx="274">
                  <c:v>0.817333333333333</c:v>
                </c:pt>
                <c:pt idx="275">
                  <c:v>0.816666666666667</c:v>
                </c:pt>
                <c:pt idx="276">
                  <c:v>0.816</c:v>
                </c:pt>
                <c:pt idx="277">
                  <c:v>0.815333333333333</c:v>
                </c:pt>
                <c:pt idx="278">
                  <c:v>0.814666666666667</c:v>
                </c:pt>
                <c:pt idx="279">
                  <c:v>0.814</c:v>
                </c:pt>
                <c:pt idx="280">
                  <c:v>0.813333333333333</c:v>
                </c:pt>
                <c:pt idx="281">
                  <c:v>0.812666666666667</c:v>
                </c:pt>
                <c:pt idx="282">
                  <c:v>0.812</c:v>
                </c:pt>
                <c:pt idx="283">
                  <c:v>0.811333333333333</c:v>
                </c:pt>
                <c:pt idx="284">
                  <c:v>0.810666666666667</c:v>
                </c:pt>
                <c:pt idx="285">
                  <c:v>0.81</c:v>
                </c:pt>
                <c:pt idx="286">
                  <c:v>0.809333333333333</c:v>
                </c:pt>
                <c:pt idx="287">
                  <c:v>0.808666666666667</c:v>
                </c:pt>
                <c:pt idx="288">
                  <c:v>0.808</c:v>
                </c:pt>
                <c:pt idx="289">
                  <c:v>0.807333333333333</c:v>
                </c:pt>
                <c:pt idx="290">
                  <c:v>0.806666666666667</c:v>
                </c:pt>
                <c:pt idx="291">
                  <c:v>0.806</c:v>
                </c:pt>
                <c:pt idx="292">
                  <c:v>0.805333333333333</c:v>
                </c:pt>
                <c:pt idx="293">
                  <c:v>0.804666666666667</c:v>
                </c:pt>
                <c:pt idx="294">
                  <c:v>0.804</c:v>
                </c:pt>
                <c:pt idx="295">
                  <c:v>0.803333333333333</c:v>
                </c:pt>
                <c:pt idx="296">
                  <c:v>0.802666666666667</c:v>
                </c:pt>
                <c:pt idx="297">
                  <c:v>0.802</c:v>
                </c:pt>
                <c:pt idx="298">
                  <c:v>0.801333333333333</c:v>
                </c:pt>
                <c:pt idx="299">
                  <c:v>0.800666666666667</c:v>
                </c:pt>
                <c:pt idx="300">
                  <c:v>0.8</c:v>
                </c:pt>
                <c:pt idx="301">
                  <c:v>0.799333333333333</c:v>
                </c:pt>
                <c:pt idx="302">
                  <c:v>0.798666666666667</c:v>
                </c:pt>
                <c:pt idx="303">
                  <c:v>0.798</c:v>
                </c:pt>
                <c:pt idx="304">
                  <c:v>0.797333333333333</c:v>
                </c:pt>
                <c:pt idx="305">
                  <c:v>0.796666666666667</c:v>
                </c:pt>
                <c:pt idx="306">
                  <c:v>0.796</c:v>
                </c:pt>
                <c:pt idx="307">
                  <c:v>0.795333333333333</c:v>
                </c:pt>
                <c:pt idx="308">
                  <c:v>0.794666666666667</c:v>
                </c:pt>
                <c:pt idx="309">
                  <c:v>0.794</c:v>
                </c:pt>
                <c:pt idx="310">
                  <c:v>0.793333333333333</c:v>
                </c:pt>
                <c:pt idx="311">
                  <c:v>0.792666666666667</c:v>
                </c:pt>
                <c:pt idx="312">
                  <c:v>0.792</c:v>
                </c:pt>
                <c:pt idx="313">
                  <c:v>0.791333333333333</c:v>
                </c:pt>
                <c:pt idx="314">
                  <c:v>0.790666666666667</c:v>
                </c:pt>
                <c:pt idx="315">
                  <c:v>0.79</c:v>
                </c:pt>
                <c:pt idx="316">
                  <c:v>0.789333333333333</c:v>
                </c:pt>
                <c:pt idx="317">
                  <c:v>0.788666666666667</c:v>
                </c:pt>
                <c:pt idx="318">
                  <c:v>0.788</c:v>
                </c:pt>
                <c:pt idx="319">
                  <c:v>0.787333333333333</c:v>
                </c:pt>
                <c:pt idx="320">
                  <c:v>0.786666666666667</c:v>
                </c:pt>
                <c:pt idx="321">
                  <c:v>0.786</c:v>
                </c:pt>
                <c:pt idx="322">
                  <c:v>0.785333333333333</c:v>
                </c:pt>
                <c:pt idx="323">
                  <c:v>0.784666666666667</c:v>
                </c:pt>
                <c:pt idx="324">
                  <c:v>0.784</c:v>
                </c:pt>
                <c:pt idx="325">
                  <c:v>0.783333333333333</c:v>
                </c:pt>
                <c:pt idx="326">
                  <c:v>0.782666666666667</c:v>
                </c:pt>
                <c:pt idx="327">
                  <c:v>0.782</c:v>
                </c:pt>
                <c:pt idx="328">
                  <c:v>0.781333333333333</c:v>
                </c:pt>
                <c:pt idx="329">
                  <c:v>0.780666666666667</c:v>
                </c:pt>
                <c:pt idx="330">
                  <c:v>0.78</c:v>
                </c:pt>
                <c:pt idx="331">
                  <c:v>0.779333333333333</c:v>
                </c:pt>
                <c:pt idx="332">
                  <c:v>0.778666666666667</c:v>
                </c:pt>
                <c:pt idx="333">
                  <c:v>0.778</c:v>
                </c:pt>
                <c:pt idx="334">
                  <c:v>0.777333333333333</c:v>
                </c:pt>
                <c:pt idx="335">
                  <c:v>0.776666666666667</c:v>
                </c:pt>
                <c:pt idx="336">
                  <c:v>0.776</c:v>
                </c:pt>
                <c:pt idx="337">
                  <c:v>0.775333333333333</c:v>
                </c:pt>
                <c:pt idx="338">
                  <c:v>0.774666666666667</c:v>
                </c:pt>
                <c:pt idx="339">
                  <c:v>0.774</c:v>
                </c:pt>
                <c:pt idx="340">
                  <c:v>0.773333333333333</c:v>
                </c:pt>
                <c:pt idx="341">
                  <c:v>0.772666666666667</c:v>
                </c:pt>
                <c:pt idx="342">
                  <c:v>0.772</c:v>
                </c:pt>
                <c:pt idx="343">
                  <c:v>0.771333333333333</c:v>
                </c:pt>
                <c:pt idx="344">
                  <c:v>0.770666666666667</c:v>
                </c:pt>
                <c:pt idx="345">
                  <c:v>0.77</c:v>
                </c:pt>
                <c:pt idx="346">
                  <c:v>0.769333333333333</c:v>
                </c:pt>
                <c:pt idx="347">
                  <c:v>0.768666666666667</c:v>
                </c:pt>
                <c:pt idx="348">
                  <c:v>0.768</c:v>
                </c:pt>
                <c:pt idx="349">
                  <c:v>0.767333333333333</c:v>
                </c:pt>
                <c:pt idx="350">
                  <c:v>0.766666666666667</c:v>
                </c:pt>
                <c:pt idx="351">
                  <c:v>0.766</c:v>
                </c:pt>
                <c:pt idx="352">
                  <c:v>0.765333333333333</c:v>
                </c:pt>
                <c:pt idx="353">
                  <c:v>0.764666666666667</c:v>
                </c:pt>
                <c:pt idx="354">
                  <c:v>0.764</c:v>
                </c:pt>
                <c:pt idx="355">
                  <c:v>0.763333333333333</c:v>
                </c:pt>
                <c:pt idx="356">
                  <c:v>0.762666666666667</c:v>
                </c:pt>
                <c:pt idx="357">
                  <c:v>0.762</c:v>
                </c:pt>
                <c:pt idx="358">
                  <c:v>0.761333333333333</c:v>
                </c:pt>
                <c:pt idx="359">
                  <c:v>0.760666666666667</c:v>
                </c:pt>
                <c:pt idx="360">
                  <c:v>0.76</c:v>
                </c:pt>
                <c:pt idx="361">
                  <c:v>0.759333333333333</c:v>
                </c:pt>
                <c:pt idx="362">
                  <c:v>0.758666666666667</c:v>
                </c:pt>
                <c:pt idx="363">
                  <c:v>0.758</c:v>
                </c:pt>
                <c:pt idx="364">
                  <c:v>0.757333333333333</c:v>
                </c:pt>
                <c:pt idx="365">
                  <c:v>0.756666666666667</c:v>
                </c:pt>
                <c:pt idx="366">
                  <c:v>0.756</c:v>
                </c:pt>
                <c:pt idx="367">
                  <c:v>0.755333333333333</c:v>
                </c:pt>
                <c:pt idx="368">
                  <c:v>0.754666666666667</c:v>
                </c:pt>
                <c:pt idx="369">
                  <c:v>0.754</c:v>
                </c:pt>
                <c:pt idx="370">
                  <c:v>0.753333333333333</c:v>
                </c:pt>
                <c:pt idx="371">
                  <c:v>0.752666666666667</c:v>
                </c:pt>
                <c:pt idx="372">
                  <c:v>0.752</c:v>
                </c:pt>
                <c:pt idx="373">
                  <c:v>0.751333333333333</c:v>
                </c:pt>
                <c:pt idx="374">
                  <c:v>0.750666666666667</c:v>
                </c:pt>
                <c:pt idx="375">
                  <c:v>0.75</c:v>
                </c:pt>
                <c:pt idx="376">
                  <c:v>0.749333333333333</c:v>
                </c:pt>
                <c:pt idx="377">
                  <c:v>0.748666666666667</c:v>
                </c:pt>
                <c:pt idx="378">
                  <c:v>0.748</c:v>
                </c:pt>
                <c:pt idx="379">
                  <c:v>0.747333333333333</c:v>
                </c:pt>
                <c:pt idx="380">
                  <c:v>0.746666666666667</c:v>
                </c:pt>
                <c:pt idx="381">
                  <c:v>0.746</c:v>
                </c:pt>
                <c:pt idx="382">
                  <c:v>0.745333333333333</c:v>
                </c:pt>
                <c:pt idx="383">
                  <c:v>0.744666666666667</c:v>
                </c:pt>
                <c:pt idx="384">
                  <c:v>0.744</c:v>
                </c:pt>
                <c:pt idx="385">
                  <c:v>0.743333333333333</c:v>
                </c:pt>
                <c:pt idx="386">
                  <c:v>0.742666666666667</c:v>
                </c:pt>
                <c:pt idx="387">
                  <c:v>0.742</c:v>
                </c:pt>
                <c:pt idx="388">
                  <c:v>0.741333333333333</c:v>
                </c:pt>
                <c:pt idx="389">
                  <c:v>0.740666666666667</c:v>
                </c:pt>
                <c:pt idx="390">
                  <c:v>0.74</c:v>
                </c:pt>
                <c:pt idx="391">
                  <c:v>0.739333333333333</c:v>
                </c:pt>
                <c:pt idx="392">
                  <c:v>0.738666666666667</c:v>
                </c:pt>
                <c:pt idx="393">
                  <c:v>0.738</c:v>
                </c:pt>
                <c:pt idx="394">
                  <c:v>0.737333333333333</c:v>
                </c:pt>
                <c:pt idx="395">
                  <c:v>0.736666666666667</c:v>
                </c:pt>
                <c:pt idx="396">
                  <c:v>0.736</c:v>
                </c:pt>
                <c:pt idx="397">
                  <c:v>0.735333333333333</c:v>
                </c:pt>
                <c:pt idx="398">
                  <c:v>0.734666666666667</c:v>
                </c:pt>
                <c:pt idx="399">
                  <c:v>0.734</c:v>
                </c:pt>
                <c:pt idx="400">
                  <c:v>0.733333333333333</c:v>
                </c:pt>
                <c:pt idx="401">
                  <c:v>0.732666666666667</c:v>
                </c:pt>
                <c:pt idx="402">
                  <c:v>0.732</c:v>
                </c:pt>
                <c:pt idx="403">
                  <c:v>0.731333333333333</c:v>
                </c:pt>
                <c:pt idx="404">
                  <c:v>0.730666666666667</c:v>
                </c:pt>
                <c:pt idx="405">
                  <c:v>0.73</c:v>
                </c:pt>
                <c:pt idx="406">
                  <c:v>0.729333333333333</c:v>
                </c:pt>
                <c:pt idx="407">
                  <c:v>0.728666666666667</c:v>
                </c:pt>
                <c:pt idx="408">
                  <c:v>0.728</c:v>
                </c:pt>
                <c:pt idx="409">
                  <c:v>0.727333333333333</c:v>
                </c:pt>
                <c:pt idx="410">
                  <c:v>0.726666666666667</c:v>
                </c:pt>
                <c:pt idx="411">
                  <c:v>0.726</c:v>
                </c:pt>
                <c:pt idx="412">
                  <c:v>0.725333333333333</c:v>
                </c:pt>
                <c:pt idx="413">
                  <c:v>0.724666666666667</c:v>
                </c:pt>
                <c:pt idx="414">
                  <c:v>0.724</c:v>
                </c:pt>
                <c:pt idx="415">
                  <c:v>0.723333333333333</c:v>
                </c:pt>
                <c:pt idx="416">
                  <c:v>0.722666666666667</c:v>
                </c:pt>
                <c:pt idx="417">
                  <c:v>0.722</c:v>
                </c:pt>
                <c:pt idx="418">
                  <c:v>0.721333333333333</c:v>
                </c:pt>
                <c:pt idx="419">
                  <c:v>0.720666666666667</c:v>
                </c:pt>
                <c:pt idx="420">
                  <c:v>0.72</c:v>
                </c:pt>
                <c:pt idx="421">
                  <c:v>0.719333333333333</c:v>
                </c:pt>
                <c:pt idx="422">
                  <c:v>0.718666666666667</c:v>
                </c:pt>
                <c:pt idx="423">
                  <c:v>0.718</c:v>
                </c:pt>
                <c:pt idx="424">
                  <c:v>0.717333333333333</c:v>
                </c:pt>
                <c:pt idx="425">
                  <c:v>0.716666666666667</c:v>
                </c:pt>
                <c:pt idx="426">
                  <c:v>0.716</c:v>
                </c:pt>
                <c:pt idx="427">
                  <c:v>0.715333333333333</c:v>
                </c:pt>
                <c:pt idx="428">
                  <c:v>0.714666666666667</c:v>
                </c:pt>
                <c:pt idx="429">
                  <c:v>0.714</c:v>
                </c:pt>
                <c:pt idx="430">
                  <c:v>0.713333333333333</c:v>
                </c:pt>
                <c:pt idx="431">
                  <c:v>0.712666666666667</c:v>
                </c:pt>
                <c:pt idx="432">
                  <c:v>0.712</c:v>
                </c:pt>
                <c:pt idx="433">
                  <c:v>0.711333333333333</c:v>
                </c:pt>
                <c:pt idx="434">
                  <c:v>0.710666666666667</c:v>
                </c:pt>
                <c:pt idx="435">
                  <c:v>0.71</c:v>
                </c:pt>
                <c:pt idx="436">
                  <c:v>0.709333333333333</c:v>
                </c:pt>
                <c:pt idx="437">
                  <c:v>0.708666666666667</c:v>
                </c:pt>
                <c:pt idx="438">
                  <c:v>0.708</c:v>
                </c:pt>
                <c:pt idx="439">
                  <c:v>0.707333333333333</c:v>
                </c:pt>
                <c:pt idx="440">
                  <c:v>0.706666666666667</c:v>
                </c:pt>
                <c:pt idx="441">
                  <c:v>0.706</c:v>
                </c:pt>
                <c:pt idx="442">
                  <c:v>0.705333333333333</c:v>
                </c:pt>
                <c:pt idx="443">
                  <c:v>0.704666666666667</c:v>
                </c:pt>
                <c:pt idx="444">
                  <c:v>0.704</c:v>
                </c:pt>
                <c:pt idx="445">
                  <c:v>0.703333333333333</c:v>
                </c:pt>
                <c:pt idx="446">
                  <c:v>0.702666666666667</c:v>
                </c:pt>
                <c:pt idx="447">
                  <c:v>0.702</c:v>
                </c:pt>
                <c:pt idx="448">
                  <c:v>0.701333333333333</c:v>
                </c:pt>
                <c:pt idx="449">
                  <c:v>0.700666666666667</c:v>
                </c:pt>
                <c:pt idx="450">
                  <c:v>0.7</c:v>
                </c:pt>
                <c:pt idx="451">
                  <c:v>0.699333333333333</c:v>
                </c:pt>
                <c:pt idx="452">
                  <c:v>0.698666666666667</c:v>
                </c:pt>
                <c:pt idx="453">
                  <c:v>0.698</c:v>
                </c:pt>
                <c:pt idx="454">
                  <c:v>0.697333333333333</c:v>
                </c:pt>
                <c:pt idx="455">
                  <c:v>0.696666666666667</c:v>
                </c:pt>
                <c:pt idx="456">
                  <c:v>0.696</c:v>
                </c:pt>
                <c:pt idx="457">
                  <c:v>0.695333333333333</c:v>
                </c:pt>
                <c:pt idx="458">
                  <c:v>0.694666666666667</c:v>
                </c:pt>
                <c:pt idx="459">
                  <c:v>0.694</c:v>
                </c:pt>
                <c:pt idx="460">
                  <c:v>0.693333333333333</c:v>
                </c:pt>
                <c:pt idx="461">
                  <c:v>0.692666666666667</c:v>
                </c:pt>
                <c:pt idx="462">
                  <c:v>0.692</c:v>
                </c:pt>
                <c:pt idx="463">
                  <c:v>0.691333333333333</c:v>
                </c:pt>
                <c:pt idx="464">
                  <c:v>0.690666666666667</c:v>
                </c:pt>
                <c:pt idx="465">
                  <c:v>0.69</c:v>
                </c:pt>
                <c:pt idx="466">
                  <c:v>0.689333333333333</c:v>
                </c:pt>
                <c:pt idx="467">
                  <c:v>0.688666666666667</c:v>
                </c:pt>
                <c:pt idx="468">
                  <c:v>0.688</c:v>
                </c:pt>
                <c:pt idx="469">
                  <c:v>0.687333333333333</c:v>
                </c:pt>
                <c:pt idx="470">
                  <c:v>0.686666666666667</c:v>
                </c:pt>
                <c:pt idx="471">
                  <c:v>0.686</c:v>
                </c:pt>
                <c:pt idx="472">
                  <c:v>0.685333333333333</c:v>
                </c:pt>
                <c:pt idx="473">
                  <c:v>0.684666666666667</c:v>
                </c:pt>
                <c:pt idx="474">
                  <c:v>0.684</c:v>
                </c:pt>
                <c:pt idx="475">
                  <c:v>0.683333333333333</c:v>
                </c:pt>
                <c:pt idx="476">
                  <c:v>0.682666666666667</c:v>
                </c:pt>
                <c:pt idx="477">
                  <c:v>0.682</c:v>
                </c:pt>
                <c:pt idx="478">
                  <c:v>0.681333333333333</c:v>
                </c:pt>
                <c:pt idx="479">
                  <c:v>0.680666666666667</c:v>
                </c:pt>
                <c:pt idx="480">
                  <c:v>0.68</c:v>
                </c:pt>
                <c:pt idx="481">
                  <c:v>0.679333333333333</c:v>
                </c:pt>
                <c:pt idx="482">
                  <c:v>0.678666666666667</c:v>
                </c:pt>
                <c:pt idx="483">
                  <c:v>0.678</c:v>
                </c:pt>
                <c:pt idx="484">
                  <c:v>0.677333333333333</c:v>
                </c:pt>
                <c:pt idx="485">
                  <c:v>0.676666666666667</c:v>
                </c:pt>
                <c:pt idx="486">
                  <c:v>0.676</c:v>
                </c:pt>
                <c:pt idx="487">
                  <c:v>0.675333333333333</c:v>
                </c:pt>
                <c:pt idx="488">
                  <c:v>0.674666666666667</c:v>
                </c:pt>
                <c:pt idx="489">
                  <c:v>0.674</c:v>
                </c:pt>
                <c:pt idx="490">
                  <c:v>0.673333333333333</c:v>
                </c:pt>
                <c:pt idx="491">
                  <c:v>0.672666666666667</c:v>
                </c:pt>
                <c:pt idx="492">
                  <c:v>0.672</c:v>
                </c:pt>
                <c:pt idx="493">
                  <c:v>0.671333333333333</c:v>
                </c:pt>
                <c:pt idx="494">
                  <c:v>0.670666666666667</c:v>
                </c:pt>
                <c:pt idx="495">
                  <c:v>0.67</c:v>
                </c:pt>
                <c:pt idx="496">
                  <c:v>0.669333333333333</c:v>
                </c:pt>
                <c:pt idx="497">
                  <c:v>0.668666666666667</c:v>
                </c:pt>
                <c:pt idx="498">
                  <c:v>0.668</c:v>
                </c:pt>
                <c:pt idx="499">
                  <c:v>0.667333333333333</c:v>
                </c:pt>
                <c:pt idx="500">
                  <c:v>0.666666666666667</c:v>
                </c:pt>
                <c:pt idx="501">
                  <c:v>0.666</c:v>
                </c:pt>
                <c:pt idx="502">
                  <c:v>0.665333333333333</c:v>
                </c:pt>
                <c:pt idx="503">
                  <c:v>0.664666666666667</c:v>
                </c:pt>
                <c:pt idx="504">
                  <c:v>0.664</c:v>
                </c:pt>
                <c:pt idx="505">
                  <c:v>0.663333333333333</c:v>
                </c:pt>
                <c:pt idx="506">
                  <c:v>0.662666666666667</c:v>
                </c:pt>
                <c:pt idx="507">
                  <c:v>0.662</c:v>
                </c:pt>
                <c:pt idx="508">
                  <c:v>0.661333333333333</c:v>
                </c:pt>
                <c:pt idx="509">
                  <c:v>0.660666666666667</c:v>
                </c:pt>
                <c:pt idx="510">
                  <c:v>0.66</c:v>
                </c:pt>
                <c:pt idx="511">
                  <c:v>0.659333333333333</c:v>
                </c:pt>
                <c:pt idx="512">
                  <c:v>0.658666666666667</c:v>
                </c:pt>
                <c:pt idx="513">
                  <c:v>0.658</c:v>
                </c:pt>
                <c:pt idx="514">
                  <c:v>0.657333333333333</c:v>
                </c:pt>
                <c:pt idx="515">
                  <c:v>0.656666666666667</c:v>
                </c:pt>
                <c:pt idx="516">
                  <c:v>0.656</c:v>
                </c:pt>
                <c:pt idx="517">
                  <c:v>0.655333333333333</c:v>
                </c:pt>
                <c:pt idx="518">
                  <c:v>0.654666666666667</c:v>
                </c:pt>
                <c:pt idx="519">
                  <c:v>0.654</c:v>
                </c:pt>
                <c:pt idx="520">
                  <c:v>0.653333333333333</c:v>
                </c:pt>
                <c:pt idx="521">
                  <c:v>0.652666666666667</c:v>
                </c:pt>
                <c:pt idx="522">
                  <c:v>0.652</c:v>
                </c:pt>
                <c:pt idx="523">
                  <c:v>0.651333333333333</c:v>
                </c:pt>
                <c:pt idx="524">
                  <c:v>0.650666666666667</c:v>
                </c:pt>
                <c:pt idx="525">
                  <c:v>0.65</c:v>
                </c:pt>
                <c:pt idx="526">
                  <c:v>0.649333333333333</c:v>
                </c:pt>
                <c:pt idx="527">
                  <c:v>0.648666666666667</c:v>
                </c:pt>
                <c:pt idx="528">
                  <c:v>0.648</c:v>
                </c:pt>
                <c:pt idx="529">
                  <c:v>0.647333333333333</c:v>
                </c:pt>
                <c:pt idx="530">
                  <c:v>0.646666666666667</c:v>
                </c:pt>
                <c:pt idx="531">
                  <c:v>0.646</c:v>
                </c:pt>
                <c:pt idx="532">
                  <c:v>0.645333333333333</c:v>
                </c:pt>
                <c:pt idx="533">
                  <c:v>0.644666666666667</c:v>
                </c:pt>
                <c:pt idx="534">
                  <c:v>0.644</c:v>
                </c:pt>
                <c:pt idx="535">
                  <c:v>0.643333333333333</c:v>
                </c:pt>
                <c:pt idx="536">
                  <c:v>0.642666666666667</c:v>
                </c:pt>
                <c:pt idx="537">
                  <c:v>0.642</c:v>
                </c:pt>
                <c:pt idx="538">
                  <c:v>0.641333333333333</c:v>
                </c:pt>
                <c:pt idx="539">
                  <c:v>0.640666666666667</c:v>
                </c:pt>
                <c:pt idx="540">
                  <c:v>0.64</c:v>
                </c:pt>
                <c:pt idx="541">
                  <c:v>0.639333333333333</c:v>
                </c:pt>
                <c:pt idx="542">
                  <c:v>0.638666666666667</c:v>
                </c:pt>
                <c:pt idx="543">
                  <c:v>0.638</c:v>
                </c:pt>
                <c:pt idx="544">
                  <c:v>0.637333333333333</c:v>
                </c:pt>
                <c:pt idx="545">
                  <c:v>0.636666666666667</c:v>
                </c:pt>
                <c:pt idx="546">
                  <c:v>0.636</c:v>
                </c:pt>
                <c:pt idx="547">
                  <c:v>0.635333333333333</c:v>
                </c:pt>
                <c:pt idx="548">
                  <c:v>0.634666666666667</c:v>
                </c:pt>
                <c:pt idx="549">
                  <c:v>0.634</c:v>
                </c:pt>
                <c:pt idx="550">
                  <c:v>0.633333333333333</c:v>
                </c:pt>
                <c:pt idx="551">
                  <c:v>0.632666666666667</c:v>
                </c:pt>
                <c:pt idx="552">
                  <c:v>0.632</c:v>
                </c:pt>
                <c:pt idx="553">
                  <c:v>0.631333333333333</c:v>
                </c:pt>
                <c:pt idx="554">
                  <c:v>0.630666666666667</c:v>
                </c:pt>
                <c:pt idx="555">
                  <c:v>0.63</c:v>
                </c:pt>
                <c:pt idx="556">
                  <c:v>0.629333333333333</c:v>
                </c:pt>
                <c:pt idx="557">
                  <c:v>0.628666666666667</c:v>
                </c:pt>
                <c:pt idx="558">
                  <c:v>0.628</c:v>
                </c:pt>
                <c:pt idx="559">
                  <c:v>0.627333333333333</c:v>
                </c:pt>
                <c:pt idx="560">
                  <c:v>0.626666666666667</c:v>
                </c:pt>
                <c:pt idx="561">
                  <c:v>0.626</c:v>
                </c:pt>
                <c:pt idx="562">
                  <c:v>0.625333333333333</c:v>
                </c:pt>
                <c:pt idx="563">
                  <c:v>0.624666666666667</c:v>
                </c:pt>
                <c:pt idx="564">
                  <c:v>0.624</c:v>
                </c:pt>
                <c:pt idx="565">
                  <c:v>0.623333333333333</c:v>
                </c:pt>
                <c:pt idx="566">
                  <c:v>0.622666666666667</c:v>
                </c:pt>
                <c:pt idx="567">
                  <c:v>0.622</c:v>
                </c:pt>
                <c:pt idx="568">
                  <c:v>0.621333333333333</c:v>
                </c:pt>
                <c:pt idx="569">
                  <c:v>0.620666666666667</c:v>
                </c:pt>
                <c:pt idx="570">
                  <c:v>0.62</c:v>
                </c:pt>
                <c:pt idx="571">
                  <c:v>0.619333333333333</c:v>
                </c:pt>
                <c:pt idx="572">
                  <c:v>0.618666666666667</c:v>
                </c:pt>
                <c:pt idx="573">
                  <c:v>0.618</c:v>
                </c:pt>
                <c:pt idx="574">
                  <c:v>0.617333333333333</c:v>
                </c:pt>
                <c:pt idx="575">
                  <c:v>0.616666666666667</c:v>
                </c:pt>
                <c:pt idx="576">
                  <c:v>0.616</c:v>
                </c:pt>
                <c:pt idx="577">
                  <c:v>0.615333333333333</c:v>
                </c:pt>
                <c:pt idx="578">
                  <c:v>0.614666666666667</c:v>
                </c:pt>
                <c:pt idx="579">
                  <c:v>0.614</c:v>
                </c:pt>
                <c:pt idx="580">
                  <c:v>0.613333333333333</c:v>
                </c:pt>
                <c:pt idx="581">
                  <c:v>0.612666666666667</c:v>
                </c:pt>
                <c:pt idx="582">
                  <c:v>0.612</c:v>
                </c:pt>
                <c:pt idx="583">
                  <c:v>0.611333333333333</c:v>
                </c:pt>
                <c:pt idx="584">
                  <c:v>0.610666666666667</c:v>
                </c:pt>
                <c:pt idx="585">
                  <c:v>0.61</c:v>
                </c:pt>
                <c:pt idx="586">
                  <c:v>0.609333333333333</c:v>
                </c:pt>
                <c:pt idx="587">
                  <c:v>0.608666666666667</c:v>
                </c:pt>
                <c:pt idx="588">
                  <c:v>0.608</c:v>
                </c:pt>
                <c:pt idx="589">
                  <c:v>0.607333333333333</c:v>
                </c:pt>
                <c:pt idx="590">
                  <c:v>0.606666666666667</c:v>
                </c:pt>
                <c:pt idx="591">
                  <c:v>0.606</c:v>
                </c:pt>
                <c:pt idx="592">
                  <c:v>0.605333333333333</c:v>
                </c:pt>
                <c:pt idx="593">
                  <c:v>0.604666666666667</c:v>
                </c:pt>
                <c:pt idx="594">
                  <c:v>0.604</c:v>
                </c:pt>
                <c:pt idx="595">
                  <c:v>0.603333333333333</c:v>
                </c:pt>
                <c:pt idx="596">
                  <c:v>0.602666666666667</c:v>
                </c:pt>
                <c:pt idx="597">
                  <c:v>0.602</c:v>
                </c:pt>
                <c:pt idx="598">
                  <c:v>0.601333333333333</c:v>
                </c:pt>
                <c:pt idx="599">
                  <c:v>0.600666666666667</c:v>
                </c:pt>
                <c:pt idx="600">
                  <c:v>0.6</c:v>
                </c:pt>
                <c:pt idx="601">
                  <c:v>0.599333333333333</c:v>
                </c:pt>
                <c:pt idx="602">
                  <c:v>0.598666666666667</c:v>
                </c:pt>
                <c:pt idx="603">
                  <c:v>0.598</c:v>
                </c:pt>
                <c:pt idx="604">
                  <c:v>0.597333333333333</c:v>
                </c:pt>
                <c:pt idx="605">
                  <c:v>0.596666666666667</c:v>
                </c:pt>
                <c:pt idx="606">
                  <c:v>0.596</c:v>
                </c:pt>
                <c:pt idx="607">
                  <c:v>0.595333333333333</c:v>
                </c:pt>
                <c:pt idx="608">
                  <c:v>0.594666666666667</c:v>
                </c:pt>
                <c:pt idx="609">
                  <c:v>0.594</c:v>
                </c:pt>
                <c:pt idx="610">
                  <c:v>0.593333333333333</c:v>
                </c:pt>
                <c:pt idx="611">
                  <c:v>0.592666666666667</c:v>
                </c:pt>
                <c:pt idx="612">
                  <c:v>0.592</c:v>
                </c:pt>
                <c:pt idx="613">
                  <c:v>0.591333333333333</c:v>
                </c:pt>
                <c:pt idx="614">
                  <c:v>0.590666666666667</c:v>
                </c:pt>
                <c:pt idx="615">
                  <c:v>0.59</c:v>
                </c:pt>
                <c:pt idx="616">
                  <c:v>0.589333333333333</c:v>
                </c:pt>
                <c:pt idx="617">
                  <c:v>0.588666666666667</c:v>
                </c:pt>
                <c:pt idx="618">
                  <c:v>0.588</c:v>
                </c:pt>
                <c:pt idx="619">
                  <c:v>0.587333333333333</c:v>
                </c:pt>
                <c:pt idx="620">
                  <c:v>0.586666666666667</c:v>
                </c:pt>
                <c:pt idx="621">
                  <c:v>0.586</c:v>
                </c:pt>
                <c:pt idx="622">
                  <c:v>0.585333333333333</c:v>
                </c:pt>
                <c:pt idx="623">
                  <c:v>0.584666666666667</c:v>
                </c:pt>
                <c:pt idx="624">
                  <c:v>0.584</c:v>
                </c:pt>
                <c:pt idx="625">
                  <c:v>0.583333333333333</c:v>
                </c:pt>
                <c:pt idx="626">
                  <c:v>0.582666666666667</c:v>
                </c:pt>
                <c:pt idx="627">
                  <c:v>0.582</c:v>
                </c:pt>
                <c:pt idx="628">
                  <c:v>0.581333333333333</c:v>
                </c:pt>
                <c:pt idx="629">
                  <c:v>0.580666666666667</c:v>
                </c:pt>
                <c:pt idx="630">
                  <c:v>0.58</c:v>
                </c:pt>
                <c:pt idx="631">
                  <c:v>0.579333333333333</c:v>
                </c:pt>
                <c:pt idx="632">
                  <c:v>0.578666666666667</c:v>
                </c:pt>
                <c:pt idx="633">
                  <c:v>0.578</c:v>
                </c:pt>
                <c:pt idx="634">
                  <c:v>0.577333333333333</c:v>
                </c:pt>
                <c:pt idx="635">
                  <c:v>0.576666666666667</c:v>
                </c:pt>
                <c:pt idx="636">
                  <c:v>0.576</c:v>
                </c:pt>
                <c:pt idx="637">
                  <c:v>0.575333333333333</c:v>
                </c:pt>
                <c:pt idx="638">
                  <c:v>0.574666666666667</c:v>
                </c:pt>
                <c:pt idx="639">
                  <c:v>0.574</c:v>
                </c:pt>
                <c:pt idx="640">
                  <c:v>0.573333333333333</c:v>
                </c:pt>
                <c:pt idx="641">
                  <c:v>0.572666666666667</c:v>
                </c:pt>
                <c:pt idx="642">
                  <c:v>0.572</c:v>
                </c:pt>
                <c:pt idx="643">
                  <c:v>0.571333333333333</c:v>
                </c:pt>
                <c:pt idx="644">
                  <c:v>0.570666666666667</c:v>
                </c:pt>
                <c:pt idx="645">
                  <c:v>0.57</c:v>
                </c:pt>
                <c:pt idx="646">
                  <c:v>0.569333333333333</c:v>
                </c:pt>
                <c:pt idx="647">
                  <c:v>0.568666666666667</c:v>
                </c:pt>
                <c:pt idx="648">
                  <c:v>0.568</c:v>
                </c:pt>
                <c:pt idx="649">
                  <c:v>0.567333333333333</c:v>
                </c:pt>
                <c:pt idx="650">
                  <c:v>0.566666666666667</c:v>
                </c:pt>
                <c:pt idx="651">
                  <c:v>0.566</c:v>
                </c:pt>
                <c:pt idx="652">
                  <c:v>0.565333333333333</c:v>
                </c:pt>
                <c:pt idx="653">
                  <c:v>0.564666666666667</c:v>
                </c:pt>
                <c:pt idx="654">
                  <c:v>0.564</c:v>
                </c:pt>
                <c:pt idx="655">
                  <c:v>0.563333333333333</c:v>
                </c:pt>
                <c:pt idx="656">
                  <c:v>0.562666666666667</c:v>
                </c:pt>
                <c:pt idx="657">
                  <c:v>0.562</c:v>
                </c:pt>
                <c:pt idx="658">
                  <c:v>0.561333333333333</c:v>
                </c:pt>
                <c:pt idx="659">
                  <c:v>0.560666666666667</c:v>
                </c:pt>
                <c:pt idx="660">
                  <c:v>0.56</c:v>
                </c:pt>
                <c:pt idx="661">
                  <c:v>0.559333333333333</c:v>
                </c:pt>
                <c:pt idx="662">
                  <c:v>0.558666666666667</c:v>
                </c:pt>
                <c:pt idx="663">
                  <c:v>0.558</c:v>
                </c:pt>
                <c:pt idx="664">
                  <c:v>0.557333333333333</c:v>
                </c:pt>
                <c:pt idx="665">
                  <c:v>0.556666666666667</c:v>
                </c:pt>
                <c:pt idx="666">
                  <c:v>0.556</c:v>
                </c:pt>
                <c:pt idx="667">
                  <c:v>0.555333333333333</c:v>
                </c:pt>
                <c:pt idx="668">
                  <c:v>0.554666666666667</c:v>
                </c:pt>
                <c:pt idx="669">
                  <c:v>0.554</c:v>
                </c:pt>
                <c:pt idx="670">
                  <c:v>0.553333333333333</c:v>
                </c:pt>
                <c:pt idx="671">
                  <c:v>0.552666666666667</c:v>
                </c:pt>
                <c:pt idx="672">
                  <c:v>0.552</c:v>
                </c:pt>
                <c:pt idx="673">
                  <c:v>0.551333333333333</c:v>
                </c:pt>
                <c:pt idx="674">
                  <c:v>0.550666666666667</c:v>
                </c:pt>
                <c:pt idx="675">
                  <c:v>0.55</c:v>
                </c:pt>
                <c:pt idx="676">
                  <c:v>0.549333333333333</c:v>
                </c:pt>
                <c:pt idx="677">
                  <c:v>0.548666666666667</c:v>
                </c:pt>
                <c:pt idx="678">
                  <c:v>0.548</c:v>
                </c:pt>
                <c:pt idx="679">
                  <c:v>0.547333333333333</c:v>
                </c:pt>
                <c:pt idx="680">
                  <c:v>0.546666666666667</c:v>
                </c:pt>
                <c:pt idx="681">
                  <c:v>0.546</c:v>
                </c:pt>
                <c:pt idx="682">
                  <c:v>0.545333333333333</c:v>
                </c:pt>
                <c:pt idx="683">
                  <c:v>0.544666666666667</c:v>
                </c:pt>
                <c:pt idx="684">
                  <c:v>0.544</c:v>
                </c:pt>
                <c:pt idx="685">
                  <c:v>0.543333333333333</c:v>
                </c:pt>
                <c:pt idx="686">
                  <c:v>0.542666666666667</c:v>
                </c:pt>
                <c:pt idx="687">
                  <c:v>0.542</c:v>
                </c:pt>
                <c:pt idx="688">
                  <c:v>0.541333333333333</c:v>
                </c:pt>
                <c:pt idx="689">
                  <c:v>0.540666666666667</c:v>
                </c:pt>
                <c:pt idx="690">
                  <c:v>0.54</c:v>
                </c:pt>
                <c:pt idx="691">
                  <c:v>0.539333333333333</c:v>
                </c:pt>
                <c:pt idx="692">
                  <c:v>0.538666666666667</c:v>
                </c:pt>
                <c:pt idx="693">
                  <c:v>0.538</c:v>
                </c:pt>
                <c:pt idx="694">
                  <c:v>0.537333333333333</c:v>
                </c:pt>
                <c:pt idx="695">
                  <c:v>0.536666666666667</c:v>
                </c:pt>
                <c:pt idx="696">
                  <c:v>0.536</c:v>
                </c:pt>
                <c:pt idx="697">
                  <c:v>0.535333333333333</c:v>
                </c:pt>
                <c:pt idx="698">
                  <c:v>0.534666666666667</c:v>
                </c:pt>
                <c:pt idx="699">
                  <c:v>0.534</c:v>
                </c:pt>
                <c:pt idx="700">
                  <c:v>0.533333333333333</c:v>
                </c:pt>
                <c:pt idx="701">
                  <c:v>0.532666666666667</c:v>
                </c:pt>
                <c:pt idx="702">
                  <c:v>0.532</c:v>
                </c:pt>
                <c:pt idx="703">
                  <c:v>0.531333333333333</c:v>
                </c:pt>
                <c:pt idx="704">
                  <c:v>0.530666666666667</c:v>
                </c:pt>
                <c:pt idx="705">
                  <c:v>0.53</c:v>
                </c:pt>
                <c:pt idx="706">
                  <c:v>0.529333333333333</c:v>
                </c:pt>
                <c:pt idx="707">
                  <c:v>0.528666666666667</c:v>
                </c:pt>
                <c:pt idx="708">
                  <c:v>0.528</c:v>
                </c:pt>
                <c:pt idx="709">
                  <c:v>0.527333333333333</c:v>
                </c:pt>
                <c:pt idx="710">
                  <c:v>0.526666666666667</c:v>
                </c:pt>
                <c:pt idx="711">
                  <c:v>0.526</c:v>
                </c:pt>
                <c:pt idx="712">
                  <c:v>0.525333333333333</c:v>
                </c:pt>
                <c:pt idx="713">
                  <c:v>0.524666666666667</c:v>
                </c:pt>
                <c:pt idx="714">
                  <c:v>0.524</c:v>
                </c:pt>
                <c:pt idx="715">
                  <c:v>0.523333333333333</c:v>
                </c:pt>
                <c:pt idx="716">
                  <c:v>0.522666666666667</c:v>
                </c:pt>
                <c:pt idx="717">
                  <c:v>0.522</c:v>
                </c:pt>
                <c:pt idx="718">
                  <c:v>0.521333333333333</c:v>
                </c:pt>
                <c:pt idx="719">
                  <c:v>0.520666666666667</c:v>
                </c:pt>
                <c:pt idx="720">
                  <c:v>0.52</c:v>
                </c:pt>
                <c:pt idx="721">
                  <c:v>0.519333333333333</c:v>
                </c:pt>
                <c:pt idx="722">
                  <c:v>0.518666666666667</c:v>
                </c:pt>
                <c:pt idx="723">
                  <c:v>0.518</c:v>
                </c:pt>
                <c:pt idx="724">
                  <c:v>0.517333333333333</c:v>
                </c:pt>
                <c:pt idx="725">
                  <c:v>0.516666666666667</c:v>
                </c:pt>
                <c:pt idx="726">
                  <c:v>0.516</c:v>
                </c:pt>
                <c:pt idx="727">
                  <c:v>0.515333333333333</c:v>
                </c:pt>
                <c:pt idx="728">
                  <c:v>0.514666666666667</c:v>
                </c:pt>
                <c:pt idx="729">
                  <c:v>0.514</c:v>
                </c:pt>
                <c:pt idx="730">
                  <c:v>0.513333333333333</c:v>
                </c:pt>
                <c:pt idx="731">
                  <c:v>0.512666666666667</c:v>
                </c:pt>
                <c:pt idx="732">
                  <c:v>0.512</c:v>
                </c:pt>
                <c:pt idx="733">
                  <c:v>0.511333333333333</c:v>
                </c:pt>
                <c:pt idx="734">
                  <c:v>0.510666666666667</c:v>
                </c:pt>
                <c:pt idx="735">
                  <c:v>0.51</c:v>
                </c:pt>
                <c:pt idx="736">
                  <c:v>0.509333333333333</c:v>
                </c:pt>
                <c:pt idx="737">
                  <c:v>0.508666666666667</c:v>
                </c:pt>
                <c:pt idx="738">
                  <c:v>0.508</c:v>
                </c:pt>
                <c:pt idx="739">
                  <c:v>0.507333333333333</c:v>
                </c:pt>
                <c:pt idx="740">
                  <c:v>0.506666666666667</c:v>
                </c:pt>
                <c:pt idx="741">
                  <c:v>0.506</c:v>
                </c:pt>
                <c:pt idx="742">
                  <c:v>0.505333333333333</c:v>
                </c:pt>
                <c:pt idx="743">
                  <c:v>0.504666666666667</c:v>
                </c:pt>
                <c:pt idx="744">
                  <c:v>0.504</c:v>
                </c:pt>
                <c:pt idx="745">
                  <c:v>0.503333333333333</c:v>
                </c:pt>
                <c:pt idx="746">
                  <c:v>0.502666666666667</c:v>
                </c:pt>
                <c:pt idx="747">
                  <c:v>0.502</c:v>
                </c:pt>
                <c:pt idx="748">
                  <c:v>0.501333333333333</c:v>
                </c:pt>
                <c:pt idx="749">
                  <c:v>0.500666666666667</c:v>
                </c:pt>
                <c:pt idx="750">
                  <c:v>0.5</c:v>
                </c:pt>
                <c:pt idx="751">
                  <c:v>0.499333333333333</c:v>
                </c:pt>
                <c:pt idx="752">
                  <c:v>0.498666666666667</c:v>
                </c:pt>
                <c:pt idx="753">
                  <c:v>0.498</c:v>
                </c:pt>
                <c:pt idx="754">
                  <c:v>0.497333333333333</c:v>
                </c:pt>
                <c:pt idx="755">
                  <c:v>0.496666666666667</c:v>
                </c:pt>
                <c:pt idx="756">
                  <c:v>0.496</c:v>
                </c:pt>
                <c:pt idx="757">
                  <c:v>0.495333333333333</c:v>
                </c:pt>
                <c:pt idx="758">
                  <c:v>0.494666666666667</c:v>
                </c:pt>
                <c:pt idx="759">
                  <c:v>0.494</c:v>
                </c:pt>
                <c:pt idx="760">
                  <c:v>0.493333333333333</c:v>
                </c:pt>
                <c:pt idx="761">
                  <c:v>0.492666666666667</c:v>
                </c:pt>
                <c:pt idx="762">
                  <c:v>0.492</c:v>
                </c:pt>
                <c:pt idx="763">
                  <c:v>0.491333333333333</c:v>
                </c:pt>
                <c:pt idx="764">
                  <c:v>0.490666666666667</c:v>
                </c:pt>
                <c:pt idx="765">
                  <c:v>0.49</c:v>
                </c:pt>
                <c:pt idx="766">
                  <c:v>0.489333333333333</c:v>
                </c:pt>
                <c:pt idx="767">
                  <c:v>0.488666666666667</c:v>
                </c:pt>
                <c:pt idx="768">
                  <c:v>0.488</c:v>
                </c:pt>
                <c:pt idx="769">
                  <c:v>0.487333333333333</c:v>
                </c:pt>
                <c:pt idx="770">
                  <c:v>0.486666666666667</c:v>
                </c:pt>
                <c:pt idx="771">
                  <c:v>0.486</c:v>
                </c:pt>
                <c:pt idx="772">
                  <c:v>0.485333333333333</c:v>
                </c:pt>
                <c:pt idx="773">
                  <c:v>0.484666666666667</c:v>
                </c:pt>
                <c:pt idx="774">
                  <c:v>0.484</c:v>
                </c:pt>
                <c:pt idx="775">
                  <c:v>0.483333333333333</c:v>
                </c:pt>
                <c:pt idx="776">
                  <c:v>0.482666666666667</c:v>
                </c:pt>
                <c:pt idx="777">
                  <c:v>0.482</c:v>
                </c:pt>
                <c:pt idx="778">
                  <c:v>0.481333333333333</c:v>
                </c:pt>
                <c:pt idx="779">
                  <c:v>0.480666666666667</c:v>
                </c:pt>
                <c:pt idx="780">
                  <c:v>0.48</c:v>
                </c:pt>
                <c:pt idx="781">
                  <c:v>0.479333333333333</c:v>
                </c:pt>
                <c:pt idx="782">
                  <c:v>0.478666666666667</c:v>
                </c:pt>
                <c:pt idx="783">
                  <c:v>0.478</c:v>
                </c:pt>
                <c:pt idx="784">
                  <c:v>0.477333333333333</c:v>
                </c:pt>
                <c:pt idx="785">
                  <c:v>0.476666666666667</c:v>
                </c:pt>
                <c:pt idx="786">
                  <c:v>0.476</c:v>
                </c:pt>
                <c:pt idx="787">
                  <c:v>0.475333333333333</c:v>
                </c:pt>
                <c:pt idx="788">
                  <c:v>0.474666666666667</c:v>
                </c:pt>
                <c:pt idx="789">
                  <c:v>0.474</c:v>
                </c:pt>
                <c:pt idx="790">
                  <c:v>0.473333333333333</c:v>
                </c:pt>
                <c:pt idx="791">
                  <c:v>0.472666666666667</c:v>
                </c:pt>
                <c:pt idx="792">
                  <c:v>0.472</c:v>
                </c:pt>
                <c:pt idx="793">
                  <c:v>0.471333333333333</c:v>
                </c:pt>
                <c:pt idx="794">
                  <c:v>0.470666666666667</c:v>
                </c:pt>
                <c:pt idx="795">
                  <c:v>0.47</c:v>
                </c:pt>
                <c:pt idx="796">
                  <c:v>0.469333333333333</c:v>
                </c:pt>
                <c:pt idx="797">
                  <c:v>0.468666666666667</c:v>
                </c:pt>
                <c:pt idx="798">
                  <c:v>0.468</c:v>
                </c:pt>
                <c:pt idx="799">
                  <c:v>0.467333333333333</c:v>
                </c:pt>
                <c:pt idx="800">
                  <c:v>0.466666666666667</c:v>
                </c:pt>
                <c:pt idx="801">
                  <c:v>0.466</c:v>
                </c:pt>
                <c:pt idx="802">
                  <c:v>0.465333333333333</c:v>
                </c:pt>
                <c:pt idx="803">
                  <c:v>0.464666666666667</c:v>
                </c:pt>
                <c:pt idx="804">
                  <c:v>0.464</c:v>
                </c:pt>
                <c:pt idx="805">
                  <c:v>0.463333333333333</c:v>
                </c:pt>
                <c:pt idx="806">
                  <c:v>0.462666666666667</c:v>
                </c:pt>
                <c:pt idx="807">
                  <c:v>0.462</c:v>
                </c:pt>
                <c:pt idx="808">
                  <c:v>0.461333333333333</c:v>
                </c:pt>
                <c:pt idx="809">
                  <c:v>0.460666666666667</c:v>
                </c:pt>
                <c:pt idx="810">
                  <c:v>0.46</c:v>
                </c:pt>
                <c:pt idx="811">
                  <c:v>0.459333333333333</c:v>
                </c:pt>
                <c:pt idx="812">
                  <c:v>0.458666666666667</c:v>
                </c:pt>
                <c:pt idx="813">
                  <c:v>0.458</c:v>
                </c:pt>
                <c:pt idx="814">
                  <c:v>0.457333333333333</c:v>
                </c:pt>
                <c:pt idx="815">
                  <c:v>0.456666666666667</c:v>
                </c:pt>
                <c:pt idx="816">
                  <c:v>0.456</c:v>
                </c:pt>
                <c:pt idx="817">
                  <c:v>0.455333333333333</c:v>
                </c:pt>
                <c:pt idx="818">
                  <c:v>0.454666666666667</c:v>
                </c:pt>
                <c:pt idx="819">
                  <c:v>0.454</c:v>
                </c:pt>
                <c:pt idx="820">
                  <c:v>0.453333333333333</c:v>
                </c:pt>
                <c:pt idx="821">
                  <c:v>0.452666666666667</c:v>
                </c:pt>
                <c:pt idx="822">
                  <c:v>0.452</c:v>
                </c:pt>
                <c:pt idx="823">
                  <c:v>0.451333333333333</c:v>
                </c:pt>
                <c:pt idx="824">
                  <c:v>0.450666666666667</c:v>
                </c:pt>
                <c:pt idx="825">
                  <c:v>0.45</c:v>
                </c:pt>
                <c:pt idx="826">
                  <c:v>0.449333333333333</c:v>
                </c:pt>
                <c:pt idx="827">
                  <c:v>0.448666666666667</c:v>
                </c:pt>
                <c:pt idx="828">
                  <c:v>0.448</c:v>
                </c:pt>
                <c:pt idx="829">
                  <c:v>0.447333333333333</c:v>
                </c:pt>
                <c:pt idx="830">
                  <c:v>0.446666666666667</c:v>
                </c:pt>
                <c:pt idx="831">
                  <c:v>0.446</c:v>
                </c:pt>
                <c:pt idx="832">
                  <c:v>0.445333333333333</c:v>
                </c:pt>
                <c:pt idx="833">
                  <c:v>0.444666666666667</c:v>
                </c:pt>
                <c:pt idx="834">
                  <c:v>0.444</c:v>
                </c:pt>
                <c:pt idx="835">
                  <c:v>0.443333333333333</c:v>
                </c:pt>
                <c:pt idx="836">
                  <c:v>0.442666666666667</c:v>
                </c:pt>
                <c:pt idx="837">
                  <c:v>0.442</c:v>
                </c:pt>
                <c:pt idx="838">
                  <c:v>0.441333333333333</c:v>
                </c:pt>
                <c:pt idx="839">
                  <c:v>0.440666666666667</c:v>
                </c:pt>
                <c:pt idx="840">
                  <c:v>0.44</c:v>
                </c:pt>
                <c:pt idx="841">
                  <c:v>0.439333333333333</c:v>
                </c:pt>
                <c:pt idx="842">
                  <c:v>0.438666666666667</c:v>
                </c:pt>
                <c:pt idx="843">
                  <c:v>0.438</c:v>
                </c:pt>
                <c:pt idx="844">
                  <c:v>0.437333333333333</c:v>
                </c:pt>
                <c:pt idx="845">
                  <c:v>0.436666666666667</c:v>
                </c:pt>
                <c:pt idx="846">
                  <c:v>0.436</c:v>
                </c:pt>
                <c:pt idx="847">
                  <c:v>0.435333333333333</c:v>
                </c:pt>
                <c:pt idx="848">
                  <c:v>0.434666666666667</c:v>
                </c:pt>
                <c:pt idx="849">
                  <c:v>0.434</c:v>
                </c:pt>
                <c:pt idx="850">
                  <c:v>0.433333333333333</c:v>
                </c:pt>
                <c:pt idx="851">
                  <c:v>0.432666666666667</c:v>
                </c:pt>
                <c:pt idx="852">
                  <c:v>0.432</c:v>
                </c:pt>
                <c:pt idx="853">
                  <c:v>0.431333333333333</c:v>
                </c:pt>
                <c:pt idx="854">
                  <c:v>0.430666666666667</c:v>
                </c:pt>
                <c:pt idx="855">
                  <c:v>0.43</c:v>
                </c:pt>
                <c:pt idx="856">
                  <c:v>0.429333333333333</c:v>
                </c:pt>
                <c:pt idx="857">
                  <c:v>0.428666666666667</c:v>
                </c:pt>
                <c:pt idx="858">
                  <c:v>0.428</c:v>
                </c:pt>
                <c:pt idx="859">
                  <c:v>0.427333333333333</c:v>
                </c:pt>
                <c:pt idx="860">
                  <c:v>0.426666666666667</c:v>
                </c:pt>
                <c:pt idx="861">
                  <c:v>0.426</c:v>
                </c:pt>
                <c:pt idx="862">
                  <c:v>0.425333333333333</c:v>
                </c:pt>
                <c:pt idx="863">
                  <c:v>0.424666666666667</c:v>
                </c:pt>
                <c:pt idx="864">
                  <c:v>0.424</c:v>
                </c:pt>
                <c:pt idx="865">
                  <c:v>0.423333333333333</c:v>
                </c:pt>
                <c:pt idx="866">
                  <c:v>0.422666666666667</c:v>
                </c:pt>
                <c:pt idx="867">
                  <c:v>0.422</c:v>
                </c:pt>
                <c:pt idx="868">
                  <c:v>0.421333333333333</c:v>
                </c:pt>
                <c:pt idx="869">
                  <c:v>0.420666666666667</c:v>
                </c:pt>
                <c:pt idx="870">
                  <c:v>0.42</c:v>
                </c:pt>
                <c:pt idx="871">
                  <c:v>0.419333333333333</c:v>
                </c:pt>
                <c:pt idx="872">
                  <c:v>0.418666666666667</c:v>
                </c:pt>
                <c:pt idx="873">
                  <c:v>0.418</c:v>
                </c:pt>
                <c:pt idx="874">
                  <c:v>0.417333333333333</c:v>
                </c:pt>
                <c:pt idx="875">
                  <c:v>0.416666666666667</c:v>
                </c:pt>
                <c:pt idx="876">
                  <c:v>0.416</c:v>
                </c:pt>
                <c:pt idx="877">
                  <c:v>0.415333333333333</c:v>
                </c:pt>
                <c:pt idx="878">
                  <c:v>0.414666666666667</c:v>
                </c:pt>
                <c:pt idx="879">
                  <c:v>0.414</c:v>
                </c:pt>
                <c:pt idx="880">
                  <c:v>0.413333333333333</c:v>
                </c:pt>
                <c:pt idx="881">
                  <c:v>0.412666666666667</c:v>
                </c:pt>
                <c:pt idx="882">
                  <c:v>0.412</c:v>
                </c:pt>
                <c:pt idx="883">
                  <c:v>0.411333333333333</c:v>
                </c:pt>
                <c:pt idx="884">
                  <c:v>0.410666666666667</c:v>
                </c:pt>
                <c:pt idx="885">
                  <c:v>0.41</c:v>
                </c:pt>
                <c:pt idx="886">
                  <c:v>0.409333333333333</c:v>
                </c:pt>
                <c:pt idx="887">
                  <c:v>0.408666666666667</c:v>
                </c:pt>
                <c:pt idx="888">
                  <c:v>0.408</c:v>
                </c:pt>
                <c:pt idx="889">
                  <c:v>0.407333333333333</c:v>
                </c:pt>
                <c:pt idx="890">
                  <c:v>0.406666666666667</c:v>
                </c:pt>
                <c:pt idx="891">
                  <c:v>0.406</c:v>
                </c:pt>
                <c:pt idx="892">
                  <c:v>0.405333333333333</c:v>
                </c:pt>
                <c:pt idx="893">
                  <c:v>0.404666666666667</c:v>
                </c:pt>
                <c:pt idx="894">
                  <c:v>0.404</c:v>
                </c:pt>
                <c:pt idx="895">
                  <c:v>0.403333333333333</c:v>
                </c:pt>
                <c:pt idx="896">
                  <c:v>0.402666666666667</c:v>
                </c:pt>
                <c:pt idx="897">
                  <c:v>0.402</c:v>
                </c:pt>
                <c:pt idx="898">
                  <c:v>0.401333333333333</c:v>
                </c:pt>
                <c:pt idx="899">
                  <c:v>0.400666666666667</c:v>
                </c:pt>
                <c:pt idx="900">
                  <c:v>0.4</c:v>
                </c:pt>
                <c:pt idx="901">
                  <c:v>0.399333333333333</c:v>
                </c:pt>
                <c:pt idx="902">
                  <c:v>0.398666666666667</c:v>
                </c:pt>
                <c:pt idx="903">
                  <c:v>0.398</c:v>
                </c:pt>
                <c:pt idx="904">
                  <c:v>0.397333333333333</c:v>
                </c:pt>
                <c:pt idx="905">
                  <c:v>0.396666666666667</c:v>
                </c:pt>
                <c:pt idx="906">
                  <c:v>0.396</c:v>
                </c:pt>
                <c:pt idx="907">
                  <c:v>0.395333333333333</c:v>
                </c:pt>
                <c:pt idx="908">
                  <c:v>0.394666666666667</c:v>
                </c:pt>
                <c:pt idx="909">
                  <c:v>0.394</c:v>
                </c:pt>
                <c:pt idx="910">
                  <c:v>0.393333333333333</c:v>
                </c:pt>
                <c:pt idx="911">
                  <c:v>0.392666666666667</c:v>
                </c:pt>
                <c:pt idx="912">
                  <c:v>0.392</c:v>
                </c:pt>
                <c:pt idx="913">
                  <c:v>0.391333333333333</c:v>
                </c:pt>
                <c:pt idx="914">
                  <c:v>0.390666666666667</c:v>
                </c:pt>
                <c:pt idx="915">
                  <c:v>0.39</c:v>
                </c:pt>
                <c:pt idx="916">
                  <c:v>0.389333333333333</c:v>
                </c:pt>
                <c:pt idx="917">
                  <c:v>0.388666666666667</c:v>
                </c:pt>
                <c:pt idx="918">
                  <c:v>0.388</c:v>
                </c:pt>
                <c:pt idx="919">
                  <c:v>0.387333333333333</c:v>
                </c:pt>
                <c:pt idx="920">
                  <c:v>0.386666666666667</c:v>
                </c:pt>
                <c:pt idx="921">
                  <c:v>0.386</c:v>
                </c:pt>
                <c:pt idx="922">
                  <c:v>0.385333333333333</c:v>
                </c:pt>
                <c:pt idx="923">
                  <c:v>0.384666666666667</c:v>
                </c:pt>
                <c:pt idx="924">
                  <c:v>0.384</c:v>
                </c:pt>
                <c:pt idx="925">
                  <c:v>0.383333333333333</c:v>
                </c:pt>
                <c:pt idx="926">
                  <c:v>0.382666666666667</c:v>
                </c:pt>
                <c:pt idx="927">
                  <c:v>0.382</c:v>
                </c:pt>
                <c:pt idx="928">
                  <c:v>0.381333333333333</c:v>
                </c:pt>
                <c:pt idx="929">
                  <c:v>0.380666666666667</c:v>
                </c:pt>
                <c:pt idx="930">
                  <c:v>0.38</c:v>
                </c:pt>
                <c:pt idx="931">
                  <c:v>0.379333333333333</c:v>
                </c:pt>
                <c:pt idx="932">
                  <c:v>0.378666666666667</c:v>
                </c:pt>
                <c:pt idx="933">
                  <c:v>0.378</c:v>
                </c:pt>
                <c:pt idx="934">
                  <c:v>0.377333333333333</c:v>
                </c:pt>
                <c:pt idx="935">
                  <c:v>0.376666666666667</c:v>
                </c:pt>
                <c:pt idx="936">
                  <c:v>0.376</c:v>
                </c:pt>
                <c:pt idx="937">
                  <c:v>0.375333333333333</c:v>
                </c:pt>
                <c:pt idx="938">
                  <c:v>0.374666666666667</c:v>
                </c:pt>
                <c:pt idx="939">
                  <c:v>0.374</c:v>
                </c:pt>
                <c:pt idx="940">
                  <c:v>0.373333333333333</c:v>
                </c:pt>
                <c:pt idx="941">
                  <c:v>0.372666666666667</c:v>
                </c:pt>
                <c:pt idx="942">
                  <c:v>0.372</c:v>
                </c:pt>
                <c:pt idx="943">
                  <c:v>0.371333333333333</c:v>
                </c:pt>
                <c:pt idx="944">
                  <c:v>0.370666666666667</c:v>
                </c:pt>
                <c:pt idx="945">
                  <c:v>0.37</c:v>
                </c:pt>
                <c:pt idx="946">
                  <c:v>0.369333333333333</c:v>
                </c:pt>
                <c:pt idx="947">
                  <c:v>0.368666666666667</c:v>
                </c:pt>
                <c:pt idx="948">
                  <c:v>0.368</c:v>
                </c:pt>
                <c:pt idx="949">
                  <c:v>0.367333333333333</c:v>
                </c:pt>
                <c:pt idx="950">
                  <c:v>0.366666666666667</c:v>
                </c:pt>
                <c:pt idx="951">
                  <c:v>0.366</c:v>
                </c:pt>
                <c:pt idx="952">
                  <c:v>0.365333333333333</c:v>
                </c:pt>
                <c:pt idx="953">
                  <c:v>0.364666666666667</c:v>
                </c:pt>
                <c:pt idx="954">
                  <c:v>0.364</c:v>
                </c:pt>
                <c:pt idx="955">
                  <c:v>0.363333333333333</c:v>
                </c:pt>
                <c:pt idx="956">
                  <c:v>0.362666666666667</c:v>
                </c:pt>
                <c:pt idx="957">
                  <c:v>0.362</c:v>
                </c:pt>
                <c:pt idx="958">
                  <c:v>0.361333333333333</c:v>
                </c:pt>
                <c:pt idx="959">
                  <c:v>0.360666666666667</c:v>
                </c:pt>
                <c:pt idx="960">
                  <c:v>0.36</c:v>
                </c:pt>
                <c:pt idx="961">
                  <c:v>0.359333333333333</c:v>
                </c:pt>
                <c:pt idx="962">
                  <c:v>0.358666666666667</c:v>
                </c:pt>
                <c:pt idx="963">
                  <c:v>0.358</c:v>
                </c:pt>
                <c:pt idx="964">
                  <c:v>0.357333333333333</c:v>
                </c:pt>
                <c:pt idx="965">
                  <c:v>0.356666666666667</c:v>
                </c:pt>
                <c:pt idx="966">
                  <c:v>0.356</c:v>
                </c:pt>
                <c:pt idx="967">
                  <c:v>0.355333333333333</c:v>
                </c:pt>
                <c:pt idx="968">
                  <c:v>0.354666666666667</c:v>
                </c:pt>
                <c:pt idx="969">
                  <c:v>0.354</c:v>
                </c:pt>
                <c:pt idx="970">
                  <c:v>0.353333333333333</c:v>
                </c:pt>
                <c:pt idx="971">
                  <c:v>0.352666666666667</c:v>
                </c:pt>
                <c:pt idx="972">
                  <c:v>0.352</c:v>
                </c:pt>
                <c:pt idx="973">
                  <c:v>0.351333333333333</c:v>
                </c:pt>
                <c:pt idx="974">
                  <c:v>0.350666666666667</c:v>
                </c:pt>
                <c:pt idx="975">
                  <c:v>0.35</c:v>
                </c:pt>
                <c:pt idx="976">
                  <c:v>0.349333333333333</c:v>
                </c:pt>
                <c:pt idx="977">
                  <c:v>0.348666666666667</c:v>
                </c:pt>
                <c:pt idx="978">
                  <c:v>0.348</c:v>
                </c:pt>
                <c:pt idx="979">
                  <c:v>0.347333333333333</c:v>
                </c:pt>
                <c:pt idx="980">
                  <c:v>0.346666666666667</c:v>
                </c:pt>
                <c:pt idx="981">
                  <c:v>0.346</c:v>
                </c:pt>
                <c:pt idx="982">
                  <c:v>0.345333333333333</c:v>
                </c:pt>
                <c:pt idx="983">
                  <c:v>0.344666666666667</c:v>
                </c:pt>
                <c:pt idx="984">
                  <c:v>0.344</c:v>
                </c:pt>
                <c:pt idx="985">
                  <c:v>0.343333333333333</c:v>
                </c:pt>
                <c:pt idx="986">
                  <c:v>0.342666666666667</c:v>
                </c:pt>
                <c:pt idx="987">
                  <c:v>0.342</c:v>
                </c:pt>
                <c:pt idx="988">
                  <c:v>0.341333333333333</c:v>
                </c:pt>
                <c:pt idx="989">
                  <c:v>0.340666666666667</c:v>
                </c:pt>
                <c:pt idx="990">
                  <c:v>0.34</c:v>
                </c:pt>
                <c:pt idx="991">
                  <c:v>0.339333333333333</c:v>
                </c:pt>
                <c:pt idx="992">
                  <c:v>0.338666666666667</c:v>
                </c:pt>
                <c:pt idx="993">
                  <c:v>0.338</c:v>
                </c:pt>
                <c:pt idx="994">
                  <c:v>0.337333333333333</c:v>
                </c:pt>
                <c:pt idx="995">
                  <c:v>0.336666666666667</c:v>
                </c:pt>
                <c:pt idx="996">
                  <c:v>0.336</c:v>
                </c:pt>
                <c:pt idx="997">
                  <c:v>0.335333333333333</c:v>
                </c:pt>
                <c:pt idx="998">
                  <c:v>0.334666666666667</c:v>
                </c:pt>
                <c:pt idx="999">
                  <c:v>0.334</c:v>
                </c:pt>
                <c:pt idx="1000">
                  <c:v>0.333333333333333</c:v>
                </c:pt>
                <c:pt idx="1001">
                  <c:v>0.332666666666667</c:v>
                </c:pt>
                <c:pt idx="1002">
                  <c:v>0.332</c:v>
                </c:pt>
                <c:pt idx="1003">
                  <c:v>0.331333333333333</c:v>
                </c:pt>
                <c:pt idx="1004">
                  <c:v>0.330666666666667</c:v>
                </c:pt>
                <c:pt idx="1005">
                  <c:v>0.33</c:v>
                </c:pt>
                <c:pt idx="1006">
                  <c:v>0.329333333333333</c:v>
                </c:pt>
                <c:pt idx="1007">
                  <c:v>0.328666666666667</c:v>
                </c:pt>
                <c:pt idx="1008">
                  <c:v>0.328</c:v>
                </c:pt>
                <c:pt idx="1009">
                  <c:v>0.327333333333333</c:v>
                </c:pt>
                <c:pt idx="1010">
                  <c:v>0.326666666666667</c:v>
                </c:pt>
                <c:pt idx="1011">
                  <c:v>0.326</c:v>
                </c:pt>
                <c:pt idx="1012">
                  <c:v>0.325333333333333</c:v>
                </c:pt>
                <c:pt idx="1013">
                  <c:v>0.324666666666667</c:v>
                </c:pt>
                <c:pt idx="1014">
                  <c:v>0.324</c:v>
                </c:pt>
                <c:pt idx="1015">
                  <c:v>0.323333333333333</c:v>
                </c:pt>
                <c:pt idx="1016">
                  <c:v>0.322666666666667</c:v>
                </c:pt>
                <c:pt idx="1017">
                  <c:v>0.322</c:v>
                </c:pt>
                <c:pt idx="1018">
                  <c:v>0.321333333333333</c:v>
                </c:pt>
                <c:pt idx="1019">
                  <c:v>0.320666666666667</c:v>
                </c:pt>
                <c:pt idx="1020">
                  <c:v>0.32</c:v>
                </c:pt>
                <c:pt idx="1021">
                  <c:v>0.319333333333333</c:v>
                </c:pt>
                <c:pt idx="1022">
                  <c:v>0.318666666666667</c:v>
                </c:pt>
                <c:pt idx="1023">
                  <c:v>0.318</c:v>
                </c:pt>
                <c:pt idx="1024">
                  <c:v>0.317333333333333</c:v>
                </c:pt>
                <c:pt idx="1025">
                  <c:v>0.316666666666667</c:v>
                </c:pt>
                <c:pt idx="1026">
                  <c:v>0.316</c:v>
                </c:pt>
                <c:pt idx="1027">
                  <c:v>0.315333333333333</c:v>
                </c:pt>
                <c:pt idx="1028">
                  <c:v>0.314666666666667</c:v>
                </c:pt>
                <c:pt idx="1029">
                  <c:v>0.314</c:v>
                </c:pt>
                <c:pt idx="1030">
                  <c:v>0.313333333333333</c:v>
                </c:pt>
                <c:pt idx="1031">
                  <c:v>0.312666666666667</c:v>
                </c:pt>
                <c:pt idx="1032">
                  <c:v>0.312</c:v>
                </c:pt>
                <c:pt idx="1033">
                  <c:v>0.311333333333333</c:v>
                </c:pt>
                <c:pt idx="1034">
                  <c:v>0.310666666666667</c:v>
                </c:pt>
                <c:pt idx="1035">
                  <c:v>0.31</c:v>
                </c:pt>
                <c:pt idx="1036">
                  <c:v>0.309333333333333</c:v>
                </c:pt>
                <c:pt idx="1037">
                  <c:v>0.308666666666667</c:v>
                </c:pt>
                <c:pt idx="1038">
                  <c:v>0.308</c:v>
                </c:pt>
                <c:pt idx="1039">
                  <c:v>0.307333333333333</c:v>
                </c:pt>
                <c:pt idx="1040">
                  <c:v>0.306666666666667</c:v>
                </c:pt>
                <c:pt idx="1041">
                  <c:v>0.306</c:v>
                </c:pt>
                <c:pt idx="1042">
                  <c:v>0.305333333333333</c:v>
                </c:pt>
                <c:pt idx="1043">
                  <c:v>0.304666666666667</c:v>
                </c:pt>
                <c:pt idx="1044">
                  <c:v>0.304</c:v>
                </c:pt>
                <c:pt idx="1045">
                  <c:v>0.303333333333333</c:v>
                </c:pt>
                <c:pt idx="1046">
                  <c:v>0.302666666666667</c:v>
                </c:pt>
                <c:pt idx="1047">
                  <c:v>0.302</c:v>
                </c:pt>
                <c:pt idx="1048">
                  <c:v>0.301333333333333</c:v>
                </c:pt>
                <c:pt idx="1049">
                  <c:v>0.300666666666667</c:v>
                </c:pt>
                <c:pt idx="1050">
                  <c:v>0.3</c:v>
                </c:pt>
                <c:pt idx="1051">
                  <c:v>0.299333333333333</c:v>
                </c:pt>
                <c:pt idx="1052">
                  <c:v>0.298666666666667</c:v>
                </c:pt>
                <c:pt idx="1053">
                  <c:v>0.298</c:v>
                </c:pt>
                <c:pt idx="1054">
                  <c:v>0.297333333333333</c:v>
                </c:pt>
                <c:pt idx="1055">
                  <c:v>0.296666666666667</c:v>
                </c:pt>
                <c:pt idx="1056">
                  <c:v>0.296</c:v>
                </c:pt>
                <c:pt idx="1057">
                  <c:v>0.295333333333333</c:v>
                </c:pt>
                <c:pt idx="1058">
                  <c:v>0.294666666666667</c:v>
                </c:pt>
                <c:pt idx="1059">
                  <c:v>0.294</c:v>
                </c:pt>
                <c:pt idx="1060">
                  <c:v>0.293333333333333</c:v>
                </c:pt>
                <c:pt idx="1061">
                  <c:v>0.292666666666667</c:v>
                </c:pt>
                <c:pt idx="1062">
                  <c:v>0.292</c:v>
                </c:pt>
                <c:pt idx="1063">
                  <c:v>0.291333333333333</c:v>
                </c:pt>
                <c:pt idx="1064">
                  <c:v>0.290666666666667</c:v>
                </c:pt>
                <c:pt idx="1065">
                  <c:v>0.29</c:v>
                </c:pt>
                <c:pt idx="1066">
                  <c:v>0.289333333333333</c:v>
                </c:pt>
                <c:pt idx="1067">
                  <c:v>0.288666666666667</c:v>
                </c:pt>
                <c:pt idx="1068">
                  <c:v>0.288</c:v>
                </c:pt>
                <c:pt idx="1069">
                  <c:v>0.287333333333333</c:v>
                </c:pt>
                <c:pt idx="1070">
                  <c:v>0.286666666666667</c:v>
                </c:pt>
                <c:pt idx="1071">
                  <c:v>0.286</c:v>
                </c:pt>
                <c:pt idx="1072">
                  <c:v>0.285333333333333</c:v>
                </c:pt>
                <c:pt idx="1073">
                  <c:v>0.284666666666667</c:v>
                </c:pt>
                <c:pt idx="1074">
                  <c:v>0.284</c:v>
                </c:pt>
                <c:pt idx="1075">
                  <c:v>0.283333333333333</c:v>
                </c:pt>
                <c:pt idx="1076">
                  <c:v>0.282666666666667</c:v>
                </c:pt>
                <c:pt idx="1077">
                  <c:v>0.282</c:v>
                </c:pt>
                <c:pt idx="1078">
                  <c:v>0.281333333333333</c:v>
                </c:pt>
                <c:pt idx="1079">
                  <c:v>0.280666666666667</c:v>
                </c:pt>
                <c:pt idx="1080">
                  <c:v>0.28</c:v>
                </c:pt>
                <c:pt idx="1081">
                  <c:v>0.279333333333333</c:v>
                </c:pt>
                <c:pt idx="1082">
                  <c:v>0.278666666666667</c:v>
                </c:pt>
                <c:pt idx="1083">
                  <c:v>0.278</c:v>
                </c:pt>
                <c:pt idx="1084">
                  <c:v>0.277333333333333</c:v>
                </c:pt>
                <c:pt idx="1085">
                  <c:v>0.276666666666667</c:v>
                </c:pt>
                <c:pt idx="1086">
                  <c:v>0.276</c:v>
                </c:pt>
                <c:pt idx="1087">
                  <c:v>0.275333333333333</c:v>
                </c:pt>
                <c:pt idx="1088">
                  <c:v>0.274666666666667</c:v>
                </c:pt>
                <c:pt idx="1089">
                  <c:v>0.274</c:v>
                </c:pt>
                <c:pt idx="1090">
                  <c:v>0.273333333333333</c:v>
                </c:pt>
                <c:pt idx="1091">
                  <c:v>0.272666666666667</c:v>
                </c:pt>
                <c:pt idx="1092">
                  <c:v>0.272</c:v>
                </c:pt>
                <c:pt idx="1093">
                  <c:v>0.271333333333333</c:v>
                </c:pt>
                <c:pt idx="1094">
                  <c:v>0.270666666666667</c:v>
                </c:pt>
                <c:pt idx="1095">
                  <c:v>0.27</c:v>
                </c:pt>
                <c:pt idx="1096">
                  <c:v>0.269333333333333</c:v>
                </c:pt>
                <c:pt idx="1097">
                  <c:v>0.268666666666667</c:v>
                </c:pt>
                <c:pt idx="1098">
                  <c:v>0.268</c:v>
                </c:pt>
                <c:pt idx="1099">
                  <c:v>0.267333333333333</c:v>
                </c:pt>
                <c:pt idx="1100">
                  <c:v>0.266666666666667</c:v>
                </c:pt>
                <c:pt idx="1101">
                  <c:v>0.266</c:v>
                </c:pt>
                <c:pt idx="1102">
                  <c:v>0.265333333333333</c:v>
                </c:pt>
                <c:pt idx="1103">
                  <c:v>0.264666666666667</c:v>
                </c:pt>
                <c:pt idx="1104">
                  <c:v>0.264</c:v>
                </c:pt>
                <c:pt idx="1105">
                  <c:v>0.263333333333333</c:v>
                </c:pt>
                <c:pt idx="1106">
                  <c:v>0.262666666666667</c:v>
                </c:pt>
                <c:pt idx="1107">
                  <c:v>0.262</c:v>
                </c:pt>
                <c:pt idx="1108">
                  <c:v>0.261333333333333</c:v>
                </c:pt>
                <c:pt idx="1109">
                  <c:v>0.260666666666667</c:v>
                </c:pt>
                <c:pt idx="1110">
                  <c:v>0.26</c:v>
                </c:pt>
                <c:pt idx="1111">
                  <c:v>0.259333333333333</c:v>
                </c:pt>
                <c:pt idx="1112">
                  <c:v>0.258666666666667</c:v>
                </c:pt>
                <c:pt idx="1113">
                  <c:v>0.258</c:v>
                </c:pt>
                <c:pt idx="1114">
                  <c:v>0.257333333333333</c:v>
                </c:pt>
                <c:pt idx="1115">
                  <c:v>0.256666666666667</c:v>
                </c:pt>
                <c:pt idx="1116">
                  <c:v>0.256</c:v>
                </c:pt>
                <c:pt idx="1117">
                  <c:v>0.255333333333333</c:v>
                </c:pt>
                <c:pt idx="1118">
                  <c:v>0.254666666666667</c:v>
                </c:pt>
                <c:pt idx="1119">
                  <c:v>0.254</c:v>
                </c:pt>
                <c:pt idx="1120">
                  <c:v>0.253333333333333</c:v>
                </c:pt>
                <c:pt idx="1121">
                  <c:v>0.252666666666667</c:v>
                </c:pt>
                <c:pt idx="1122">
                  <c:v>0.252</c:v>
                </c:pt>
                <c:pt idx="1123">
                  <c:v>0.251333333333333</c:v>
                </c:pt>
                <c:pt idx="1124">
                  <c:v>0.250666666666667</c:v>
                </c:pt>
                <c:pt idx="1125">
                  <c:v>0.25</c:v>
                </c:pt>
                <c:pt idx="1126">
                  <c:v>0.249333333333333</c:v>
                </c:pt>
                <c:pt idx="1127">
                  <c:v>0.248666666666667</c:v>
                </c:pt>
                <c:pt idx="1128">
                  <c:v>0.248</c:v>
                </c:pt>
                <c:pt idx="1129">
                  <c:v>0.247333333333333</c:v>
                </c:pt>
                <c:pt idx="1130">
                  <c:v>0.246666666666667</c:v>
                </c:pt>
                <c:pt idx="1131">
                  <c:v>0.246</c:v>
                </c:pt>
                <c:pt idx="1132">
                  <c:v>0.245333333333333</c:v>
                </c:pt>
                <c:pt idx="1133">
                  <c:v>0.244666666666667</c:v>
                </c:pt>
                <c:pt idx="1134">
                  <c:v>0.244</c:v>
                </c:pt>
                <c:pt idx="1135">
                  <c:v>0.243333333333333</c:v>
                </c:pt>
                <c:pt idx="1136">
                  <c:v>0.242666666666667</c:v>
                </c:pt>
                <c:pt idx="1137">
                  <c:v>0.242</c:v>
                </c:pt>
                <c:pt idx="1138">
                  <c:v>0.241333333333333</c:v>
                </c:pt>
                <c:pt idx="1139">
                  <c:v>0.240666666666667</c:v>
                </c:pt>
                <c:pt idx="1140">
                  <c:v>0.24</c:v>
                </c:pt>
                <c:pt idx="1141">
                  <c:v>0.239333333333333</c:v>
                </c:pt>
                <c:pt idx="1142">
                  <c:v>0.238666666666667</c:v>
                </c:pt>
                <c:pt idx="1143">
                  <c:v>0.238</c:v>
                </c:pt>
                <c:pt idx="1144">
                  <c:v>0.237333333333333</c:v>
                </c:pt>
                <c:pt idx="1145">
                  <c:v>0.236666666666667</c:v>
                </c:pt>
                <c:pt idx="1146">
                  <c:v>0.236</c:v>
                </c:pt>
                <c:pt idx="1147">
                  <c:v>0.235333333333333</c:v>
                </c:pt>
                <c:pt idx="1148">
                  <c:v>0.234666666666667</c:v>
                </c:pt>
                <c:pt idx="1149">
                  <c:v>0.234</c:v>
                </c:pt>
                <c:pt idx="1150">
                  <c:v>0.233333333333333</c:v>
                </c:pt>
                <c:pt idx="1151">
                  <c:v>0.232666666666667</c:v>
                </c:pt>
                <c:pt idx="1152">
                  <c:v>0.232</c:v>
                </c:pt>
                <c:pt idx="1153">
                  <c:v>0.231333333333333</c:v>
                </c:pt>
                <c:pt idx="1154">
                  <c:v>0.230666666666667</c:v>
                </c:pt>
                <c:pt idx="1155">
                  <c:v>0.23</c:v>
                </c:pt>
                <c:pt idx="1156">
                  <c:v>0.229333333333333</c:v>
                </c:pt>
                <c:pt idx="1157">
                  <c:v>0.228666666666667</c:v>
                </c:pt>
                <c:pt idx="1158">
                  <c:v>0.228</c:v>
                </c:pt>
                <c:pt idx="1159">
                  <c:v>0.227333333333333</c:v>
                </c:pt>
                <c:pt idx="1160">
                  <c:v>0.226666666666667</c:v>
                </c:pt>
                <c:pt idx="1161">
                  <c:v>0.226</c:v>
                </c:pt>
                <c:pt idx="1162">
                  <c:v>0.225333333333333</c:v>
                </c:pt>
                <c:pt idx="1163">
                  <c:v>0.224666666666667</c:v>
                </c:pt>
                <c:pt idx="1164">
                  <c:v>0.224</c:v>
                </c:pt>
                <c:pt idx="1165">
                  <c:v>0.223333333333333</c:v>
                </c:pt>
                <c:pt idx="1166">
                  <c:v>0.222666666666667</c:v>
                </c:pt>
                <c:pt idx="1167">
                  <c:v>0.222</c:v>
                </c:pt>
                <c:pt idx="1168">
                  <c:v>0.221333333333333</c:v>
                </c:pt>
                <c:pt idx="1169">
                  <c:v>0.220666666666667</c:v>
                </c:pt>
                <c:pt idx="1170">
                  <c:v>0.22</c:v>
                </c:pt>
                <c:pt idx="1171">
                  <c:v>0.219333333333333</c:v>
                </c:pt>
                <c:pt idx="1172">
                  <c:v>0.218666666666667</c:v>
                </c:pt>
                <c:pt idx="1173">
                  <c:v>0.218</c:v>
                </c:pt>
                <c:pt idx="1174">
                  <c:v>0.217333333333333</c:v>
                </c:pt>
                <c:pt idx="1175">
                  <c:v>0.216666666666667</c:v>
                </c:pt>
                <c:pt idx="1176">
                  <c:v>0.216</c:v>
                </c:pt>
                <c:pt idx="1177">
                  <c:v>0.215333333333333</c:v>
                </c:pt>
                <c:pt idx="1178">
                  <c:v>0.214666666666667</c:v>
                </c:pt>
                <c:pt idx="1179">
                  <c:v>0.214</c:v>
                </c:pt>
                <c:pt idx="1180">
                  <c:v>0.213333333333333</c:v>
                </c:pt>
                <c:pt idx="1181">
                  <c:v>0.212666666666667</c:v>
                </c:pt>
                <c:pt idx="1182">
                  <c:v>0.212</c:v>
                </c:pt>
                <c:pt idx="1183">
                  <c:v>0.211333333333333</c:v>
                </c:pt>
                <c:pt idx="1184">
                  <c:v>0.210666666666667</c:v>
                </c:pt>
                <c:pt idx="1185">
                  <c:v>0.21</c:v>
                </c:pt>
                <c:pt idx="1186">
                  <c:v>0.209333333333333</c:v>
                </c:pt>
                <c:pt idx="1187">
                  <c:v>0.208666666666667</c:v>
                </c:pt>
                <c:pt idx="1188">
                  <c:v>0.208</c:v>
                </c:pt>
                <c:pt idx="1189">
                  <c:v>0.207333333333333</c:v>
                </c:pt>
                <c:pt idx="1190">
                  <c:v>0.206666666666667</c:v>
                </c:pt>
                <c:pt idx="1191">
                  <c:v>0.206</c:v>
                </c:pt>
                <c:pt idx="1192">
                  <c:v>0.205333333333333</c:v>
                </c:pt>
                <c:pt idx="1193">
                  <c:v>0.204666666666667</c:v>
                </c:pt>
                <c:pt idx="1194">
                  <c:v>0.204</c:v>
                </c:pt>
                <c:pt idx="1195">
                  <c:v>0.203333333333333</c:v>
                </c:pt>
                <c:pt idx="1196">
                  <c:v>0.202666666666667</c:v>
                </c:pt>
                <c:pt idx="1197">
                  <c:v>0.202</c:v>
                </c:pt>
                <c:pt idx="1198">
                  <c:v>0.201333333333333</c:v>
                </c:pt>
                <c:pt idx="1199">
                  <c:v>0.200666666666667</c:v>
                </c:pt>
                <c:pt idx="1200">
                  <c:v>0.2</c:v>
                </c:pt>
                <c:pt idx="1201">
                  <c:v>0.199333333333333</c:v>
                </c:pt>
                <c:pt idx="1202">
                  <c:v>0.198666666666667</c:v>
                </c:pt>
                <c:pt idx="1203">
                  <c:v>0.198</c:v>
                </c:pt>
                <c:pt idx="1204">
                  <c:v>0.197333333333333</c:v>
                </c:pt>
                <c:pt idx="1205">
                  <c:v>0.196666666666667</c:v>
                </c:pt>
                <c:pt idx="1206">
                  <c:v>0.196</c:v>
                </c:pt>
                <c:pt idx="1207">
                  <c:v>0.195333333333333</c:v>
                </c:pt>
                <c:pt idx="1208">
                  <c:v>0.194666666666667</c:v>
                </c:pt>
                <c:pt idx="1209">
                  <c:v>0.194</c:v>
                </c:pt>
                <c:pt idx="1210">
                  <c:v>0.193333333333333</c:v>
                </c:pt>
                <c:pt idx="1211">
                  <c:v>0.192666666666667</c:v>
                </c:pt>
                <c:pt idx="1212">
                  <c:v>0.192</c:v>
                </c:pt>
                <c:pt idx="1213">
                  <c:v>0.191333333333333</c:v>
                </c:pt>
                <c:pt idx="1214">
                  <c:v>0.190666666666667</c:v>
                </c:pt>
                <c:pt idx="1215">
                  <c:v>0.19</c:v>
                </c:pt>
                <c:pt idx="1216">
                  <c:v>0.189333333333333</c:v>
                </c:pt>
                <c:pt idx="1217">
                  <c:v>0.188666666666667</c:v>
                </c:pt>
                <c:pt idx="1218">
                  <c:v>0.188</c:v>
                </c:pt>
                <c:pt idx="1219">
                  <c:v>0.187333333333333</c:v>
                </c:pt>
                <c:pt idx="1220">
                  <c:v>0.186666666666667</c:v>
                </c:pt>
                <c:pt idx="1221">
                  <c:v>0.186</c:v>
                </c:pt>
                <c:pt idx="1222">
                  <c:v>0.185333333333333</c:v>
                </c:pt>
                <c:pt idx="1223">
                  <c:v>0.184666666666667</c:v>
                </c:pt>
                <c:pt idx="1224">
                  <c:v>0.184</c:v>
                </c:pt>
                <c:pt idx="1225">
                  <c:v>0.183333333333333</c:v>
                </c:pt>
                <c:pt idx="1226">
                  <c:v>0.182666666666667</c:v>
                </c:pt>
                <c:pt idx="1227">
                  <c:v>0.182</c:v>
                </c:pt>
                <c:pt idx="1228">
                  <c:v>0.181333333333333</c:v>
                </c:pt>
                <c:pt idx="1229">
                  <c:v>0.180666666666667</c:v>
                </c:pt>
                <c:pt idx="1230">
                  <c:v>0.18</c:v>
                </c:pt>
                <c:pt idx="1231">
                  <c:v>0.179333333333333</c:v>
                </c:pt>
                <c:pt idx="1232">
                  <c:v>0.178666666666667</c:v>
                </c:pt>
                <c:pt idx="1233">
                  <c:v>0.178</c:v>
                </c:pt>
                <c:pt idx="1234">
                  <c:v>0.177333333333333</c:v>
                </c:pt>
                <c:pt idx="1235">
                  <c:v>0.176666666666667</c:v>
                </c:pt>
                <c:pt idx="1236">
                  <c:v>0.176</c:v>
                </c:pt>
                <c:pt idx="1237">
                  <c:v>0.175333333333333</c:v>
                </c:pt>
                <c:pt idx="1238">
                  <c:v>0.174666666666667</c:v>
                </c:pt>
                <c:pt idx="1239">
                  <c:v>0.174</c:v>
                </c:pt>
                <c:pt idx="1240">
                  <c:v>0.173333333333333</c:v>
                </c:pt>
                <c:pt idx="1241">
                  <c:v>0.172666666666667</c:v>
                </c:pt>
                <c:pt idx="1242">
                  <c:v>0.172</c:v>
                </c:pt>
                <c:pt idx="1243">
                  <c:v>0.171333333333333</c:v>
                </c:pt>
                <c:pt idx="1244">
                  <c:v>0.170666666666667</c:v>
                </c:pt>
                <c:pt idx="1245">
                  <c:v>0.17</c:v>
                </c:pt>
                <c:pt idx="1246">
                  <c:v>0.169333333333333</c:v>
                </c:pt>
                <c:pt idx="1247">
                  <c:v>0.168666666666667</c:v>
                </c:pt>
                <c:pt idx="1248">
                  <c:v>0.168</c:v>
                </c:pt>
                <c:pt idx="1249">
                  <c:v>0.167333333333333</c:v>
                </c:pt>
                <c:pt idx="1250">
                  <c:v>0.166666666666667</c:v>
                </c:pt>
                <c:pt idx="1251">
                  <c:v>0.166</c:v>
                </c:pt>
                <c:pt idx="1252">
                  <c:v>0.165333333333333</c:v>
                </c:pt>
                <c:pt idx="1253">
                  <c:v>0.164666666666667</c:v>
                </c:pt>
                <c:pt idx="1254">
                  <c:v>0.164</c:v>
                </c:pt>
                <c:pt idx="1255">
                  <c:v>0.163333333333333</c:v>
                </c:pt>
                <c:pt idx="1256">
                  <c:v>0.162666666666667</c:v>
                </c:pt>
                <c:pt idx="1257">
                  <c:v>0.162</c:v>
                </c:pt>
                <c:pt idx="1258">
                  <c:v>0.161333333333333</c:v>
                </c:pt>
                <c:pt idx="1259">
                  <c:v>0.160666666666667</c:v>
                </c:pt>
                <c:pt idx="1260">
                  <c:v>0.16</c:v>
                </c:pt>
                <c:pt idx="1261">
                  <c:v>0.159333333333333</c:v>
                </c:pt>
                <c:pt idx="1262">
                  <c:v>0.158666666666667</c:v>
                </c:pt>
                <c:pt idx="1263">
                  <c:v>0.158</c:v>
                </c:pt>
                <c:pt idx="1264">
                  <c:v>0.157333333333333</c:v>
                </c:pt>
                <c:pt idx="1265">
                  <c:v>0.156666666666667</c:v>
                </c:pt>
                <c:pt idx="1266">
                  <c:v>0.156</c:v>
                </c:pt>
                <c:pt idx="1267">
                  <c:v>0.155333333333333</c:v>
                </c:pt>
                <c:pt idx="1268">
                  <c:v>0.154666666666667</c:v>
                </c:pt>
                <c:pt idx="1269">
                  <c:v>0.154</c:v>
                </c:pt>
                <c:pt idx="1270">
                  <c:v>0.153333333333333</c:v>
                </c:pt>
                <c:pt idx="1271">
                  <c:v>0.152666666666667</c:v>
                </c:pt>
                <c:pt idx="1272">
                  <c:v>0.152</c:v>
                </c:pt>
                <c:pt idx="1273">
                  <c:v>0.151333333333333</c:v>
                </c:pt>
                <c:pt idx="1274">
                  <c:v>0.150666666666667</c:v>
                </c:pt>
                <c:pt idx="1275">
                  <c:v>0.15</c:v>
                </c:pt>
                <c:pt idx="1276">
                  <c:v>0.149333333333333</c:v>
                </c:pt>
                <c:pt idx="1277">
                  <c:v>0.148666666666667</c:v>
                </c:pt>
                <c:pt idx="1278">
                  <c:v>0.148</c:v>
                </c:pt>
                <c:pt idx="1279">
                  <c:v>0.147333333333333</c:v>
                </c:pt>
                <c:pt idx="1280">
                  <c:v>0.146666666666667</c:v>
                </c:pt>
                <c:pt idx="1281">
                  <c:v>0.146</c:v>
                </c:pt>
                <c:pt idx="1282">
                  <c:v>0.145333333333333</c:v>
                </c:pt>
                <c:pt idx="1283">
                  <c:v>0.144666666666667</c:v>
                </c:pt>
                <c:pt idx="1284">
                  <c:v>0.144</c:v>
                </c:pt>
                <c:pt idx="1285">
                  <c:v>0.143333333333333</c:v>
                </c:pt>
                <c:pt idx="1286">
                  <c:v>0.142666666666667</c:v>
                </c:pt>
                <c:pt idx="1287">
                  <c:v>0.142</c:v>
                </c:pt>
                <c:pt idx="1288">
                  <c:v>0.141333333333333</c:v>
                </c:pt>
                <c:pt idx="1289">
                  <c:v>0.140666666666667</c:v>
                </c:pt>
                <c:pt idx="1290">
                  <c:v>0.14</c:v>
                </c:pt>
                <c:pt idx="1291">
                  <c:v>0.139333333333333</c:v>
                </c:pt>
                <c:pt idx="1292">
                  <c:v>0.138666666666667</c:v>
                </c:pt>
                <c:pt idx="1293">
                  <c:v>0.138</c:v>
                </c:pt>
                <c:pt idx="1294">
                  <c:v>0.137333333333333</c:v>
                </c:pt>
                <c:pt idx="1295">
                  <c:v>0.136666666666667</c:v>
                </c:pt>
                <c:pt idx="1296">
                  <c:v>0.136</c:v>
                </c:pt>
                <c:pt idx="1297">
                  <c:v>0.135333333333333</c:v>
                </c:pt>
                <c:pt idx="1298">
                  <c:v>0.134666666666667</c:v>
                </c:pt>
                <c:pt idx="1299">
                  <c:v>0.134</c:v>
                </c:pt>
                <c:pt idx="1300">
                  <c:v>0.133333333333333</c:v>
                </c:pt>
                <c:pt idx="1301">
                  <c:v>0.132666666666667</c:v>
                </c:pt>
                <c:pt idx="1302">
                  <c:v>0.132</c:v>
                </c:pt>
                <c:pt idx="1303">
                  <c:v>0.131333333333333</c:v>
                </c:pt>
                <c:pt idx="1304">
                  <c:v>0.130666666666667</c:v>
                </c:pt>
                <c:pt idx="1305">
                  <c:v>0.13</c:v>
                </c:pt>
                <c:pt idx="1306">
                  <c:v>0.129333333333333</c:v>
                </c:pt>
                <c:pt idx="1307">
                  <c:v>0.128666666666667</c:v>
                </c:pt>
                <c:pt idx="1308">
                  <c:v>0.128</c:v>
                </c:pt>
                <c:pt idx="1309">
                  <c:v>0.127333333333333</c:v>
                </c:pt>
                <c:pt idx="1310">
                  <c:v>0.126666666666667</c:v>
                </c:pt>
                <c:pt idx="1311">
                  <c:v>0.126</c:v>
                </c:pt>
                <c:pt idx="1312">
                  <c:v>0.125333333333333</c:v>
                </c:pt>
                <c:pt idx="1313">
                  <c:v>0.124666666666667</c:v>
                </c:pt>
                <c:pt idx="1314">
                  <c:v>0.124</c:v>
                </c:pt>
                <c:pt idx="1315">
                  <c:v>0.123333333333333</c:v>
                </c:pt>
                <c:pt idx="1316">
                  <c:v>0.122666666666667</c:v>
                </c:pt>
                <c:pt idx="1317">
                  <c:v>0.122</c:v>
                </c:pt>
                <c:pt idx="1318">
                  <c:v>0.121333333333333</c:v>
                </c:pt>
                <c:pt idx="1319">
                  <c:v>0.120666666666667</c:v>
                </c:pt>
                <c:pt idx="1320">
                  <c:v>0.12</c:v>
                </c:pt>
                <c:pt idx="1321">
                  <c:v>0.119333333333333</c:v>
                </c:pt>
                <c:pt idx="1322">
                  <c:v>0.118666666666667</c:v>
                </c:pt>
                <c:pt idx="1323">
                  <c:v>0.118</c:v>
                </c:pt>
                <c:pt idx="1324">
                  <c:v>0.117333333333333</c:v>
                </c:pt>
                <c:pt idx="1325">
                  <c:v>0.116666666666667</c:v>
                </c:pt>
                <c:pt idx="1326">
                  <c:v>0.116</c:v>
                </c:pt>
                <c:pt idx="1327">
                  <c:v>0.115333333333333</c:v>
                </c:pt>
                <c:pt idx="1328">
                  <c:v>0.114666666666667</c:v>
                </c:pt>
                <c:pt idx="1329">
                  <c:v>0.114</c:v>
                </c:pt>
                <c:pt idx="1330">
                  <c:v>0.113333333333333</c:v>
                </c:pt>
                <c:pt idx="1331">
                  <c:v>0.112666666666667</c:v>
                </c:pt>
                <c:pt idx="1332">
                  <c:v>0.112</c:v>
                </c:pt>
                <c:pt idx="1333">
                  <c:v>0.111333333333333</c:v>
                </c:pt>
                <c:pt idx="1334">
                  <c:v>0.110666666666667</c:v>
                </c:pt>
                <c:pt idx="1335">
                  <c:v>0.11</c:v>
                </c:pt>
                <c:pt idx="1336">
                  <c:v>0.109333333333333</c:v>
                </c:pt>
                <c:pt idx="1337">
                  <c:v>0.108666666666667</c:v>
                </c:pt>
                <c:pt idx="1338">
                  <c:v>0.108</c:v>
                </c:pt>
                <c:pt idx="1339">
                  <c:v>0.107333333333333</c:v>
                </c:pt>
                <c:pt idx="1340">
                  <c:v>0.106666666666667</c:v>
                </c:pt>
                <c:pt idx="1341">
                  <c:v>0.106</c:v>
                </c:pt>
                <c:pt idx="1342">
                  <c:v>0.105333333333333</c:v>
                </c:pt>
                <c:pt idx="1343">
                  <c:v>0.104666666666667</c:v>
                </c:pt>
                <c:pt idx="1344">
                  <c:v>0.104</c:v>
                </c:pt>
                <c:pt idx="1345">
                  <c:v>0.103333333333333</c:v>
                </c:pt>
                <c:pt idx="1346">
                  <c:v>0.102666666666667</c:v>
                </c:pt>
                <c:pt idx="1347">
                  <c:v>0.102</c:v>
                </c:pt>
                <c:pt idx="1348">
                  <c:v>0.101333333333333</c:v>
                </c:pt>
                <c:pt idx="1349">
                  <c:v>0.100666666666667</c:v>
                </c:pt>
                <c:pt idx="1350">
                  <c:v>0.1</c:v>
                </c:pt>
                <c:pt idx="1351">
                  <c:v>0.0993333333333333</c:v>
                </c:pt>
                <c:pt idx="1352">
                  <c:v>0.0986666666666667</c:v>
                </c:pt>
                <c:pt idx="1353">
                  <c:v>0.098</c:v>
                </c:pt>
                <c:pt idx="1354">
                  <c:v>0.0973333333333333</c:v>
                </c:pt>
                <c:pt idx="1355">
                  <c:v>0.0966666666666667</c:v>
                </c:pt>
                <c:pt idx="1356">
                  <c:v>0.096</c:v>
                </c:pt>
                <c:pt idx="1357">
                  <c:v>0.0953333333333333</c:v>
                </c:pt>
                <c:pt idx="1358">
                  <c:v>0.0946666666666667</c:v>
                </c:pt>
                <c:pt idx="1359">
                  <c:v>0.094</c:v>
                </c:pt>
                <c:pt idx="1360">
                  <c:v>0.0933333333333333</c:v>
                </c:pt>
                <c:pt idx="1361">
                  <c:v>0.0926666666666667</c:v>
                </c:pt>
                <c:pt idx="1362">
                  <c:v>0.092</c:v>
                </c:pt>
                <c:pt idx="1363">
                  <c:v>0.0913333333333333</c:v>
                </c:pt>
                <c:pt idx="1364">
                  <c:v>0.0906666666666667</c:v>
                </c:pt>
                <c:pt idx="1365">
                  <c:v>0.09</c:v>
                </c:pt>
                <c:pt idx="1366">
                  <c:v>0.0893333333333333</c:v>
                </c:pt>
                <c:pt idx="1367">
                  <c:v>0.0886666666666667</c:v>
                </c:pt>
                <c:pt idx="1368">
                  <c:v>0.088</c:v>
                </c:pt>
                <c:pt idx="1369">
                  <c:v>0.0873333333333333</c:v>
                </c:pt>
                <c:pt idx="1370">
                  <c:v>0.0866666666666667</c:v>
                </c:pt>
                <c:pt idx="1371">
                  <c:v>0.086</c:v>
                </c:pt>
                <c:pt idx="1372">
                  <c:v>0.0853333333333333</c:v>
                </c:pt>
                <c:pt idx="1373">
                  <c:v>0.0846666666666667</c:v>
                </c:pt>
                <c:pt idx="1374">
                  <c:v>0.084</c:v>
                </c:pt>
                <c:pt idx="1375">
                  <c:v>0.0833333333333333</c:v>
                </c:pt>
                <c:pt idx="1376">
                  <c:v>0.0826666666666667</c:v>
                </c:pt>
                <c:pt idx="1377">
                  <c:v>0.082</c:v>
                </c:pt>
                <c:pt idx="1378">
                  <c:v>0.0813333333333333</c:v>
                </c:pt>
                <c:pt idx="1379">
                  <c:v>0.0806666666666667</c:v>
                </c:pt>
                <c:pt idx="1380">
                  <c:v>0.08</c:v>
                </c:pt>
                <c:pt idx="1381">
                  <c:v>0.0793333333333333</c:v>
                </c:pt>
                <c:pt idx="1382">
                  <c:v>0.0786666666666667</c:v>
                </c:pt>
                <c:pt idx="1383">
                  <c:v>0.078</c:v>
                </c:pt>
                <c:pt idx="1384">
                  <c:v>0.0773333333333333</c:v>
                </c:pt>
                <c:pt idx="1385">
                  <c:v>0.0766666666666667</c:v>
                </c:pt>
                <c:pt idx="1386">
                  <c:v>0.076</c:v>
                </c:pt>
                <c:pt idx="1387">
                  <c:v>0.0753333333333333</c:v>
                </c:pt>
                <c:pt idx="1388">
                  <c:v>0.0746666666666667</c:v>
                </c:pt>
                <c:pt idx="1389">
                  <c:v>0.074</c:v>
                </c:pt>
                <c:pt idx="1390">
                  <c:v>0.0733333333333333</c:v>
                </c:pt>
                <c:pt idx="1391">
                  <c:v>0.0726666666666667</c:v>
                </c:pt>
                <c:pt idx="1392">
                  <c:v>0.072</c:v>
                </c:pt>
                <c:pt idx="1393">
                  <c:v>0.0713333333333333</c:v>
                </c:pt>
                <c:pt idx="1394">
                  <c:v>0.0706666666666667</c:v>
                </c:pt>
                <c:pt idx="1395">
                  <c:v>0.07</c:v>
                </c:pt>
                <c:pt idx="1396">
                  <c:v>0.0693333333333333</c:v>
                </c:pt>
                <c:pt idx="1397">
                  <c:v>0.0686666666666667</c:v>
                </c:pt>
                <c:pt idx="1398">
                  <c:v>0.068</c:v>
                </c:pt>
                <c:pt idx="1399">
                  <c:v>0.0673333333333333</c:v>
                </c:pt>
                <c:pt idx="1400">
                  <c:v>0.0666666666666667</c:v>
                </c:pt>
                <c:pt idx="1401">
                  <c:v>0.066</c:v>
                </c:pt>
                <c:pt idx="1402">
                  <c:v>0.0653333333333333</c:v>
                </c:pt>
                <c:pt idx="1403">
                  <c:v>0.0646666666666667</c:v>
                </c:pt>
                <c:pt idx="1404">
                  <c:v>0.064</c:v>
                </c:pt>
                <c:pt idx="1405">
                  <c:v>0.0633333333333333</c:v>
                </c:pt>
                <c:pt idx="1406">
                  <c:v>0.0626666666666667</c:v>
                </c:pt>
                <c:pt idx="1407">
                  <c:v>0.062</c:v>
                </c:pt>
                <c:pt idx="1408">
                  <c:v>0.0613333333333333</c:v>
                </c:pt>
                <c:pt idx="1409">
                  <c:v>0.0606666666666667</c:v>
                </c:pt>
                <c:pt idx="1410">
                  <c:v>0.06</c:v>
                </c:pt>
                <c:pt idx="1411">
                  <c:v>0.0593333333333333</c:v>
                </c:pt>
                <c:pt idx="1412">
                  <c:v>0.0586666666666667</c:v>
                </c:pt>
                <c:pt idx="1413">
                  <c:v>0.058</c:v>
                </c:pt>
                <c:pt idx="1414">
                  <c:v>0.0573333333333333</c:v>
                </c:pt>
                <c:pt idx="1415">
                  <c:v>0.0566666666666667</c:v>
                </c:pt>
                <c:pt idx="1416">
                  <c:v>0.056</c:v>
                </c:pt>
                <c:pt idx="1417">
                  <c:v>0.0553333333333333</c:v>
                </c:pt>
                <c:pt idx="1418">
                  <c:v>0.0546666666666667</c:v>
                </c:pt>
                <c:pt idx="1419">
                  <c:v>0.054</c:v>
                </c:pt>
                <c:pt idx="1420">
                  <c:v>0.0533333333333333</c:v>
                </c:pt>
                <c:pt idx="1421">
                  <c:v>0.0526666666666667</c:v>
                </c:pt>
                <c:pt idx="1422">
                  <c:v>0.052</c:v>
                </c:pt>
                <c:pt idx="1423">
                  <c:v>0.0513333333333333</c:v>
                </c:pt>
                <c:pt idx="1424">
                  <c:v>0.0506666666666667</c:v>
                </c:pt>
                <c:pt idx="1425">
                  <c:v>0.05</c:v>
                </c:pt>
                <c:pt idx="1426">
                  <c:v>0.0493333333333333</c:v>
                </c:pt>
                <c:pt idx="1427">
                  <c:v>0.0486666666666667</c:v>
                </c:pt>
                <c:pt idx="1428">
                  <c:v>0.048</c:v>
                </c:pt>
                <c:pt idx="1429">
                  <c:v>0.0473333333333333</c:v>
                </c:pt>
                <c:pt idx="1430">
                  <c:v>0.0466666666666667</c:v>
                </c:pt>
                <c:pt idx="1431">
                  <c:v>0.046</c:v>
                </c:pt>
                <c:pt idx="1432">
                  <c:v>0.0453333333333333</c:v>
                </c:pt>
                <c:pt idx="1433">
                  <c:v>0.0446666666666667</c:v>
                </c:pt>
                <c:pt idx="1434">
                  <c:v>0.044</c:v>
                </c:pt>
                <c:pt idx="1435">
                  <c:v>0.0433333333333333</c:v>
                </c:pt>
                <c:pt idx="1436">
                  <c:v>0.0426666666666667</c:v>
                </c:pt>
                <c:pt idx="1437">
                  <c:v>0.042</c:v>
                </c:pt>
                <c:pt idx="1438">
                  <c:v>0.0413333333333333</c:v>
                </c:pt>
                <c:pt idx="1439">
                  <c:v>0.0406666666666667</c:v>
                </c:pt>
                <c:pt idx="1440">
                  <c:v>0.04</c:v>
                </c:pt>
                <c:pt idx="1441">
                  <c:v>0.0393333333333333</c:v>
                </c:pt>
                <c:pt idx="1442">
                  <c:v>0.0386666666666667</c:v>
                </c:pt>
                <c:pt idx="1443">
                  <c:v>0.038</c:v>
                </c:pt>
                <c:pt idx="1444">
                  <c:v>0.0373333333333333</c:v>
                </c:pt>
                <c:pt idx="1445">
                  <c:v>0.0366666666666667</c:v>
                </c:pt>
                <c:pt idx="1446">
                  <c:v>0.036</c:v>
                </c:pt>
                <c:pt idx="1447">
                  <c:v>0.0353333333333333</c:v>
                </c:pt>
                <c:pt idx="1448">
                  <c:v>0.0346666666666667</c:v>
                </c:pt>
                <c:pt idx="1449">
                  <c:v>0.034</c:v>
                </c:pt>
                <c:pt idx="1450">
                  <c:v>0.0333333333333333</c:v>
                </c:pt>
                <c:pt idx="1451">
                  <c:v>0.0326666666666667</c:v>
                </c:pt>
                <c:pt idx="1452">
                  <c:v>0.032</c:v>
                </c:pt>
                <c:pt idx="1453">
                  <c:v>0.0313333333333333</c:v>
                </c:pt>
                <c:pt idx="1454">
                  <c:v>0.0306666666666667</c:v>
                </c:pt>
                <c:pt idx="1455">
                  <c:v>0.03</c:v>
                </c:pt>
                <c:pt idx="1456">
                  <c:v>0.0293333333333333</c:v>
                </c:pt>
                <c:pt idx="1457">
                  <c:v>0.0286666666666667</c:v>
                </c:pt>
                <c:pt idx="1458">
                  <c:v>0.028</c:v>
                </c:pt>
                <c:pt idx="1459">
                  <c:v>0.0273333333333333</c:v>
                </c:pt>
                <c:pt idx="1460">
                  <c:v>0.0266666666666667</c:v>
                </c:pt>
                <c:pt idx="1461">
                  <c:v>0.026</c:v>
                </c:pt>
                <c:pt idx="1462">
                  <c:v>0.0253333333333333</c:v>
                </c:pt>
                <c:pt idx="1463">
                  <c:v>0.0246666666666667</c:v>
                </c:pt>
                <c:pt idx="1464">
                  <c:v>0.024</c:v>
                </c:pt>
                <c:pt idx="1465">
                  <c:v>0.0233333333333333</c:v>
                </c:pt>
                <c:pt idx="1466">
                  <c:v>0.0226666666666667</c:v>
                </c:pt>
                <c:pt idx="1467">
                  <c:v>0.022</c:v>
                </c:pt>
                <c:pt idx="1468">
                  <c:v>0.0213333333333333</c:v>
                </c:pt>
                <c:pt idx="1469">
                  <c:v>0.0206666666666667</c:v>
                </c:pt>
                <c:pt idx="1470">
                  <c:v>0.02</c:v>
                </c:pt>
                <c:pt idx="1471">
                  <c:v>0.0193333333333333</c:v>
                </c:pt>
                <c:pt idx="1472">
                  <c:v>0.0186666666666667</c:v>
                </c:pt>
                <c:pt idx="1473">
                  <c:v>0.018</c:v>
                </c:pt>
                <c:pt idx="1474">
                  <c:v>0.0173333333333333</c:v>
                </c:pt>
                <c:pt idx="1475">
                  <c:v>0.0166666666666667</c:v>
                </c:pt>
                <c:pt idx="1476">
                  <c:v>0.016</c:v>
                </c:pt>
                <c:pt idx="1477">
                  <c:v>0.0153333333333333</c:v>
                </c:pt>
                <c:pt idx="1478">
                  <c:v>0.0146666666666667</c:v>
                </c:pt>
                <c:pt idx="1479">
                  <c:v>0.014</c:v>
                </c:pt>
                <c:pt idx="1480">
                  <c:v>0.0133333333333333</c:v>
                </c:pt>
                <c:pt idx="1481">
                  <c:v>0.0126666666666667</c:v>
                </c:pt>
                <c:pt idx="1482">
                  <c:v>0.012</c:v>
                </c:pt>
                <c:pt idx="1483">
                  <c:v>0.0113333333333333</c:v>
                </c:pt>
                <c:pt idx="1484">
                  <c:v>0.0106666666666667</c:v>
                </c:pt>
                <c:pt idx="1485">
                  <c:v>0.01</c:v>
                </c:pt>
                <c:pt idx="1486">
                  <c:v>0.00933333333333333</c:v>
                </c:pt>
                <c:pt idx="1487">
                  <c:v>0.00866666666666667</c:v>
                </c:pt>
                <c:pt idx="1488">
                  <c:v>0.008</c:v>
                </c:pt>
                <c:pt idx="1489">
                  <c:v>0.00733333333333333</c:v>
                </c:pt>
                <c:pt idx="1490">
                  <c:v>0.00666666666666667</c:v>
                </c:pt>
                <c:pt idx="1491">
                  <c:v>0.006</c:v>
                </c:pt>
                <c:pt idx="1492">
                  <c:v>0.00533333333333333</c:v>
                </c:pt>
                <c:pt idx="1493">
                  <c:v>0.00466666666666667</c:v>
                </c:pt>
                <c:pt idx="1494">
                  <c:v>0.004</c:v>
                </c:pt>
                <c:pt idx="1495">
                  <c:v>0.00333333333333333</c:v>
                </c:pt>
                <c:pt idx="1496">
                  <c:v>0.00266666666666667</c:v>
                </c:pt>
                <c:pt idx="1497">
                  <c:v>0.002</c:v>
                </c:pt>
                <c:pt idx="1498">
                  <c:v>0.00133333333333333</c:v>
                </c:pt>
                <c:pt idx="1499">
                  <c:v>0.000666666666666667</c:v>
                </c:pt>
              </c:numCache>
            </c:numRef>
          </c:yVal>
          <c:smooth val="1"/>
        </c:ser>
        <c:axId val="62651011"/>
        <c:axId val="84302978"/>
      </c:scatterChart>
      <c:valAx>
        <c:axId val="626510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02978"/>
        <c:crosses val="autoZero"/>
        <c:crossBetween val="midCat"/>
      </c:valAx>
      <c:valAx>
        <c:axId val="8430297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P(G &gt;= 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5101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16</xdr:col>
      <xdr:colOff>473040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441756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15</xdr:col>
      <xdr:colOff>473040</xdr:colOff>
      <xdr:row>21</xdr:row>
      <xdr:rowOff>141120</xdr:rowOff>
    </xdr:to>
    <xdr:graphicFrame>
      <xdr:nvGraphicFramePr>
        <xdr:cNvPr id="1" name="Chart 1"/>
        <xdr:cNvGraphicFramePr/>
      </xdr:nvGraphicFramePr>
      <xdr:xfrm>
        <a:off x="314892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2" t="s">
        <v>29</v>
      </c>
    </row>
    <row r="38" customFormat="false" ht="15" hidden="false" customHeight="false" outlineLevel="0" collapsed="false">
      <c r="A38" s="2" t="s">
        <v>30</v>
      </c>
    </row>
    <row r="39" customFormat="false" ht="15" hidden="false" customHeight="false" outlineLevel="0" collapsed="false">
      <c r="A39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4" t="s">
        <v>32</v>
      </c>
      <c r="B1" s="4"/>
      <c r="C1" s="4"/>
      <c r="D1" s="4"/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  <c r="D3" s="5" t="s">
        <v>36</v>
      </c>
    </row>
    <row r="4" customFormat="false" ht="15" hidden="false" customHeight="false" outlineLevel="0" collapsed="false">
      <c r="A4" s="6" t="s">
        <v>37</v>
      </c>
      <c r="B4" s="7" t="n">
        <v>3.3</v>
      </c>
      <c r="C4" s="8" t="s">
        <v>38</v>
      </c>
      <c r="D4" s="9" t="s">
        <v>39</v>
      </c>
    </row>
    <row r="5" customFormat="false" ht="15" hidden="false" customHeight="false" outlineLevel="0" collapsed="false">
      <c r="A5" s="6" t="s">
        <v>40</v>
      </c>
      <c r="B5" s="7" t="n">
        <v>0.7534</v>
      </c>
      <c r="C5" s="8" t="s">
        <v>38</v>
      </c>
      <c r="D5" s="9" t="s">
        <v>41</v>
      </c>
    </row>
    <row r="6" customFormat="false" ht="15" hidden="false" customHeight="false" outlineLevel="0" collapsed="false">
      <c r="A6" s="6" t="s">
        <v>42</v>
      </c>
      <c r="B6" s="7" t="n">
        <v>12000</v>
      </c>
      <c r="C6" s="8" t="s">
        <v>43</v>
      </c>
      <c r="D6" s="9" t="s">
        <v>44</v>
      </c>
    </row>
    <row r="7" customFormat="false" ht="15" hidden="false" customHeight="false" outlineLevel="0" collapsed="false">
      <c r="A7" s="6" t="s">
        <v>45</v>
      </c>
      <c r="B7" s="7" t="n">
        <v>1023</v>
      </c>
      <c r="C7" s="8" t="s">
        <v>46</v>
      </c>
      <c r="D7" s="9" t="s">
        <v>47</v>
      </c>
    </row>
    <row r="8" customFormat="false" ht="15" hidden="false" customHeight="false" outlineLevel="0" collapsed="false">
      <c r="A8" s="6" t="s">
        <v>48</v>
      </c>
      <c r="B8" s="10" t="n">
        <f aca="false">(B4*1000000)/(B7*B5*B6)</f>
        <v>0.356805421158847</v>
      </c>
      <c r="C8" s="8" t="s">
        <v>49</v>
      </c>
      <c r="D8" s="9" t="s">
        <v>50</v>
      </c>
    </row>
    <row r="9" customFormat="false" ht="15" hidden="false" customHeight="false" outlineLevel="0" collapsed="false">
      <c r="A9" s="6" t="s">
        <v>51</v>
      </c>
      <c r="B9" s="7" t="n">
        <v>0.05</v>
      </c>
      <c r="C9" s="8" t="s">
        <v>52</v>
      </c>
      <c r="D9" s="9" t="s">
        <v>53</v>
      </c>
    </row>
    <row r="10" customFormat="false" ht="15" hidden="false" customHeight="false" outlineLevel="0" collapsed="false">
      <c r="A10" s="6" t="s">
        <v>54</v>
      </c>
      <c r="B10" s="7" t="n">
        <v>15</v>
      </c>
      <c r="C10" s="8" t="s">
        <v>52</v>
      </c>
      <c r="D10" s="9" t="s">
        <v>55</v>
      </c>
    </row>
    <row r="11" customFormat="false" ht="15" hidden="false" customHeight="false" outlineLevel="0" collapsed="false">
      <c r="A11" s="6" t="s">
        <v>56</v>
      </c>
      <c r="B11" s="10" t="n">
        <f aca="false">COUNT(Datos!$A$2:$A$1501)</f>
        <v>1500</v>
      </c>
      <c r="C11" s="8" t="s">
        <v>46</v>
      </c>
      <c r="D11" s="9" t="s">
        <v>57</v>
      </c>
    </row>
    <row r="12" customFormat="false" ht="15" hidden="false" customHeight="false" outlineLevel="0" collapsed="false">
      <c r="A12" s="6" t="s">
        <v>58</v>
      </c>
      <c r="B12" s="7" t="n">
        <v>1200</v>
      </c>
      <c r="C12" s="8" t="s">
        <v>46</v>
      </c>
      <c r="D12" s="9" t="s">
        <v>59</v>
      </c>
    </row>
    <row r="14" customFormat="false" ht="15" hidden="false" customHeight="false" outlineLevel="0" collapsed="false">
      <c r="A14" s="11" t="s">
        <v>60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61</v>
      </c>
      <c r="B1" s="5" t="s">
        <v>62</v>
      </c>
      <c r="C1" s="5" t="s">
        <v>63</v>
      </c>
      <c r="D1" s="5" t="s">
        <v>64</v>
      </c>
      <c r="F1" s="3" t="s">
        <v>65</v>
      </c>
    </row>
    <row r="2" customFormat="false" ht="15" hidden="false" customHeight="true" outlineLevel="0" collapsed="false">
      <c r="A2" s="12" t="n">
        <v>2025.881</v>
      </c>
      <c r="B2" s="13" t="n">
        <f aca="false">A2-$A$2</f>
        <v>0</v>
      </c>
      <c r="C2" s="14" t="n">
        <v>443.59</v>
      </c>
      <c r="D2" s="13" t="n">
        <f aca="false">C2*Config!$B$8</f>
        <v>158.275316771853</v>
      </c>
      <c r="F2" s="15" t="s">
        <v>66</v>
      </c>
      <c r="G2" s="15"/>
      <c r="H2" s="15"/>
      <c r="I2" s="15"/>
      <c r="J2" s="15"/>
      <c r="K2" s="15"/>
    </row>
    <row r="3" customFormat="false" ht="15" hidden="false" customHeight="false" outlineLevel="0" collapsed="false">
      <c r="A3" s="12" t="n">
        <v>2025.931</v>
      </c>
      <c r="B3" s="13" t="n">
        <f aca="false">A3-$A$2</f>
        <v>0.0499999999999545</v>
      </c>
      <c r="C3" s="14" t="n">
        <v>437.63</v>
      </c>
      <c r="D3" s="13" t="n">
        <f aca="false">C3*Config!$B$8</f>
        <v>156.148756461746</v>
      </c>
      <c r="F3" s="15"/>
      <c r="G3" s="15"/>
      <c r="H3" s="15"/>
      <c r="I3" s="15"/>
      <c r="J3" s="15"/>
      <c r="K3" s="15"/>
    </row>
    <row r="4" customFormat="false" ht="15" hidden="false" customHeight="false" outlineLevel="0" collapsed="false">
      <c r="A4" s="12" t="n">
        <v>2025.981</v>
      </c>
      <c r="B4" s="13" t="n">
        <f aca="false">A4-$A$2</f>
        <v>0.0999999999999091</v>
      </c>
      <c r="C4" s="14" t="n">
        <v>438.3</v>
      </c>
      <c r="D4" s="13" t="n">
        <f aca="false">C4*Config!$B$8</f>
        <v>156.387816093923</v>
      </c>
      <c r="F4" s="15"/>
      <c r="G4" s="15"/>
      <c r="H4" s="15"/>
      <c r="I4" s="15"/>
      <c r="J4" s="15"/>
      <c r="K4" s="15"/>
    </row>
    <row r="5" customFormat="false" ht="15" hidden="false" customHeight="false" outlineLevel="0" collapsed="false">
      <c r="A5" s="12" t="n">
        <v>2026.031</v>
      </c>
      <c r="B5" s="13" t="n">
        <f aca="false">A5-$A$2</f>
        <v>0.149999999999864</v>
      </c>
      <c r="C5" s="14" t="n">
        <v>432.64</v>
      </c>
      <c r="D5" s="13" t="n">
        <f aca="false">C5*Config!$B$8</f>
        <v>154.368297410164</v>
      </c>
      <c r="F5" s="15"/>
      <c r="G5" s="15"/>
      <c r="H5" s="15"/>
      <c r="I5" s="15"/>
      <c r="J5" s="15"/>
      <c r="K5" s="15"/>
    </row>
    <row r="6" customFormat="false" ht="15" hidden="false" customHeight="false" outlineLevel="0" collapsed="false">
      <c r="A6" s="12" t="n">
        <v>2026.081</v>
      </c>
      <c r="B6" s="13" t="n">
        <f aca="false">A6-$A$2</f>
        <v>0.199999999999818</v>
      </c>
      <c r="C6" s="14" t="n">
        <v>442.92</v>
      </c>
      <c r="D6" s="13" t="n">
        <f aca="false">C6*Config!$B$8</f>
        <v>158.036257139677</v>
      </c>
      <c r="F6" s="15"/>
      <c r="G6" s="15"/>
      <c r="H6" s="15"/>
      <c r="I6" s="15"/>
      <c r="J6" s="15"/>
      <c r="K6" s="15"/>
    </row>
    <row r="7" customFormat="false" ht="15" hidden="false" customHeight="false" outlineLevel="0" collapsed="false">
      <c r="A7" s="12" t="n">
        <v>2026.131</v>
      </c>
      <c r="B7" s="13" t="n">
        <f aca="false">A7-$A$2</f>
        <v>0.25</v>
      </c>
      <c r="C7" s="14" t="n">
        <v>437.54</v>
      </c>
      <c r="D7" s="13" t="n">
        <f aca="false">C7*Config!$B$8</f>
        <v>156.116643973842</v>
      </c>
    </row>
    <row r="8" customFormat="false" ht="15" hidden="false" customHeight="false" outlineLevel="0" collapsed="false">
      <c r="A8" s="12" t="n">
        <v>2026.181</v>
      </c>
      <c r="B8" s="13" t="n">
        <f aca="false">A8-$A$2</f>
        <v>0.299999999999955</v>
      </c>
      <c r="C8" s="14" t="n">
        <v>444.38</v>
      </c>
      <c r="D8" s="13" t="n">
        <f aca="false">C8*Config!$B$8</f>
        <v>158.557193054568</v>
      </c>
    </row>
    <row r="9" customFormat="false" ht="15" hidden="false" customHeight="false" outlineLevel="0" collapsed="false">
      <c r="A9" s="12" t="n">
        <v>2026.231</v>
      </c>
      <c r="B9" s="13" t="n">
        <f aca="false">A9-$A$2</f>
        <v>0.349999999999909</v>
      </c>
      <c r="C9" s="14" t="n">
        <v>443.57</v>
      </c>
      <c r="D9" s="13" t="n">
        <f aca="false">C9*Config!$B$8</f>
        <v>158.26818066343</v>
      </c>
    </row>
    <row r="10" customFormat="false" ht="15" hidden="false" customHeight="false" outlineLevel="0" collapsed="false">
      <c r="A10" s="12" t="n">
        <v>2026.281</v>
      </c>
      <c r="B10" s="13" t="n">
        <f aca="false">A10-$A$2</f>
        <v>0.399999999999864</v>
      </c>
      <c r="C10" s="14" t="n">
        <v>433.27</v>
      </c>
      <c r="D10" s="13" t="n">
        <f aca="false">C10*Config!$B$8</f>
        <v>154.593084825494</v>
      </c>
    </row>
    <row r="11" customFormat="false" ht="15" hidden="false" customHeight="false" outlineLevel="0" collapsed="false">
      <c r="A11" s="12" t="n">
        <v>2026.331</v>
      </c>
      <c r="B11" s="13" t="n">
        <f aca="false">A11-$A$2</f>
        <v>0.449999999999818</v>
      </c>
      <c r="C11" s="14" t="n">
        <v>446.75</v>
      </c>
      <c r="D11" s="13" t="n">
        <f aca="false">C11*Config!$B$8</f>
        <v>159.402821902715</v>
      </c>
    </row>
    <row r="12" customFormat="false" ht="15" hidden="false" customHeight="false" outlineLevel="0" collapsed="false">
      <c r="A12" s="12" t="n">
        <v>2026.381</v>
      </c>
      <c r="B12" s="13" t="n">
        <f aca="false">A12-$A$2</f>
        <v>0.5</v>
      </c>
      <c r="C12" s="14" t="n">
        <v>434.65</v>
      </c>
      <c r="D12" s="13" t="n">
        <f aca="false">C12*Config!$B$8</f>
        <v>155.085476306693</v>
      </c>
    </row>
    <row r="13" customFormat="false" ht="15" hidden="false" customHeight="false" outlineLevel="0" collapsed="false">
      <c r="A13" s="12" t="n">
        <v>2026.431</v>
      </c>
      <c r="B13" s="13" t="n">
        <f aca="false">A13-$A$2</f>
        <v>0.549999999999955</v>
      </c>
      <c r="C13" s="14" t="n">
        <v>452.05</v>
      </c>
      <c r="D13" s="13" t="n">
        <f aca="false">C13*Config!$B$8</f>
        <v>161.293890634857</v>
      </c>
    </row>
    <row r="14" customFormat="false" ht="15" hidden="false" customHeight="false" outlineLevel="0" collapsed="false">
      <c r="A14" s="12" t="n">
        <v>2026.481</v>
      </c>
      <c r="B14" s="13" t="n">
        <f aca="false">A14-$A$2</f>
        <v>0.599999999999909</v>
      </c>
      <c r="C14" s="14" t="n">
        <v>440.71</v>
      </c>
      <c r="D14" s="13" t="n">
        <f aca="false">C14*Config!$B$8</f>
        <v>157.247717158915</v>
      </c>
    </row>
    <row r="15" customFormat="false" ht="15" hidden="false" customHeight="false" outlineLevel="0" collapsed="false">
      <c r="A15" s="12" t="n">
        <v>2026.531</v>
      </c>
      <c r="B15" s="13" t="n">
        <f aca="false">A15-$A$2</f>
        <v>0.649999999999864</v>
      </c>
      <c r="C15" s="14" t="n">
        <v>433.16</v>
      </c>
      <c r="D15" s="13" t="n">
        <f aca="false">C15*Config!$B$8</f>
        <v>154.553836229166</v>
      </c>
    </row>
    <row r="16" customFormat="false" ht="15" hidden="false" customHeight="false" outlineLevel="0" collapsed="false">
      <c r="A16" s="12" t="n">
        <v>2026.582</v>
      </c>
      <c r="B16" s="13" t="n">
        <f aca="false">A16-$A$2</f>
        <v>0.701000000000022</v>
      </c>
      <c r="C16" s="14" t="n">
        <v>447.17</v>
      </c>
      <c r="D16" s="13" t="n">
        <f aca="false">C16*Config!$B$8</f>
        <v>159.552680179602</v>
      </c>
    </row>
    <row r="17" customFormat="false" ht="15" hidden="false" customHeight="false" outlineLevel="0" collapsed="false">
      <c r="A17" s="12" t="n">
        <v>2026.632</v>
      </c>
      <c r="B17" s="13" t="n">
        <f aca="false">A17-$A$2</f>
        <v>0.750999999999976</v>
      </c>
      <c r="C17" s="14" t="n">
        <v>441.29</v>
      </c>
      <c r="D17" s="13" t="n">
        <f aca="false">C17*Config!$B$8</f>
        <v>157.454664303188</v>
      </c>
    </row>
    <row r="18" customFormat="false" ht="15" hidden="false" customHeight="false" outlineLevel="0" collapsed="false">
      <c r="A18" s="12" t="n">
        <v>2026.682</v>
      </c>
      <c r="B18" s="13" t="n">
        <f aca="false">A18-$A$2</f>
        <v>0.800999999999931</v>
      </c>
      <c r="C18" s="14" t="n">
        <v>444.43</v>
      </c>
      <c r="D18" s="13" t="n">
        <f aca="false">C18*Config!$B$8</f>
        <v>158.575033325626</v>
      </c>
    </row>
    <row r="19" customFormat="false" ht="15" hidden="false" customHeight="false" outlineLevel="0" collapsed="false">
      <c r="A19" s="12" t="n">
        <v>2026.732</v>
      </c>
      <c r="B19" s="13" t="n">
        <f aca="false">A19-$A$2</f>
        <v>0.850999999999885</v>
      </c>
      <c r="C19" s="14" t="n">
        <v>438.17</v>
      </c>
      <c r="D19" s="13" t="n">
        <f aca="false">C19*Config!$B$8</f>
        <v>156.341431389172</v>
      </c>
    </row>
    <row r="20" customFormat="false" ht="15" hidden="false" customHeight="false" outlineLevel="0" collapsed="false">
      <c r="A20" s="12" t="n">
        <v>2026.782</v>
      </c>
      <c r="B20" s="13" t="n">
        <f aca="false">A20-$A$2</f>
        <v>0.90099999999984</v>
      </c>
      <c r="C20" s="14" t="n">
        <v>446.38</v>
      </c>
      <c r="D20" s="13" t="n">
        <f aca="false">C20*Config!$B$8</f>
        <v>159.270803896886</v>
      </c>
    </row>
    <row r="21" customFormat="false" ht="15" hidden="false" customHeight="false" outlineLevel="0" collapsed="false">
      <c r="A21" s="12" t="n">
        <v>2026.832</v>
      </c>
      <c r="B21" s="13" t="n">
        <f aca="false">A21-$A$2</f>
        <v>0.951000000000022</v>
      </c>
      <c r="C21" s="14" t="n">
        <v>435.22</v>
      </c>
      <c r="D21" s="13" t="n">
        <f aca="false">C21*Config!$B$8</f>
        <v>155.288855396753</v>
      </c>
    </row>
    <row r="22" customFormat="false" ht="15" hidden="false" customHeight="false" outlineLevel="0" collapsed="false">
      <c r="A22" s="12" t="n">
        <v>2026.882</v>
      </c>
      <c r="B22" s="13" t="n">
        <f aca="false">A22-$A$2</f>
        <v>1.00099999999998</v>
      </c>
      <c r="C22" s="14" t="n">
        <v>438.31</v>
      </c>
      <c r="D22" s="13" t="n">
        <f aca="false">C22*Config!$B$8</f>
        <v>156.391384148134</v>
      </c>
    </row>
    <row r="23" customFormat="false" ht="15" hidden="false" customHeight="false" outlineLevel="0" collapsed="false">
      <c r="A23" s="12" t="n">
        <v>2026.932</v>
      </c>
      <c r="B23" s="13" t="n">
        <f aca="false">A23-$A$2</f>
        <v>1.05099999999993</v>
      </c>
      <c r="C23" s="14" t="n">
        <v>440.41</v>
      </c>
      <c r="D23" s="13" t="n">
        <f aca="false">C23*Config!$B$8</f>
        <v>157.140675532568</v>
      </c>
    </row>
    <row r="24" customFormat="false" ht="15" hidden="false" customHeight="false" outlineLevel="0" collapsed="false">
      <c r="A24" s="12" t="n">
        <v>2026.982</v>
      </c>
      <c r="B24" s="13" t="n">
        <f aca="false">A24-$A$2</f>
        <v>1.10099999999989</v>
      </c>
      <c r="C24" s="14" t="n">
        <v>436.95</v>
      </c>
      <c r="D24" s="13" t="n">
        <f aca="false">C24*Config!$B$8</f>
        <v>155.906128775358</v>
      </c>
    </row>
    <row r="25" customFormat="false" ht="15" hidden="false" customHeight="false" outlineLevel="0" collapsed="false">
      <c r="A25" s="12" t="n">
        <v>2027.032</v>
      </c>
      <c r="B25" s="13" t="n">
        <f aca="false">A25-$A$2</f>
        <v>1.15099999999984</v>
      </c>
      <c r="C25" s="14" t="n">
        <v>437.26</v>
      </c>
      <c r="D25" s="13" t="n">
        <f aca="false">C25*Config!$B$8</f>
        <v>156.016738455917</v>
      </c>
    </row>
    <row r="26" customFormat="false" ht="15" hidden="false" customHeight="false" outlineLevel="0" collapsed="false">
      <c r="A26" s="12" t="n">
        <v>2027.082</v>
      </c>
      <c r="B26" s="13" t="n">
        <f aca="false">A26-$A$2</f>
        <v>1.20100000000002</v>
      </c>
      <c r="C26" s="14" t="n">
        <v>441.8</v>
      </c>
      <c r="D26" s="13" t="n">
        <f aca="false">C26*Config!$B$8</f>
        <v>157.636635067979</v>
      </c>
    </row>
    <row r="27" customFormat="false" ht="15" hidden="false" customHeight="false" outlineLevel="0" collapsed="false">
      <c r="A27" s="12" t="n">
        <v>2027.132</v>
      </c>
      <c r="B27" s="13" t="n">
        <f aca="false">A27-$A$2</f>
        <v>1.25099999999998</v>
      </c>
      <c r="C27" s="14" t="n">
        <v>439.63</v>
      </c>
      <c r="D27" s="13" t="n">
        <f aca="false">C27*Config!$B$8</f>
        <v>156.862367304064</v>
      </c>
    </row>
    <row r="28" customFormat="false" ht="15" hidden="false" customHeight="false" outlineLevel="0" collapsed="false">
      <c r="A28" s="12" t="n">
        <v>2027.182</v>
      </c>
      <c r="B28" s="13" t="n">
        <f aca="false">A28-$A$2</f>
        <v>1.30099999999993</v>
      </c>
      <c r="C28" s="14" t="n">
        <v>441.01</v>
      </c>
      <c r="D28" s="13" t="n">
        <f aca="false">C28*Config!$B$8</f>
        <v>157.354758785263</v>
      </c>
    </row>
    <row r="29" customFormat="false" ht="15" hidden="false" customHeight="false" outlineLevel="0" collapsed="false">
      <c r="A29" s="12" t="n">
        <v>2027.232</v>
      </c>
      <c r="B29" s="13" t="n">
        <f aca="false">A29-$A$2</f>
        <v>1.35099999999989</v>
      </c>
      <c r="C29" s="14" t="n">
        <v>446.62</v>
      </c>
      <c r="D29" s="13" t="n">
        <f aca="false">C29*Config!$B$8</f>
        <v>159.356437197964</v>
      </c>
    </row>
    <row r="30" customFormat="false" ht="15" hidden="false" customHeight="false" outlineLevel="0" collapsed="false">
      <c r="A30" s="12" t="n">
        <v>2027.282</v>
      </c>
      <c r="B30" s="13" t="n">
        <f aca="false">A30-$A$2</f>
        <v>1.40099999999984</v>
      </c>
      <c r="C30" s="14" t="n">
        <v>435.9</v>
      </c>
      <c r="D30" s="13" t="n">
        <f aca="false">C30*Config!$B$8</f>
        <v>155.531483083141</v>
      </c>
    </row>
    <row r="31" customFormat="false" ht="15" hidden="false" customHeight="false" outlineLevel="0" collapsed="false">
      <c r="A31" s="12" t="n">
        <v>2027.332</v>
      </c>
      <c r="B31" s="13" t="n">
        <f aca="false">A31-$A$2</f>
        <v>1.45100000000002</v>
      </c>
      <c r="C31" s="14" t="n">
        <v>438.65</v>
      </c>
      <c r="D31" s="13" t="n">
        <f aca="false">C31*Config!$B$8</f>
        <v>156.512697991328</v>
      </c>
    </row>
    <row r="32" customFormat="false" ht="15" hidden="false" customHeight="false" outlineLevel="0" collapsed="false">
      <c r="A32" s="12" t="n">
        <v>2027.382</v>
      </c>
      <c r="B32" s="13" t="n">
        <f aca="false">A32-$A$2</f>
        <v>1.50099999999998</v>
      </c>
      <c r="C32" s="14" t="n">
        <v>448.27</v>
      </c>
      <c r="D32" s="13" t="n">
        <f aca="false">C32*Config!$B$8</f>
        <v>159.945166142876</v>
      </c>
    </row>
    <row r="33" customFormat="false" ht="15" hidden="false" customHeight="false" outlineLevel="0" collapsed="false">
      <c r="A33" s="12" t="n">
        <v>2027.432</v>
      </c>
      <c r="B33" s="13" t="n">
        <f aca="false">A33-$A$2</f>
        <v>1.55099999999993</v>
      </c>
      <c r="C33" s="14" t="n">
        <v>432</v>
      </c>
      <c r="D33" s="13" t="n">
        <f aca="false">C33*Config!$B$8</f>
        <v>154.139941940622</v>
      </c>
    </row>
    <row r="34" customFormat="false" ht="15" hidden="false" customHeight="false" outlineLevel="0" collapsed="false">
      <c r="A34" s="12" t="n">
        <v>2027.482</v>
      </c>
      <c r="B34" s="13" t="n">
        <f aca="false">A34-$A$2</f>
        <v>1.60099999999989</v>
      </c>
      <c r="C34" s="14" t="n">
        <v>429.85</v>
      </c>
      <c r="D34" s="13" t="n">
        <f aca="false">C34*Config!$B$8</f>
        <v>153.37281028513</v>
      </c>
    </row>
    <row r="35" customFormat="false" ht="15" hidden="false" customHeight="false" outlineLevel="0" collapsed="false">
      <c r="A35" s="12" t="n">
        <v>2027.532</v>
      </c>
      <c r="B35" s="13" t="n">
        <f aca="false">A35-$A$2</f>
        <v>1.65099999999984</v>
      </c>
      <c r="C35" s="14" t="n">
        <v>431.36</v>
      </c>
      <c r="D35" s="13" t="n">
        <f aca="false">C35*Config!$B$8</f>
        <v>153.91158647108</v>
      </c>
    </row>
    <row r="36" customFormat="false" ht="15" hidden="false" customHeight="false" outlineLevel="0" collapsed="false">
      <c r="A36" s="12" t="n">
        <v>2027.582</v>
      </c>
      <c r="B36" s="13" t="n">
        <f aca="false">A36-$A$2</f>
        <v>1.70100000000002</v>
      </c>
      <c r="C36" s="14" t="n">
        <v>431.42</v>
      </c>
      <c r="D36" s="13" t="n">
        <f aca="false">C36*Config!$B$8</f>
        <v>153.93299479635</v>
      </c>
    </row>
    <row r="37" customFormat="false" ht="15" hidden="false" customHeight="false" outlineLevel="0" collapsed="false">
      <c r="A37" s="12" t="n">
        <v>2027.632</v>
      </c>
      <c r="B37" s="13" t="n">
        <f aca="false">A37-$A$2</f>
        <v>1.75099999999998</v>
      </c>
      <c r="C37" s="14" t="n">
        <v>431.94</v>
      </c>
      <c r="D37" s="13" t="n">
        <f aca="false">C37*Config!$B$8</f>
        <v>154.118533615352</v>
      </c>
    </row>
    <row r="38" customFormat="false" ht="15" hidden="false" customHeight="false" outlineLevel="0" collapsed="false">
      <c r="A38" s="12" t="n">
        <v>2027.682</v>
      </c>
      <c r="B38" s="13" t="n">
        <f aca="false">A38-$A$2</f>
        <v>1.80099999999993</v>
      </c>
      <c r="C38" s="14" t="n">
        <v>433.97</v>
      </c>
      <c r="D38" s="13" t="n">
        <f aca="false">C38*Config!$B$8</f>
        <v>154.842848620305</v>
      </c>
    </row>
    <row r="39" customFormat="false" ht="15" hidden="false" customHeight="false" outlineLevel="0" collapsed="false">
      <c r="A39" s="12" t="n">
        <v>2027.732</v>
      </c>
      <c r="B39" s="13" t="n">
        <f aca="false">A39-$A$2</f>
        <v>1.85099999999989</v>
      </c>
      <c r="C39" s="14" t="n">
        <v>436.96</v>
      </c>
      <c r="D39" s="13" t="n">
        <f aca="false">C39*Config!$B$8</f>
        <v>155.90969682957</v>
      </c>
    </row>
    <row r="40" customFormat="false" ht="15" hidden="false" customHeight="false" outlineLevel="0" collapsed="false">
      <c r="A40" s="12" t="n">
        <v>2027.782</v>
      </c>
      <c r="B40" s="13" t="n">
        <f aca="false">A40-$A$2</f>
        <v>1.90099999999984</v>
      </c>
      <c r="C40" s="14" t="n">
        <v>432.03</v>
      </c>
      <c r="D40" s="13" t="n">
        <f aca="false">C40*Config!$B$8</f>
        <v>154.150646103257</v>
      </c>
    </row>
    <row r="41" customFormat="false" ht="15" hidden="false" customHeight="false" outlineLevel="0" collapsed="false">
      <c r="A41" s="12" t="n">
        <v>2027.832</v>
      </c>
      <c r="B41" s="13" t="n">
        <f aca="false">A41-$A$2</f>
        <v>1.95100000000002</v>
      </c>
      <c r="C41" s="14" t="n">
        <v>435.95</v>
      </c>
      <c r="D41" s="13" t="n">
        <f aca="false">C41*Config!$B$8</f>
        <v>155.549323354199</v>
      </c>
    </row>
    <row r="42" customFormat="false" ht="15" hidden="false" customHeight="false" outlineLevel="0" collapsed="false">
      <c r="A42" s="12" t="n">
        <v>2027.882</v>
      </c>
      <c r="B42" s="13" t="n">
        <f aca="false">A42-$A$2</f>
        <v>2.00099999999998</v>
      </c>
      <c r="C42" s="14" t="n">
        <v>436.93</v>
      </c>
      <c r="D42" s="13" t="n">
        <f aca="false">C42*Config!$B$8</f>
        <v>155.898992666935</v>
      </c>
    </row>
    <row r="43" customFormat="false" ht="15" hidden="false" customHeight="false" outlineLevel="0" collapsed="false">
      <c r="A43" s="12" t="n">
        <v>2027.932</v>
      </c>
      <c r="B43" s="13" t="n">
        <f aca="false">A43-$A$2</f>
        <v>2.05099999999993</v>
      </c>
      <c r="C43" s="14" t="n">
        <v>439.92</v>
      </c>
      <c r="D43" s="13" t="n">
        <f aca="false">C43*Config!$B$8</f>
        <v>156.9658408762</v>
      </c>
    </row>
    <row r="44" customFormat="false" ht="15" hidden="false" customHeight="false" outlineLevel="0" collapsed="false">
      <c r="A44" s="12" t="n">
        <v>2027.982</v>
      </c>
      <c r="B44" s="13" t="n">
        <f aca="false">A44-$A$2</f>
        <v>2.10099999999989</v>
      </c>
      <c r="C44" s="14" t="n">
        <v>437.57</v>
      </c>
      <c r="D44" s="13" t="n">
        <f aca="false">C44*Config!$B$8</f>
        <v>156.127348136477</v>
      </c>
    </row>
    <row r="45" customFormat="false" ht="15" hidden="false" customHeight="false" outlineLevel="0" collapsed="false">
      <c r="A45" s="12" t="n">
        <v>2028.032</v>
      </c>
      <c r="B45" s="13" t="n">
        <f aca="false">A45-$A$2</f>
        <v>2.15099999999984</v>
      </c>
      <c r="C45" s="14" t="n">
        <v>437.19</v>
      </c>
      <c r="D45" s="13" t="n">
        <f aca="false">C45*Config!$B$8</f>
        <v>155.991762076436</v>
      </c>
    </row>
    <row r="46" customFormat="false" ht="15" hidden="false" customHeight="false" outlineLevel="0" collapsed="false">
      <c r="A46" s="12" t="n">
        <v>2028.082</v>
      </c>
      <c r="B46" s="13" t="n">
        <f aca="false">A46-$A$2</f>
        <v>2.20100000000002</v>
      </c>
      <c r="C46" s="14" t="n">
        <v>439.74</v>
      </c>
      <c r="D46" s="13" t="n">
        <f aca="false">C46*Config!$B$8</f>
        <v>156.901615900391</v>
      </c>
    </row>
    <row r="47" customFormat="false" ht="15" hidden="false" customHeight="false" outlineLevel="0" collapsed="false">
      <c r="A47" s="12" t="n">
        <v>2028.132</v>
      </c>
      <c r="B47" s="13" t="n">
        <f aca="false">A47-$A$2</f>
        <v>2.25099999999998</v>
      </c>
      <c r="C47" s="14" t="n">
        <v>437.32</v>
      </c>
      <c r="D47" s="13" t="n">
        <f aca="false">C47*Config!$B$8</f>
        <v>156.038146781187</v>
      </c>
    </row>
    <row r="48" customFormat="false" ht="15" hidden="false" customHeight="false" outlineLevel="0" collapsed="false">
      <c r="A48" s="12" t="n">
        <v>2028.182</v>
      </c>
      <c r="B48" s="13" t="n">
        <f aca="false">A48-$A$2</f>
        <v>2.30099999999993</v>
      </c>
      <c r="C48" s="14" t="n">
        <v>432.24</v>
      </c>
      <c r="D48" s="13" t="n">
        <f aca="false">C48*Config!$B$8</f>
        <v>154.2255752417</v>
      </c>
    </row>
    <row r="49" customFormat="false" ht="15" hidden="false" customHeight="false" outlineLevel="0" collapsed="false">
      <c r="A49" s="12" t="n">
        <v>2028.232</v>
      </c>
      <c r="B49" s="13" t="n">
        <f aca="false">A49-$A$2</f>
        <v>2.35099999999989</v>
      </c>
      <c r="C49" s="14" t="n">
        <v>437.23</v>
      </c>
      <c r="D49" s="13" t="n">
        <f aca="false">C49*Config!$B$8</f>
        <v>156.006034293283</v>
      </c>
    </row>
    <row r="50" customFormat="false" ht="15" hidden="false" customHeight="false" outlineLevel="0" collapsed="false">
      <c r="A50" s="12" t="n">
        <v>2028.282</v>
      </c>
      <c r="B50" s="13" t="n">
        <f aca="false">A50-$A$2</f>
        <v>2.40099999999984</v>
      </c>
      <c r="C50" s="14" t="n">
        <v>432.98</v>
      </c>
      <c r="D50" s="13" t="n">
        <f aca="false">C50*Config!$B$8</f>
        <v>154.489611253358</v>
      </c>
    </row>
    <row r="51" customFormat="false" ht="15" hidden="false" customHeight="false" outlineLevel="0" collapsed="false">
      <c r="A51" s="12" t="n">
        <v>2028.332</v>
      </c>
      <c r="B51" s="13" t="n">
        <f aca="false">A51-$A$2</f>
        <v>2.45100000000002</v>
      </c>
      <c r="C51" s="14" t="n">
        <v>430.4</v>
      </c>
      <c r="D51" s="13" t="n">
        <f aca="false">C51*Config!$B$8</f>
        <v>153.569053266768</v>
      </c>
    </row>
    <row r="52" customFormat="false" ht="15" hidden="false" customHeight="false" outlineLevel="0" collapsed="false">
      <c r="A52" s="12" t="n">
        <v>2028.382</v>
      </c>
      <c r="B52" s="13" t="n">
        <f aca="false">A52-$A$2</f>
        <v>2.50099999999998</v>
      </c>
      <c r="C52" s="14" t="n">
        <v>435.12</v>
      </c>
      <c r="D52" s="13" t="n">
        <f aca="false">C52*Config!$B$8</f>
        <v>155.253174854638</v>
      </c>
    </row>
    <row r="53" customFormat="false" ht="15" hidden="false" customHeight="false" outlineLevel="0" collapsed="false">
      <c r="A53" s="12" t="n">
        <v>2028.432</v>
      </c>
      <c r="B53" s="13" t="n">
        <f aca="false">A53-$A$2</f>
        <v>2.55099999999993</v>
      </c>
      <c r="C53" s="14" t="n">
        <v>430.19</v>
      </c>
      <c r="D53" s="13" t="n">
        <f aca="false">C53*Config!$B$8</f>
        <v>153.494124128324</v>
      </c>
    </row>
    <row r="54" customFormat="false" ht="15" hidden="false" customHeight="false" outlineLevel="0" collapsed="false">
      <c r="A54" s="12" t="n">
        <v>2028.482</v>
      </c>
      <c r="B54" s="13" t="n">
        <f aca="false">A54-$A$2</f>
        <v>2.60099999999989</v>
      </c>
      <c r="C54" s="14" t="n">
        <v>434.48</v>
      </c>
      <c r="D54" s="13" t="n">
        <f aca="false">C54*Config!$B$8</f>
        <v>155.024819385096</v>
      </c>
    </row>
    <row r="55" customFormat="false" ht="15" hidden="false" customHeight="false" outlineLevel="0" collapsed="false">
      <c r="A55" s="12" t="n">
        <v>2028.532</v>
      </c>
      <c r="B55" s="13" t="n">
        <f aca="false">A55-$A$2</f>
        <v>2.65099999999984</v>
      </c>
      <c r="C55" s="14" t="n">
        <v>433.42</v>
      </c>
      <c r="D55" s="13" t="n">
        <f aca="false">C55*Config!$B$8</f>
        <v>154.646605638667</v>
      </c>
    </row>
    <row r="56" customFormat="false" ht="15" hidden="false" customHeight="false" outlineLevel="0" collapsed="false">
      <c r="A56" s="12" t="n">
        <v>2028.582</v>
      </c>
      <c r="B56" s="13" t="n">
        <f aca="false">A56-$A$2</f>
        <v>2.70100000000002</v>
      </c>
      <c r="C56" s="14" t="n">
        <v>428.64</v>
      </c>
      <c r="D56" s="13" t="n">
        <f aca="false">C56*Config!$B$8</f>
        <v>152.941075725528</v>
      </c>
    </row>
    <row r="57" customFormat="false" ht="15" hidden="false" customHeight="false" outlineLevel="0" collapsed="false">
      <c r="A57" s="12" t="n">
        <v>2028.632</v>
      </c>
      <c r="B57" s="13" t="n">
        <f aca="false">A57-$A$2</f>
        <v>2.75099999999998</v>
      </c>
      <c r="C57" s="14" t="n">
        <v>431.17</v>
      </c>
      <c r="D57" s="13" t="n">
        <f aca="false">C57*Config!$B$8</f>
        <v>153.84379344106</v>
      </c>
    </row>
    <row r="58" customFormat="false" ht="15" hidden="false" customHeight="false" outlineLevel="0" collapsed="false">
      <c r="A58" s="12" t="n">
        <v>2028.682</v>
      </c>
      <c r="B58" s="13" t="n">
        <f aca="false">A58-$A$2</f>
        <v>2.80099999999993</v>
      </c>
      <c r="C58" s="14" t="n">
        <v>434.8</v>
      </c>
      <c r="D58" s="13" t="n">
        <f aca="false">C58*Config!$B$8</f>
        <v>155.138997119867</v>
      </c>
    </row>
    <row r="59" customFormat="false" ht="15" hidden="false" customHeight="false" outlineLevel="0" collapsed="false">
      <c r="A59" s="12" t="n">
        <v>2028.732</v>
      </c>
      <c r="B59" s="13" t="n">
        <f aca="false">A59-$A$2</f>
        <v>2.85099999999989</v>
      </c>
      <c r="C59" s="14" t="n">
        <v>431.05</v>
      </c>
      <c r="D59" s="13" t="n">
        <f aca="false">C59*Config!$B$8</f>
        <v>153.800976790521</v>
      </c>
    </row>
    <row r="60" customFormat="false" ht="15" hidden="false" customHeight="false" outlineLevel="0" collapsed="false">
      <c r="A60" s="12" t="n">
        <v>2028.782</v>
      </c>
      <c r="B60" s="13" t="n">
        <f aca="false">A60-$A$2</f>
        <v>2.90099999999984</v>
      </c>
      <c r="C60" s="14" t="n">
        <v>434.33</v>
      </c>
      <c r="D60" s="13" t="n">
        <f aca="false">C60*Config!$B$8</f>
        <v>154.971298571922</v>
      </c>
    </row>
    <row r="61" customFormat="false" ht="15" hidden="false" customHeight="false" outlineLevel="0" collapsed="false">
      <c r="A61" s="12" t="n">
        <v>2028.832</v>
      </c>
      <c r="B61" s="13" t="n">
        <f aca="false">A61-$A$2</f>
        <v>2.95100000000002</v>
      </c>
      <c r="C61" s="14" t="n">
        <v>433.79</v>
      </c>
      <c r="D61" s="13" t="n">
        <f aca="false">C61*Config!$B$8</f>
        <v>154.778623644496</v>
      </c>
    </row>
    <row r="62" customFormat="false" ht="15" hidden="false" customHeight="false" outlineLevel="0" collapsed="false">
      <c r="A62" s="12" t="n">
        <v>2028.882</v>
      </c>
      <c r="B62" s="13" t="n">
        <f aca="false">A62-$A$2</f>
        <v>3.00099999999998</v>
      </c>
      <c r="C62" s="14" t="n">
        <v>434.27</v>
      </c>
      <c r="D62" s="13" t="n">
        <f aca="false">C62*Config!$B$8</f>
        <v>154.949890246652</v>
      </c>
    </row>
    <row r="63" customFormat="false" ht="15" hidden="false" customHeight="false" outlineLevel="0" collapsed="false">
      <c r="A63" s="12" t="n">
        <v>2028.932</v>
      </c>
      <c r="B63" s="13" t="n">
        <f aca="false">A63-$A$2</f>
        <v>3.05099999999993</v>
      </c>
      <c r="C63" s="14" t="n">
        <v>436.42</v>
      </c>
      <c r="D63" s="13" t="n">
        <f aca="false">C63*Config!$B$8</f>
        <v>155.717021902144</v>
      </c>
    </row>
    <row r="64" customFormat="false" ht="15" hidden="false" customHeight="false" outlineLevel="0" collapsed="false">
      <c r="A64" s="12" t="n">
        <v>2028.982</v>
      </c>
      <c r="B64" s="13" t="n">
        <f aca="false">A64-$A$2</f>
        <v>3.10099999999989</v>
      </c>
      <c r="C64" s="14" t="n">
        <v>432.1</v>
      </c>
      <c r="D64" s="13" t="n">
        <f aca="false">C64*Config!$B$8</f>
        <v>154.175622482738</v>
      </c>
    </row>
    <row r="65" customFormat="false" ht="15" hidden="false" customHeight="false" outlineLevel="0" collapsed="false">
      <c r="A65" s="12" t="n">
        <v>2029.032</v>
      </c>
      <c r="B65" s="13" t="n">
        <f aca="false">A65-$A$2</f>
        <v>3.15099999999984</v>
      </c>
      <c r="C65" s="14" t="n">
        <v>431.3</v>
      </c>
      <c r="D65" s="13" t="n">
        <f aca="false">C65*Config!$B$8</f>
        <v>153.890178145811</v>
      </c>
    </row>
    <row r="66" customFormat="false" ht="15" hidden="false" customHeight="false" outlineLevel="0" collapsed="false">
      <c r="A66" s="12" t="n">
        <v>2029.082</v>
      </c>
      <c r="B66" s="13" t="n">
        <f aca="false">A66-$A$2</f>
        <v>3.20100000000002</v>
      </c>
      <c r="C66" s="14" t="n">
        <v>425.26</v>
      </c>
      <c r="D66" s="13" t="n">
        <f aca="false">C66*Config!$B$8</f>
        <v>151.735073402011</v>
      </c>
    </row>
    <row r="67" customFormat="false" ht="15" hidden="false" customHeight="false" outlineLevel="0" collapsed="false">
      <c r="A67" s="12" t="n">
        <v>2029.132</v>
      </c>
      <c r="B67" s="13" t="n">
        <f aca="false">A67-$A$2</f>
        <v>3.25099999999998</v>
      </c>
      <c r="C67" s="14" t="n">
        <v>429.5</v>
      </c>
      <c r="D67" s="13" t="n">
        <f aca="false">C67*Config!$B$8</f>
        <v>153.247928387725</v>
      </c>
    </row>
    <row r="68" customFormat="false" ht="15" hidden="false" customHeight="false" outlineLevel="0" collapsed="false">
      <c r="A68" s="12" t="n">
        <v>2029.182</v>
      </c>
      <c r="B68" s="13" t="n">
        <f aca="false">A68-$A$2</f>
        <v>3.30099999999993</v>
      </c>
      <c r="C68" s="14" t="n">
        <v>430.93</v>
      </c>
      <c r="D68" s="13" t="n">
        <f aca="false">C68*Config!$B$8</f>
        <v>153.758160139982</v>
      </c>
    </row>
    <row r="69" customFormat="false" ht="15" hidden="false" customHeight="false" outlineLevel="0" collapsed="false">
      <c r="A69" s="12" t="n">
        <v>2029.232</v>
      </c>
      <c r="B69" s="13" t="n">
        <f aca="false">A69-$A$2</f>
        <v>3.35099999999989</v>
      </c>
      <c r="C69" s="14" t="n">
        <v>433.77</v>
      </c>
      <c r="D69" s="13" t="n">
        <f aca="false">C69*Config!$B$8</f>
        <v>154.771487536073</v>
      </c>
    </row>
    <row r="70" customFormat="false" ht="15" hidden="false" customHeight="false" outlineLevel="0" collapsed="false">
      <c r="A70" s="12" t="n">
        <v>2029.282</v>
      </c>
      <c r="B70" s="13" t="n">
        <f aca="false">A70-$A$2</f>
        <v>3.40099999999984</v>
      </c>
      <c r="C70" s="14" t="n">
        <v>428.69</v>
      </c>
      <c r="D70" s="13" t="n">
        <f aca="false">C70*Config!$B$8</f>
        <v>152.958915996586</v>
      </c>
    </row>
    <row r="71" customFormat="false" ht="15" hidden="false" customHeight="false" outlineLevel="0" collapsed="false">
      <c r="A71" s="12" t="n">
        <v>2029.332</v>
      </c>
      <c r="B71" s="13" t="n">
        <f aca="false">A71-$A$2</f>
        <v>3.45100000000002</v>
      </c>
      <c r="C71" s="14" t="n">
        <v>427.36</v>
      </c>
      <c r="D71" s="13" t="n">
        <f aca="false">C71*Config!$B$8</f>
        <v>152.484364786445</v>
      </c>
    </row>
    <row r="72" customFormat="false" ht="15" hidden="false" customHeight="false" outlineLevel="0" collapsed="false">
      <c r="A72" s="12" t="n">
        <v>2029.382</v>
      </c>
      <c r="B72" s="13" t="n">
        <f aca="false">A72-$A$2</f>
        <v>3.50099999999998</v>
      </c>
      <c r="C72" s="14" t="n">
        <v>426.99</v>
      </c>
      <c r="D72" s="13" t="n">
        <f aca="false">C72*Config!$B$8</f>
        <v>152.352346780616</v>
      </c>
    </row>
    <row r="73" customFormat="false" ht="15" hidden="false" customHeight="false" outlineLevel="0" collapsed="false">
      <c r="A73" s="12" t="n">
        <v>2029.432</v>
      </c>
      <c r="B73" s="13" t="n">
        <f aca="false">A73-$A$2</f>
        <v>3.55099999999993</v>
      </c>
      <c r="C73" s="14" t="n">
        <v>427.95</v>
      </c>
      <c r="D73" s="13" t="n">
        <f aca="false">C73*Config!$B$8</f>
        <v>152.694879984929</v>
      </c>
    </row>
    <row r="74" customFormat="false" ht="15" hidden="false" customHeight="false" outlineLevel="0" collapsed="false">
      <c r="A74" s="12" t="n">
        <v>2029.483</v>
      </c>
      <c r="B74" s="13" t="n">
        <f aca="false">A74-$A$2</f>
        <v>3.60199999999986</v>
      </c>
      <c r="C74" s="14" t="n">
        <v>429.74</v>
      </c>
      <c r="D74" s="13" t="n">
        <f aca="false">C74*Config!$B$8</f>
        <v>153.333561688803</v>
      </c>
    </row>
    <row r="75" customFormat="false" ht="15" hidden="false" customHeight="false" outlineLevel="0" collapsed="false">
      <c r="A75" s="12" t="n">
        <v>2029.533</v>
      </c>
      <c r="B75" s="13" t="n">
        <f aca="false">A75-$A$2</f>
        <v>3.65199999999982</v>
      </c>
      <c r="C75" s="14" t="n">
        <v>434.01</v>
      </c>
      <c r="D75" s="13" t="n">
        <f aca="false">C75*Config!$B$8</f>
        <v>154.857120837151</v>
      </c>
    </row>
    <row r="76" customFormat="false" ht="15" hidden="false" customHeight="false" outlineLevel="0" collapsed="false">
      <c r="A76" s="12" t="n">
        <v>2029.583</v>
      </c>
      <c r="B76" s="13" t="n">
        <f aca="false">A76-$A$2</f>
        <v>3.702</v>
      </c>
      <c r="C76" s="14" t="n">
        <v>428.05</v>
      </c>
      <c r="D76" s="13" t="n">
        <f aca="false">C76*Config!$B$8</f>
        <v>152.730560527044</v>
      </c>
    </row>
    <row r="77" customFormat="false" ht="15" hidden="false" customHeight="false" outlineLevel="0" collapsed="false">
      <c r="A77" s="12" t="n">
        <v>2029.633</v>
      </c>
      <c r="B77" s="13" t="n">
        <f aca="false">A77-$A$2</f>
        <v>3.75199999999995</v>
      </c>
      <c r="C77" s="14" t="n">
        <v>428.58</v>
      </c>
      <c r="D77" s="13" t="n">
        <f aca="false">C77*Config!$B$8</f>
        <v>152.919667400259</v>
      </c>
    </row>
    <row r="78" customFormat="false" ht="15" hidden="false" customHeight="false" outlineLevel="0" collapsed="false">
      <c r="A78" s="12" t="n">
        <v>2029.683</v>
      </c>
      <c r="B78" s="13" t="n">
        <f aca="false">A78-$A$2</f>
        <v>3.80199999999991</v>
      </c>
      <c r="C78" s="14" t="n">
        <v>426.28</v>
      </c>
      <c r="D78" s="13" t="n">
        <f aca="false">C78*Config!$B$8</f>
        <v>152.099014931593</v>
      </c>
    </row>
    <row r="79" customFormat="false" ht="15" hidden="false" customHeight="false" outlineLevel="0" collapsed="false">
      <c r="A79" s="12" t="n">
        <v>2029.733</v>
      </c>
      <c r="B79" s="13" t="n">
        <f aca="false">A79-$A$2</f>
        <v>3.85199999999986</v>
      </c>
      <c r="C79" s="14" t="n">
        <v>430.06</v>
      </c>
      <c r="D79" s="13" t="n">
        <f aca="false">C79*Config!$B$8</f>
        <v>153.447739423574</v>
      </c>
    </row>
    <row r="80" customFormat="false" ht="15" hidden="false" customHeight="false" outlineLevel="0" collapsed="false">
      <c r="A80" s="12" t="n">
        <v>2029.783</v>
      </c>
      <c r="B80" s="13" t="n">
        <f aca="false">A80-$A$2</f>
        <v>3.90199999999982</v>
      </c>
      <c r="C80" s="14" t="n">
        <v>430.91</v>
      </c>
      <c r="D80" s="13" t="n">
        <f aca="false">C80*Config!$B$8</f>
        <v>153.751024031559</v>
      </c>
    </row>
    <row r="81" customFormat="false" ht="15" hidden="false" customHeight="false" outlineLevel="0" collapsed="false">
      <c r="A81" s="12" t="n">
        <v>2029.833</v>
      </c>
      <c r="B81" s="13" t="n">
        <f aca="false">A81-$A$2</f>
        <v>3.952</v>
      </c>
      <c r="C81" s="14" t="n">
        <v>424.67</v>
      </c>
      <c r="D81" s="13" t="n">
        <f aca="false">C81*Config!$B$8</f>
        <v>151.524558203528</v>
      </c>
    </row>
    <row r="82" customFormat="false" ht="15" hidden="false" customHeight="false" outlineLevel="0" collapsed="false">
      <c r="A82" s="12" t="n">
        <v>2029.883</v>
      </c>
      <c r="B82" s="13" t="n">
        <f aca="false">A82-$A$2</f>
        <v>4.00199999999995</v>
      </c>
      <c r="C82" s="14" t="n">
        <v>428.09</v>
      </c>
      <c r="D82" s="13" t="n">
        <f aca="false">C82*Config!$B$8</f>
        <v>152.744832743891</v>
      </c>
    </row>
    <row r="83" customFormat="false" ht="15" hidden="false" customHeight="false" outlineLevel="0" collapsed="false">
      <c r="A83" s="12" t="n">
        <v>2029.933</v>
      </c>
      <c r="B83" s="13" t="n">
        <f aca="false">A83-$A$2</f>
        <v>4.05199999999991</v>
      </c>
      <c r="C83" s="14" t="n">
        <v>430.64</v>
      </c>
      <c r="D83" s="13" t="n">
        <f aca="false">C83*Config!$B$8</f>
        <v>153.654686567846</v>
      </c>
    </row>
    <row r="84" customFormat="false" ht="15" hidden="false" customHeight="false" outlineLevel="0" collapsed="false">
      <c r="A84" s="12" t="n">
        <v>2029.983</v>
      </c>
      <c r="B84" s="13" t="n">
        <f aca="false">A84-$A$2</f>
        <v>4.10199999999986</v>
      </c>
      <c r="C84" s="14" t="n">
        <v>428.53</v>
      </c>
      <c r="D84" s="13" t="n">
        <f aca="false">C84*Config!$B$8</f>
        <v>152.901827129201</v>
      </c>
    </row>
    <row r="85" customFormat="false" ht="15" hidden="false" customHeight="false" outlineLevel="0" collapsed="false">
      <c r="A85" s="12" t="n">
        <v>2030.033</v>
      </c>
      <c r="B85" s="13" t="n">
        <f aca="false">A85-$A$2</f>
        <v>4.15199999999982</v>
      </c>
      <c r="C85" s="14" t="n">
        <v>428.97</v>
      </c>
      <c r="D85" s="13" t="n">
        <f aca="false">C85*Config!$B$8</f>
        <v>153.058821514511</v>
      </c>
    </row>
    <row r="86" customFormat="false" ht="15" hidden="false" customHeight="false" outlineLevel="0" collapsed="false">
      <c r="A86" s="12" t="n">
        <v>2030.083</v>
      </c>
      <c r="B86" s="13" t="n">
        <f aca="false">A86-$A$2</f>
        <v>4.202</v>
      </c>
      <c r="C86" s="14" t="n">
        <v>430.37</v>
      </c>
      <c r="D86" s="13" t="n">
        <f aca="false">C86*Config!$B$8</f>
        <v>153.558349104133</v>
      </c>
    </row>
    <row r="87" customFormat="false" ht="15" hidden="false" customHeight="false" outlineLevel="0" collapsed="false">
      <c r="A87" s="12" t="n">
        <v>2030.133</v>
      </c>
      <c r="B87" s="13" t="n">
        <f aca="false">A87-$A$2</f>
        <v>4.25199999999995</v>
      </c>
      <c r="C87" s="14" t="n">
        <v>426.3</v>
      </c>
      <c r="D87" s="13" t="n">
        <f aca="false">C87*Config!$B$8</f>
        <v>152.106151040016</v>
      </c>
    </row>
    <row r="88" customFormat="false" ht="15" hidden="false" customHeight="false" outlineLevel="0" collapsed="false">
      <c r="A88" s="12" t="n">
        <v>2030.183</v>
      </c>
      <c r="B88" s="13" t="n">
        <f aca="false">A88-$A$2</f>
        <v>4.30199999999991</v>
      </c>
      <c r="C88" s="14" t="n">
        <v>430.65</v>
      </c>
      <c r="D88" s="13" t="n">
        <f aca="false">C88*Config!$B$8</f>
        <v>153.658254622057</v>
      </c>
    </row>
    <row r="89" customFormat="false" ht="15" hidden="false" customHeight="false" outlineLevel="0" collapsed="false">
      <c r="A89" s="12" t="n">
        <v>2030.233</v>
      </c>
      <c r="B89" s="13" t="n">
        <f aca="false">A89-$A$2</f>
        <v>4.35199999999986</v>
      </c>
      <c r="C89" s="14" t="n">
        <v>429.29</v>
      </c>
      <c r="D89" s="13" t="n">
        <f aca="false">C89*Config!$B$8</f>
        <v>153.172999249281</v>
      </c>
    </row>
    <row r="90" customFormat="false" ht="15" hidden="false" customHeight="false" outlineLevel="0" collapsed="false">
      <c r="A90" s="12" t="n">
        <v>2030.283</v>
      </c>
      <c r="B90" s="13" t="n">
        <f aca="false">A90-$A$2</f>
        <v>4.40199999999982</v>
      </c>
      <c r="C90" s="14" t="n">
        <v>429.84</v>
      </c>
      <c r="D90" s="13" t="n">
        <f aca="false">C90*Config!$B$8</f>
        <v>153.369242230919</v>
      </c>
    </row>
    <row r="91" customFormat="false" ht="15" hidden="false" customHeight="false" outlineLevel="0" collapsed="false">
      <c r="A91" s="12" t="n">
        <v>2030.333</v>
      </c>
      <c r="B91" s="13" t="n">
        <f aca="false">A91-$A$2</f>
        <v>4.452</v>
      </c>
      <c r="C91" s="14" t="n">
        <v>428.96</v>
      </c>
      <c r="D91" s="13" t="n">
        <f aca="false">C91*Config!$B$8</f>
        <v>153.055253460299</v>
      </c>
    </row>
    <row r="92" customFormat="false" ht="15" hidden="false" customHeight="false" outlineLevel="0" collapsed="false">
      <c r="A92" s="12" t="n">
        <v>2030.383</v>
      </c>
      <c r="B92" s="13" t="n">
        <f aca="false">A92-$A$2</f>
        <v>4.50199999999995</v>
      </c>
      <c r="C92" s="14" t="n">
        <v>433.83</v>
      </c>
      <c r="D92" s="13" t="n">
        <f aca="false">C92*Config!$B$8</f>
        <v>154.792895861343</v>
      </c>
    </row>
    <row r="93" customFormat="false" ht="15" hidden="false" customHeight="false" outlineLevel="0" collapsed="false">
      <c r="A93" s="12" t="n">
        <v>2030.433</v>
      </c>
      <c r="B93" s="13" t="n">
        <f aca="false">A93-$A$2</f>
        <v>4.55199999999991</v>
      </c>
      <c r="C93" s="14" t="n">
        <v>424.57</v>
      </c>
      <c r="D93" s="13" t="n">
        <f aca="false">C93*Config!$B$8</f>
        <v>151.488877661412</v>
      </c>
    </row>
    <row r="94" customFormat="false" ht="15" hidden="false" customHeight="false" outlineLevel="0" collapsed="false">
      <c r="A94" s="12" t="n">
        <v>2030.483</v>
      </c>
      <c r="B94" s="13" t="n">
        <f aca="false">A94-$A$2</f>
        <v>4.60199999999986</v>
      </c>
      <c r="C94" s="14" t="n">
        <v>423.09</v>
      </c>
      <c r="D94" s="13" t="n">
        <f aca="false">C94*Config!$B$8</f>
        <v>150.960805638097</v>
      </c>
    </row>
    <row r="95" customFormat="false" ht="15" hidden="false" customHeight="false" outlineLevel="0" collapsed="false">
      <c r="A95" s="12" t="n">
        <v>2030.533</v>
      </c>
      <c r="B95" s="13" t="n">
        <f aca="false">A95-$A$2</f>
        <v>4.65199999999982</v>
      </c>
      <c r="C95" s="14" t="n">
        <v>421.9</v>
      </c>
      <c r="D95" s="13" t="n">
        <f aca="false">C95*Config!$B$8</f>
        <v>150.536207186918</v>
      </c>
    </row>
    <row r="96" customFormat="false" ht="15" hidden="false" customHeight="false" outlineLevel="0" collapsed="false">
      <c r="A96" s="12" t="n">
        <v>2030.583</v>
      </c>
      <c r="B96" s="13" t="n">
        <f aca="false">A96-$A$2</f>
        <v>4.702</v>
      </c>
      <c r="C96" s="14" t="n">
        <v>420.69</v>
      </c>
      <c r="D96" s="13" t="n">
        <f aca="false">C96*Config!$B$8</f>
        <v>150.104472627315</v>
      </c>
    </row>
    <row r="97" customFormat="false" ht="15" hidden="false" customHeight="false" outlineLevel="0" collapsed="false">
      <c r="A97" s="12" t="n">
        <v>2030.633</v>
      </c>
      <c r="B97" s="13" t="n">
        <f aca="false">A97-$A$2</f>
        <v>4.75199999999995</v>
      </c>
      <c r="C97" s="14" t="n">
        <v>420.42</v>
      </c>
      <c r="D97" s="13" t="n">
        <f aca="false">C97*Config!$B$8</f>
        <v>150.008135163602</v>
      </c>
    </row>
    <row r="98" customFormat="false" ht="15" hidden="false" customHeight="false" outlineLevel="0" collapsed="false">
      <c r="A98" s="12" t="n">
        <v>2030.683</v>
      </c>
      <c r="B98" s="13" t="n">
        <f aca="false">A98-$A$2</f>
        <v>4.80199999999991</v>
      </c>
      <c r="C98" s="14" t="n">
        <v>425.72</v>
      </c>
      <c r="D98" s="13" t="n">
        <f aca="false">C98*Config!$B$8</f>
        <v>151.899203895744</v>
      </c>
    </row>
    <row r="99" customFormat="false" ht="15" hidden="false" customHeight="false" outlineLevel="0" collapsed="false">
      <c r="A99" s="12" t="n">
        <v>2030.733</v>
      </c>
      <c r="B99" s="13" t="n">
        <f aca="false">A99-$A$2</f>
        <v>4.85199999999986</v>
      </c>
      <c r="C99" s="14" t="n">
        <v>420.79</v>
      </c>
      <c r="D99" s="13" t="n">
        <f aca="false">C99*Config!$B$8</f>
        <v>150.140153169431</v>
      </c>
    </row>
    <row r="100" customFormat="false" ht="15" hidden="false" customHeight="false" outlineLevel="0" collapsed="false">
      <c r="A100" s="12" t="n">
        <v>2030.783</v>
      </c>
      <c r="B100" s="13" t="n">
        <f aca="false">A100-$A$2</f>
        <v>4.90199999999982</v>
      </c>
      <c r="C100" s="14" t="n">
        <v>423.39</v>
      </c>
      <c r="D100" s="13" t="n">
        <f aca="false">C100*Config!$B$8</f>
        <v>151.067847264444</v>
      </c>
    </row>
    <row r="101" customFormat="false" ht="15" hidden="false" customHeight="false" outlineLevel="0" collapsed="false">
      <c r="A101" s="12" t="n">
        <v>2030.833</v>
      </c>
      <c r="B101" s="13" t="n">
        <f aca="false">A101-$A$2</f>
        <v>4.952</v>
      </c>
      <c r="C101" s="14" t="n">
        <v>418.49</v>
      </c>
      <c r="D101" s="13" t="n">
        <f aca="false">C101*Config!$B$8</f>
        <v>149.319500700766</v>
      </c>
    </row>
    <row r="102" customFormat="false" ht="15" hidden="false" customHeight="false" outlineLevel="0" collapsed="false">
      <c r="A102" s="12" t="n">
        <v>2030.883</v>
      </c>
      <c r="B102" s="13" t="n">
        <f aca="false">A102-$A$2</f>
        <v>5.00199999999995</v>
      </c>
      <c r="C102" s="14" t="n">
        <v>415.73</v>
      </c>
      <c r="D102" s="13" t="n">
        <f aca="false">C102*Config!$B$8</f>
        <v>148.334717738367</v>
      </c>
    </row>
    <row r="103" customFormat="false" ht="15" hidden="false" customHeight="false" outlineLevel="0" collapsed="false">
      <c r="A103" s="12" t="n">
        <v>2030.934</v>
      </c>
      <c r="B103" s="13" t="n">
        <f aca="false">A103-$A$2</f>
        <v>5.05299999999988</v>
      </c>
      <c r="C103" s="14" t="n">
        <v>422.29</v>
      </c>
      <c r="D103" s="13" t="n">
        <f aca="false">C103*Config!$B$8</f>
        <v>150.67536130117</v>
      </c>
    </row>
    <row r="104" customFormat="false" ht="15" hidden="false" customHeight="false" outlineLevel="0" collapsed="false">
      <c r="A104" s="12" t="n">
        <v>2030.984</v>
      </c>
      <c r="B104" s="13" t="n">
        <f aca="false">A104-$A$2</f>
        <v>5.10299999999984</v>
      </c>
      <c r="C104" s="14" t="n">
        <v>418.86</v>
      </c>
      <c r="D104" s="13" t="n">
        <f aca="false">C104*Config!$B$8</f>
        <v>149.451518706595</v>
      </c>
    </row>
    <row r="105" customFormat="false" ht="15" hidden="false" customHeight="false" outlineLevel="0" collapsed="false">
      <c r="A105" s="12" t="n">
        <v>2031.034</v>
      </c>
      <c r="B105" s="13" t="n">
        <f aca="false">A105-$A$2</f>
        <v>5.15300000000002</v>
      </c>
      <c r="C105" s="14" t="n">
        <v>410.88</v>
      </c>
      <c r="D105" s="13" t="n">
        <f aca="false">C105*Config!$B$8</f>
        <v>146.604211445747</v>
      </c>
    </row>
    <row r="106" customFormat="false" ht="15" hidden="false" customHeight="false" outlineLevel="0" collapsed="false">
      <c r="A106" s="12" t="n">
        <v>2031.084</v>
      </c>
      <c r="B106" s="13" t="n">
        <f aca="false">A106-$A$2</f>
        <v>5.20299999999997</v>
      </c>
      <c r="C106" s="14" t="n">
        <v>415.32</v>
      </c>
      <c r="D106" s="13" t="n">
        <f aca="false">C106*Config!$B$8</f>
        <v>148.188427515692</v>
      </c>
    </row>
    <row r="107" customFormat="false" ht="15" hidden="false" customHeight="false" outlineLevel="0" collapsed="false">
      <c r="A107" s="12" t="n">
        <v>2031.134</v>
      </c>
      <c r="B107" s="13" t="n">
        <f aca="false">A107-$A$2</f>
        <v>5.25299999999993</v>
      </c>
      <c r="C107" s="14" t="n">
        <v>420.69</v>
      </c>
      <c r="D107" s="13" t="n">
        <f aca="false">C107*Config!$B$8</f>
        <v>150.104472627315</v>
      </c>
    </row>
    <row r="108" customFormat="false" ht="15" hidden="false" customHeight="false" outlineLevel="0" collapsed="false">
      <c r="A108" s="12" t="n">
        <v>2031.184</v>
      </c>
      <c r="B108" s="13" t="n">
        <f aca="false">A108-$A$2</f>
        <v>5.30299999999988</v>
      </c>
      <c r="C108" s="14" t="n">
        <v>429.9</v>
      </c>
      <c r="D108" s="13" t="n">
        <f aca="false">C108*Config!$B$8</f>
        <v>153.390650556188</v>
      </c>
    </row>
    <row r="109" customFormat="false" ht="15" hidden="false" customHeight="false" outlineLevel="0" collapsed="false">
      <c r="A109" s="12" t="n">
        <v>2031.234</v>
      </c>
      <c r="B109" s="13" t="n">
        <f aca="false">A109-$A$2</f>
        <v>5.35299999999984</v>
      </c>
      <c r="C109" s="14" t="n">
        <v>412.06</v>
      </c>
      <c r="D109" s="13" t="n">
        <f aca="false">C109*Config!$B$8</f>
        <v>147.025241842715</v>
      </c>
    </row>
    <row r="110" customFormat="false" ht="15" hidden="false" customHeight="false" outlineLevel="0" collapsed="false">
      <c r="A110" s="12" t="n">
        <v>2031.284</v>
      </c>
      <c r="B110" s="13" t="n">
        <f aca="false">A110-$A$2</f>
        <v>5.40300000000002</v>
      </c>
      <c r="C110" s="14" t="n">
        <v>413.28</v>
      </c>
      <c r="D110" s="13" t="n">
        <f aca="false">C110*Config!$B$8</f>
        <v>147.460544456528</v>
      </c>
    </row>
    <row r="111" customFormat="false" ht="15" hidden="false" customHeight="false" outlineLevel="0" collapsed="false">
      <c r="A111" s="12" t="n">
        <v>2031.334</v>
      </c>
      <c r="B111" s="13" t="n">
        <f aca="false">A111-$A$2</f>
        <v>5.45299999999997</v>
      </c>
      <c r="C111" s="14" t="n">
        <v>420.81</v>
      </c>
      <c r="D111" s="13" t="n">
        <f aca="false">C111*Config!$B$8</f>
        <v>150.147289277854</v>
      </c>
    </row>
    <row r="112" customFormat="false" ht="15" hidden="false" customHeight="false" outlineLevel="0" collapsed="false">
      <c r="A112" s="12" t="n">
        <v>2031.384</v>
      </c>
      <c r="B112" s="13" t="n">
        <f aca="false">A112-$A$2</f>
        <v>5.50299999999993</v>
      </c>
      <c r="C112" s="14" t="n">
        <v>416.72</v>
      </c>
      <c r="D112" s="13" t="n">
        <f aca="false">C112*Config!$B$8</f>
        <v>148.687955105315</v>
      </c>
    </row>
    <row r="113" customFormat="false" ht="15" hidden="false" customHeight="false" outlineLevel="0" collapsed="false">
      <c r="A113" s="12" t="n">
        <v>2031.434</v>
      </c>
      <c r="B113" s="13" t="n">
        <f aca="false">A113-$A$2</f>
        <v>5.55299999999988</v>
      </c>
      <c r="C113" s="14" t="n">
        <v>416.9</v>
      </c>
      <c r="D113" s="13" t="n">
        <f aca="false">C113*Config!$B$8</f>
        <v>148.752180081123</v>
      </c>
    </row>
    <row r="114" customFormat="false" ht="15" hidden="false" customHeight="false" outlineLevel="0" collapsed="false">
      <c r="A114" s="12" t="n">
        <v>2031.484</v>
      </c>
      <c r="B114" s="13" t="n">
        <f aca="false">A114-$A$2</f>
        <v>5.60299999999984</v>
      </c>
      <c r="C114" s="14" t="n">
        <v>413.67</v>
      </c>
      <c r="D114" s="13" t="n">
        <f aca="false">C114*Config!$B$8</f>
        <v>147.59969857078</v>
      </c>
    </row>
    <row r="115" customFormat="false" ht="15" hidden="false" customHeight="false" outlineLevel="0" collapsed="false">
      <c r="A115" s="12" t="n">
        <v>2031.534</v>
      </c>
      <c r="B115" s="13" t="n">
        <f aca="false">A115-$A$2</f>
        <v>5.65300000000002</v>
      </c>
      <c r="C115" s="14" t="n">
        <v>408.93</v>
      </c>
      <c r="D115" s="13" t="n">
        <f aca="false">C115*Config!$B$8</f>
        <v>145.908440874487</v>
      </c>
    </row>
    <row r="116" customFormat="false" ht="15" hidden="false" customHeight="false" outlineLevel="0" collapsed="false">
      <c r="A116" s="12" t="n">
        <v>2031.584</v>
      </c>
      <c r="B116" s="13" t="n">
        <f aca="false">A116-$A$2</f>
        <v>5.70299999999997</v>
      </c>
      <c r="C116" s="14" t="n">
        <v>413.47</v>
      </c>
      <c r="D116" s="13" t="n">
        <f aca="false">C116*Config!$B$8</f>
        <v>147.528337486548</v>
      </c>
    </row>
    <row r="117" customFormat="false" ht="15" hidden="false" customHeight="false" outlineLevel="0" collapsed="false">
      <c r="A117" s="12" t="n">
        <v>2031.634</v>
      </c>
      <c r="B117" s="13" t="n">
        <f aca="false">A117-$A$2</f>
        <v>5.75299999999993</v>
      </c>
      <c r="C117" s="14" t="n">
        <v>410.01</v>
      </c>
      <c r="D117" s="13" t="n">
        <f aca="false">C117*Config!$B$8</f>
        <v>146.293790729339</v>
      </c>
    </row>
    <row r="118" customFormat="false" ht="15" hidden="false" customHeight="false" outlineLevel="0" collapsed="false">
      <c r="A118" s="12" t="n">
        <v>2031.684</v>
      </c>
      <c r="B118" s="13" t="n">
        <f aca="false">A118-$A$2</f>
        <v>5.80299999999988</v>
      </c>
      <c r="C118" s="14" t="n">
        <v>411.3</v>
      </c>
      <c r="D118" s="13" t="n">
        <f aca="false">C118*Config!$B$8</f>
        <v>146.754069722634</v>
      </c>
    </row>
    <row r="119" customFormat="false" ht="15" hidden="false" customHeight="false" outlineLevel="0" collapsed="false">
      <c r="A119" s="12" t="n">
        <v>2031.734</v>
      </c>
      <c r="B119" s="13" t="n">
        <f aca="false">A119-$A$2</f>
        <v>5.85299999999984</v>
      </c>
      <c r="C119" s="14" t="n">
        <v>416.34</v>
      </c>
      <c r="D119" s="13" t="n">
        <f aca="false">C119*Config!$B$8</f>
        <v>148.552369045274</v>
      </c>
    </row>
    <row r="120" customFormat="false" ht="15" hidden="false" customHeight="false" outlineLevel="0" collapsed="false">
      <c r="A120" s="12" t="n">
        <v>2031.784</v>
      </c>
      <c r="B120" s="13" t="n">
        <f aca="false">A120-$A$2</f>
        <v>5.90300000000002</v>
      </c>
      <c r="C120" s="14" t="n">
        <v>411.95</v>
      </c>
      <c r="D120" s="13" t="n">
        <f aca="false">C120*Config!$B$8</f>
        <v>146.985993246387</v>
      </c>
    </row>
    <row r="121" customFormat="false" ht="15" hidden="false" customHeight="false" outlineLevel="0" collapsed="false">
      <c r="A121" s="12" t="n">
        <v>2031.834</v>
      </c>
      <c r="B121" s="13" t="n">
        <f aca="false">A121-$A$2</f>
        <v>5.95299999999997</v>
      </c>
      <c r="C121" s="14" t="n">
        <v>411.45</v>
      </c>
      <c r="D121" s="13" t="n">
        <f aca="false">C121*Config!$B$8</f>
        <v>146.807590535808</v>
      </c>
    </row>
    <row r="122" customFormat="false" ht="15" hidden="false" customHeight="false" outlineLevel="0" collapsed="false">
      <c r="A122" s="12" t="n">
        <v>2031.884</v>
      </c>
      <c r="B122" s="13" t="n">
        <f aca="false">A122-$A$2</f>
        <v>6.00299999999993</v>
      </c>
      <c r="C122" s="14" t="n">
        <v>414.83</v>
      </c>
      <c r="D122" s="13" t="n">
        <f aca="false">C122*Config!$B$8</f>
        <v>148.013592859325</v>
      </c>
    </row>
    <row r="123" customFormat="false" ht="15" hidden="false" customHeight="false" outlineLevel="0" collapsed="false">
      <c r="A123" s="12" t="n">
        <v>2031.934</v>
      </c>
      <c r="B123" s="13" t="n">
        <f aca="false">A123-$A$2</f>
        <v>6.05299999999988</v>
      </c>
      <c r="C123" s="14" t="n">
        <v>413.65</v>
      </c>
      <c r="D123" s="13" t="n">
        <f aca="false">C123*Config!$B$8</f>
        <v>147.592562462357</v>
      </c>
    </row>
    <row r="124" customFormat="false" ht="15" hidden="false" customHeight="false" outlineLevel="0" collapsed="false">
      <c r="A124" s="12" t="n">
        <v>2031.984</v>
      </c>
      <c r="B124" s="13" t="n">
        <f aca="false">A124-$A$2</f>
        <v>6.10299999999984</v>
      </c>
      <c r="C124" s="14" t="n">
        <v>411.12</v>
      </c>
      <c r="D124" s="13" t="n">
        <f aca="false">C124*Config!$B$8</f>
        <v>146.689844746825</v>
      </c>
    </row>
    <row r="125" customFormat="false" ht="15" hidden="false" customHeight="false" outlineLevel="0" collapsed="false">
      <c r="A125" s="12" t="n">
        <v>2032.034</v>
      </c>
      <c r="B125" s="13" t="n">
        <f aca="false">A125-$A$2</f>
        <v>6.15300000000002</v>
      </c>
      <c r="C125" s="14" t="n">
        <v>409.62</v>
      </c>
      <c r="D125" s="13" t="n">
        <f aca="false">C125*Config!$B$8</f>
        <v>146.154636615087</v>
      </c>
    </row>
    <row r="126" customFormat="false" ht="15" hidden="false" customHeight="false" outlineLevel="0" collapsed="false">
      <c r="A126" s="12" t="n">
        <v>2032.084</v>
      </c>
      <c r="B126" s="13" t="n">
        <f aca="false">A126-$A$2</f>
        <v>6.20299999999997</v>
      </c>
      <c r="C126" s="14" t="n">
        <v>416.01</v>
      </c>
      <c r="D126" s="13" t="n">
        <f aca="false">C126*Config!$B$8</f>
        <v>148.434623256292</v>
      </c>
    </row>
    <row r="127" customFormat="false" ht="15" hidden="false" customHeight="false" outlineLevel="0" collapsed="false">
      <c r="A127" s="12" t="n">
        <v>2032.134</v>
      </c>
      <c r="B127" s="13" t="n">
        <f aca="false">A127-$A$2</f>
        <v>6.25299999999993</v>
      </c>
      <c r="C127" s="14" t="n">
        <v>410.22</v>
      </c>
      <c r="D127" s="13" t="n">
        <f aca="false">C127*Config!$B$8</f>
        <v>146.368719867782</v>
      </c>
    </row>
    <row r="128" customFormat="false" ht="15" hidden="false" customHeight="false" outlineLevel="0" collapsed="false">
      <c r="A128" s="12" t="n">
        <v>2032.184</v>
      </c>
      <c r="B128" s="13" t="n">
        <f aca="false">A128-$A$2</f>
        <v>6.30299999999988</v>
      </c>
      <c r="C128" s="14" t="n">
        <v>410.87</v>
      </c>
      <c r="D128" s="13" t="n">
        <f aca="false">C128*Config!$B$8</f>
        <v>146.600643391535</v>
      </c>
    </row>
    <row r="129" customFormat="false" ht="15" hidden="false" customHeight="false" outlineLevel="0" collapsed="false">
      <c r="A129" s="12" t="n">
        <v>2032.234</v>
      </c>
      <c r="B129" s="13" t="n">
        <f aca="false">A129-$A$2</f>
        <v>6.35299999999984</v>
      </c>
      <c r="C129" s="14" t="n">
        <v>411.3</v>
      </c>
      <c r="D129" s="13" t="n">
        <f aca="false">C129*Config!$B$8</f>
        <v>146.754069722634</v>
      </c>
    </row>
    <row r="130" customFormat="false" ht="15" hidden="false" customHeight="false" outlineLevel="0" collapsed="false">
      <c r="A130" s="12" t="n">
        <v>2032.284</v>
      </c>
      <c r="B130" s="13" t="n">
        <f aca="false">A130-$A$2</f>
        <v>6.40300000000002</v>
      </c>
      <c r="C130" s="14" t="n">
        <v>411.06</v>
      </c>
      <c r="D130" s="13" t="n">
        <f aca="false">C130*Config!$B$8</f>
        <v>146.668436421556</v>
      </c>
    </row>
    <row r="131" customFormat="false" ht="15" hidden="false" customHeight="false" outlineLevel="0" collapsed="false">
      <c r="A131" s="12" t="n">
        <v>2032.334</v>
      </c>
      <c r="B131" s="13" t="n">
        <f aca="false">A131-$A$2</f>
        <v>6.45299999999997</v>
      </c>
      <c r="C131" s="14" t="n">
        <v>410.7</v>
      </c>
      <c r="D131" s="13" t="n">
        <f aca="false">C131*Config!$B$8</f>
        <v>146.539986469938</v>
      </c>
    </row>
    <row r="132" customFormat="false" ht="15" hidden="false" customHeight="false" outlineLevel="0" collapsed="false">
      <c r="A132" s="12" t="n">
        <v>2032.384</v>
      </c>
      <c r="B132" s="13" t="n">
        <f aca="false">A132-$A$2</f>
        <v>6.50299999999993</v>
      </c>
      <c r="C132" s="14" t="n">
        <v>410.55</v>
      </c>
      <c r="D132" s="13" t="n">
        <f aca="false">C132*Config!$B$8</f>
        <v>146.486465656765</v>
      </c>
    </row>
    <row r="133" customFormat="false" ht="15" hidden="false" customHeight="false" outlineLevel="0" collapsed="false">
      <c r="A133" s="12" t="n">
        <v>2032.434</v>
      </c>
      <c r="B133" s="13" t="n">
        <f aca="false">A133-$A$2</f>
        <v>6.55299999999988</v>
      </c>
      <c r="C133" s="14" t="n">
        <v>411</v>
      </c>
      <c r="D133" s="13" t="n">
        <f aca="false">C133*Config!$B$8</f>
        <v>146.647028096286</v>
      </c>
    </row>
    <row r="134" customFormat="false" ht="15" hidden="false" customHeight="false" outlineLevel="0" collapsed="false">
      <c r="A134" s="12" t="n">
        <v>2032.484</v>
      </c>
      <c r="B134" s="13" t="n">
        <f aca="false">A134-$A$2</f>
        <v>6.60299999999984</v>
      </c>
      <c r="C134" s="14" t="n">
        <v>405.58</v>
      </c>
      <c r="D134" s="13" t="n">
        <f aca="false">C134*Config!$B$8</f>
        <v>144.713142713605</v>
      </c>
    </row>
    <row r="135" customFormat="false" ht="15" hidden="false" customHeight="false" outlineLevel="0" collapsed="false">
      <c r="A135" s="12" t="n">
        <v>2032.534</v>
      </c>
      <c r="B135" s="13" t="n">
        <f aca="false">A135-$A$2</f>
        <v>6.65300000000002</v>
      </c>
      <c r="C135" s="14" t="n">
        <v>410.06</v>
      </c>
      <c r="D135" s="13" t="n">
        <f aca="false">C135*Config!$B$8</f>
        <v>146.311631000397</v>
      </c>
    </row>
    <row r="136" customFormat="false" ht="15" hidden="false" customHeight="false" outlineLevel="0" collapsed="false">
      <c r="A136" s="12" t="n">
        <v>2032.584</v>
      </c>
      <c r="B136" s="13" t="n">
        <f aca="false">A136-$A$2</f>
        <v>6.70299999999997</v>
      </c>
      <c r="C136" s="14" t="n">
        <v>412.28</v>
      </c>
      <c r="D136" s="13" t="n">
        <f aca="false">C136*Config!$B$8</f>
        <v>147.103739035369</v>
      </c>
    </row>
    <row r="137" customFormat="false" ht="15" hidden="false" customHeight="false" outlineLevel="0" collapsed="false">
      <c r="A137" s="12" t="n">
        <v>2032.634</v>
      </c>
      <c r="B137" s="13" t="n">
        <f aca="false">A137-$A$2</f>
        <v>6.75299999999993</v>
      </c>
      <c r="C137" s="14" t="n">
        <v>410.86</v>
      </c>
      <c r="D137" s="13" t="n">
        <f aca="false">C137*Config!$B$8</f>
        <v>146.597075337324</v>
      </c>
    </row>
    <row r="138" customFormat="false" ht="15" hidden="false" customHeight="false" outlineLevel="0" collapsed="false">
      <c r="A138" s="12" t="n">
        <v>2032.684</v>
      </c>
      <c r="B138" s="13" t="n">
        <f aca="false">A138-$A$2</f>
        <v>6.80299999999988</v>
      </c>
      <c r="C138" s="14" t="n">
        <v>410.46</v>
      </c>
      <c r="D138" s="13" t="n">
        <f aca="false">C138*Config!$B$8</f>
        <v>146.45435316886</v>
      </c>
    </row>
    <row r="139" customFormat="false" ht="15" hidden="false" customHeight="false" outlineLevel="0" collapsed="false">
      <c r="A139" s="12" t="n">
        <v>2032.734</v>
      </c>
      <c r="B139" s="13" t="n">
        <f aca="false">A139-$A$2</f>
        <v>6.85299999999984</v>
      </c>
      <c r="C139" s="14" t="n">
        <v>408.84</v>
      </c>
      <c r="D139" s="13" t="n">
        <f aca="false">C139*Config!$B$8</f>
        <v>145.876328386583</v>
      </c>
    </row>
    <row r="140" customFormat="false" ht="15" hidden="false" customHeight="false" outlineLevel="0" collapsed="false">
      <c r="A140" s="12" t="n">
        <v>2032.784</v>
      </c>
      <c r="B140" s="13" t="n">
        <f aca="false">A140-$A$2</f>
        <v>6.90300000000002</v>
      </c>
      <c r="C140" s="14" t="n">
        <v>410.73</v>
      </c>
      <c r="D140" s="13" t="n">
        <f aca="false">C140*Config!$B$8</f>
        <v>146.550690632573</v>
      </c>
    </row>
    <row r="141" customFormat="false" ht="15" hidden="false" customHeight="false" outlineLevel="0" collapsed="false">
      <c r="A141" s="12" t="n">
        <v>2032.834</v>
      </c>
      <c r="B141" s="13" t="n">
        <f aca="false">A141-$A$2</f>
        <v>6.95299999999997</v>
      </c>
      <c r="C141" s="14" t="n">
        <v>407.93</v>
      </c>
      <c r="D141" s="13" t="n">
        <f aca="false">C141*Config!$B$8</f>
        <v>145.551635453328</v>
      </c>
    </row>
    <row r="142" customFormat="false" ht="15" hidden="false" customHeight="false" outlineLevel="0" collapsed="false">
      <c r="A142" s="12" t="n">
        <v>2032.884</v>
      </c>
      <c r="B142" s="13" t="n">
        <f aca="false">A142-$A$2</f>
        <v>7.00299999999993</v>
      </c>
      <c r="C142" s="14" t="n">
        <v>410.29</v>
      </c>
      <c r="D142" s="13" t="n">
        <f aca="false">C142*Config!$B$8</f>
        <v>146.393696247263</v>
      </c>
    </row>
    <row r="143" customFormat="false" ht="15" hidden="false" customHeight="false" outlineLevel="0" collapsed="false">
      <c r="A143" s="12" t="n">
        <v>2032.934</v>
      </c>
      <c r="B143" s="13" t="n">
        <f aca="false">A143-$A$2</f>
        <v>7.05299999999988</v>
      </c>
      <c r="C143" s="14" t="n">
        <v>407.83</v>
      </c>
      <c r="D143" s="13" t="n">
        <f aca="false">C143*Config!$B$8</f>
        <v>145.515954911213</v>
      </c>
    </row>
    <row r="144" customFormat="false" ht="15" hidden="false" customHeight="false" outlineLevel="0" collapsed="false">
      <c r="A144" s="12" t="n">
        <v>2032.984</v>
      </c>
      <c r="B144" s="13" t="n">
        <f aca="false">A144-$A$2</f>
        <v>7.10299999999984</v>
      </c>
      <c r="C144" s="14" t="n">
        <v>411.65</v>
      </c>
      <c r="D144" s="13" t="n">
        <f aca="false">C144*Config!$B$8</f>
        <v>146.878951620039</v>
      </c>
    </row>
    <row r="145" customFormat="false" ht="15" hidden="false" customHeight="false" outlineLevel="0" collapsed="false">
      <c r="A145" s="12" t="n">
        <v>2033.034</v>
      </c>
      <c r="B145" s="13" t="n">
        <f aca="false">A145-$A$2</f>
        <v>7.15300000000002</v>
      </c>
      <c r="C145" s="14" t="n">
        <v>409.01</v>
      </c>
      <c r="D145" s="13" t="n">
        <f aca="false">C145*Config!$B$8</f>
        <v>145.93698530818</v>
      </c>
    </row>
    <row r="146" customFormat="false" ht="15" hidden="false" customHeight="false" outlineLevel="0" collapsed="false">
      <c r="A146" s="12" t="n">
        <v>2033.084</v>
      </c>
      <c r="B146" s="13" t="n">
        <f aca="false">A146-$A$2</f>
        <v>7.20299999999997</v>
      </c>
      <c r="C146" s="14" t="n">
        <v>413.62</v>
      </c>
      <c r="D146" s="13" t="n">
        <f aca="false">C146*Config!$B$8</f>
        <v>147.581858299722</v>
      </c>
    </row>
    <row r="147" customFormat="false" ht="15" hidden="false" customHeight="false" outlineLevel="0" collapsed="false">
      <c r="A147" s="12" t="n">
        <v>2033.134</v>
      </c>
      <c r="B147" s="13" t="n">
        <f aca="false">A147-$A$2</f>
        <v>7.25299999999993</v>
      </c>
      <c r="C147" s="14" t="n">
        <v>415.71</v>
      </c>
      <c r="D147" s="13" t="n">
        <f aca="false">C147*Config!$B$8</f>
        <v>148.327581629944</v>
      </c>
    </row>
    <row r="148" customFormat="false" ht="15" hidden="false" customHeight="false" outlineLevel="0" collapsed="false">
      <c r="A148" s="12" t="n">
        <v>2033.184</v>
      </c>
      <c r="B148" s="13" t="n">
        <f aca="false">A148-$A$2</f>
        <v>7.30299999999988</v>
      </c>
      <c r="C148" s="14" t="n">
        <v>419.68</v>
      </c>
      <c r="D148" s="13" t="n">
        <f aca="false">C148*Config!$B$8</f>
        <v>149.744099151945</v>
      </c>
    </row>
    <row r="149" customFormat="false" ht="15" hidden="false" customHeight="false" outlineLevel="0" collapsed="false">
      <c r="A149" s="12" t="n">
        <v>2033.234</v>
      </c>
      <c r="B149" s="13" t="n">
        <f aca="false">A149-$A$2</f>
        <v>7.35299999999984</v>
      </c>
      <c r="C149" s="14" t="n">
        <v>417.58</v>
      </c>
      <c r="D149" s="13" t="n">
        <f aca="false">C149*Config!$B$8</f>
        <v>148.994807767511</v>
      </c>
    </row>
    <row r="150" customFormat="false" ht="15" hidden="false" customHeight="false" outlineLevel="0" collapsed="false">
      <c r="A150" s="12" t="n">
        <v>2033.284</v>
      </c>
      <c r="B150" s="13" t="n">
        <f aca="false">A150-$A$2</f>
        <v>7.40300000000002</v>
      </c>
      <c r="C150" s="14" t="n">
        <v>423.64</v>
      </c>
      <c r="D150" s="13" t="n">
        <f aca="false">C150*Config!$B$8</f>
        <v>151.157048619734</v>
      </c>
    </row>
    <row r="151" customFormat="false" ht="15" hidden="false" customHeight="false" outlineLevel="0" collapsed="false">
      <c r="A151" s="12" t="n">
        <v>2033.334</v>
      </c>
      <c r="B151" s="13" t="n">
        <f aca="false">A151-$A$2</f>
        <v>7.45299999999997</v>
      </c>
      <c r="C151" s="14" t="n">
        <v>419.77</v>
      </c>
      <c r="D151" s="13" t="n">
        <f aca="false">C151*Config!$B$8</f>
        <v>149.776211639849</v>
      </c>
    </row>
    <row r="152" customFormat="false" ht="15" hidden="false" customHeight="false" outlineLevel="0" collapsed="false">
      <c r="A152" s="12" t="n">
        <v>2033.384</v>
      </c>
      <c r="B152" s="13" t="n">
        <f aca="false">A152-$A$2</f>
        <v>7.50299999999993</v>
      </c>
      <c r="C152" s="14" t="n">
        <v>423.03</v>
      </c>
      <c r="D152" s="13" t="n">
        <f aca="false">C152*Config!$B$8</f>
        <v>150.939397312827</v>
      </c>
    </row>
    <row r="153" customFormat="false" ht="15" hidden="false" customHeight="false" outlineLevel="0" collapsed="false">
      <c r="A153" s="12" t="n">
        <v>2033.434</v>
      </c>
      <c r="B153" s="13" t="n">
        <f aca="false">A153-$A$2</f>
        <v>7.55299999999988</v>
      </c>
      <c r="C153" s="14" t="n">
        <v>423.61</v>
      </c>
      <c r="D153" s="13" t="n">
        <f aca="false">C153*Config!$B$8</f>
        <v>151.146344457099</v>
      </c>
    </row>
    <row r="154" customFormat="false" ht="15" hidden="false" customHeight="false" outlineLevel="0" collapsed="false">
      <c r="A154" s="12" t="n">
        <v>2033.484</v>
      </c>
      <c r="B154" s="13" t="n">
        <f aca="false">A154-$A$2</f>
        <v>7.60299999999984</v>
      </c>
      <c r="C154" s="14" t="n">
        <v>420.17</v>
      </c>
      <c r="D154" s="13" t="n">
        <f aca="false">C154*Config!$B$8</f>
        <v>149.918933808313</v>
      </c>
    </row>
    <row r="155" customFormat="false" ht="15" hidden="false" customHeight="false" outlineLevel="0" collapsed="false">
      <c r="A155" s="12" t="n">
        <v>2033.534</v>
      </c>
      <c r="B155" s="13" t="n">
        <f aca="false">A155-$A$2</f>
        <v>7.65300000000002</v>
      </c>
      <c r="C155" s="14" t="n">
        <v>423.57</v>
      </c>
      <c r="D155" s="13" t="n">
        <f aca="false">C155*Config!$B$8</f>
        <v>151.132072240253</v>
      </c>
    </row>
    <row r="156" customFormat="false" ht="15" hidden="false" customHeight="false" outlineLevel="0" collapsed="false">
      <c r="A156" s="12" t="n">
        <v>2033.584</v>
      </c>
      <c r="B156" s="13" t="n">
        <f aca="false">A156-$A$2</f>
        <v>7.70299999999997</v>
      </c>
      <c r="C156" s="14" t="n">
        <v>424.23</v>
      </c>
      <c r="D156" s="13" t="n">
        <f aca="false">C156*Config!$B$8</f>
        <v>151.367563818218</v>
      </c>
    </row>
    <row r="157" customFormat="false" ht="15" hidden="false" customHeight="false" outlineLevel="0" collapsed="false">
      <c r="A157" s="12" t="n">
        <v>2033.634</v>
      </c>
      <c r="B157" s="13" t="n">
        <f aca="false">A157-$A$2</f>
        <v>7.75299999999993</v>
      </c>
      <c r="C157" s="14" t="n">
        <v>425.27</v>
      </c>
      <c r="D157" s="13" t="n">
        <f aca="false">C157*Config!$B$8</f>
        <v>151.738641456223</v>
      </c>
    </row>
    <row r="158" customFormat="false" ht="15" hidden="false" customHeight="false" outlineLevel="0" collapsed="false">
      <c r="A158" s="12" t="n">
        <v>2033.684</v>
      </c>
      <c r="B158" s="13" t="n">
        <f aca="false">A158-$A$2</f>
        <v>7.80299999999988</v>
      </c>
      <c r="C158" s="14" t="n">
        <v>422.37</v>
      </c>
      <c r="D158" s="13" t="n">
        <f aca="false">C158*Config!$B$8</f>
        <v>150.703905734862</v>
      </c>
    </row>
    <row r="159" customFormat="false" ht="15" hidden="false" customHeight="false" outlineLevel="0" collapsed="false">
      <c r="A159" s="12" t="n">
        <v>2033.734</v>
      </c>
      <c r="B159" s="13" t="n">
        <f aca="false">A159-$A$2</f>
        <v>7.85299999999984</v>
      </c>
      <c r="C159" s="14" t="n">
        <v>430.12</v>
      </c>
      <c r="D159" s="13" t="n">
        <f aca="false">C159*Config!$B$8</f>
        <v>153.469147748843</v>
      </c>
    </row>
    <row r="160" customFormat="false" ht="15" hidden="false" customHeight="false" outlineLevel="0" collapsed="false">
      <c r="A160" s="12" t="n">
        <v>2033.784</v>
      </c>
      <c r="B160" s="13" t="n">
        <f aca="false">A160-$A$2</f>
        <v>7.90300000000002</v>
      </c>
      <c r="C160" s="14" t="n">
        <v>427.56</v>
      </c>
      <c r="D160" s="13" t="n">
        <f aca="false">C160*Config!$B$8</f>
        <v>152.555725870677</v>
      </c>
    </row>
    <row r="161" customFormat="false" ht="15" hidden="false" customHeight="false" outlineLevel="0" collapsed="false">
      <c r="A161" s="12" t="n">
        <v>2033.835</v>
      </c>
      <c r="B161" s="13" t="n">
        <f aca="false">A161-$A$2</f>
        <v>7.95399999999995</v>
      </c>
      <c r="C161" s="14" t="n">
        <v>429.1</v>
      </c>
      <c r="D161" s="13" t="n">
        <f aca="false">C161*Config!$B$8</f>
        <v>153.105206219261</v>
      </c>
    </row>
    <row r="162" customFormat="false" ht="15" hidden="false" customHeight="false" outlineLevel="0" collapsed="false">
      <c r="A162" s="12" t="n">
        <v>2033.885</v>
      </c>
      <c r="B162" s="13" t="n">
        <f aca="false">A162-$A$2</f>
        <v>8.00399999999991</v>
      </c>
      <c r="C162" s="14" t="n">
        <v>432.09</v>
      </c>
      <c r="D162" s="13" t="n">
        <f aca="false">C162*Config!$B$8</f>
        <v>154.172054428526</v>
      </c>
    </row>
    <row r="163" customFormat="false" ht="15" hidden="false" customHeight="false" outlineLevel="0" collapsed="false">
      <c r="A163" s="12" t="n">
        <v>2033.935</v>
      </c>
      <c r="B163" s="13" t="n">
        <f aca="false">A163-$A$2</f>
        <v>8.05399999999986</v>
      </c>
      <c r="C163" s="14" t="n">
        <v>421.64</v>
      </c>
      <c r="D163" s="13" t="n">
        <f aca="false">C163*Config!$B$8</f>
        <v>150.443437777416</v>
      </c>
    </row>
    <row r="164" customFormat="false" ht="15" hidden="false" customHeight="false" outlineLevel="0" collapsed="false">
      <c r="A164" s="12" t="n">
        <v>2033.985</v>
      </c>
      <c r="B164" s="13" t="n">
        <f aca="false">A164-$A$2</f>
        <v>8.10399999999981</v>
      </c>
      <c r="C164" s="14" t="n">
        <v>436.1</v>
      </c>
      <c r="D164" s="13" t="n">
        <f aca="false">C164*Config!$B$8</f>
        <v>155.602844167373</v>
      </c>
    </row>
    <row r="165" customFormat="false" ht="15" hidden="false" customHeight="false" outlineLevel="0" collapsed="false">
      <c r="A165" s="12" t="n">
        <v>2034.035</v>
      </c>
      <c r="B165" s="13" t="n">
        <f aca="false">A165-$A$2</f>
        <v>8.154</v>
      </c>
      <c r="C165" s="14" t="n">
        <v>437.95</v>
      </c>
      <c r="D165" s="13" t="n">
        <f aca="false">C165*Config!$B$8</f>
        <v>156.262934196517</v>
      </c>
    </row>
    <row r="166" customFormat="false" ht="15" hidden="false" customHeight="false" outlineLevel="0" collapsed="false">
      <c r="A166" s="12" t="n">
        <v>2034.085</v>
      </c>
      <c r="B166" s="13" t="n">
        <f aca="false">A166-$A$2</f>
        <v>8.20399999999995</v>
      </c>
      <c r="C166" s="14" t="n">
        <v>438.52</v>
      </c>
      <c r="D166" s="13" t="n">
        <f aca="false">C166*Config!$B$8</f>
        <v>156.466313286578</v>
      </c>
    </row>
    <row r="167" customFormat="false" ht="15" hidden="false" customHeight="false" outlineLevel="0" collapsed="false">
      <c r="A167" s="12" t="n">
        <v>2034.135</v>
      </c>
      <c r="B167" s="13" t="n">
        <f aca="false">A167-$A$2</f>
        <v>8.25399999999991</v>
      </c>
      <c r="C167" s="14" t="n">
        <v>430.65</v>
      </c>
      <c r="D167" s="13" t="n">
        <f aca="false">C167*Config!$B$8</f>
        <v>153.658254622057</v>
      </c>
    </row>
    <row r="168" customFormat="false" ht="15" hidden="false" customHeight="false" outlineLevel="0" collapsed="false">
      <c r="A168" s="12" t="n">
        <v>2034.185</v>
      </c>
      <c r="B168" s="13" t="n">
        <f aca="false">A168-$A$2</f>
        <v>8.30399999999986</v>
      </c>
      <c r="C168" s="14" t="n">
        <v>437.12</v>
      </c>
      <c r="D168" s="13" t="n">
        <f aca="false">C168*Config!$B$8</f>
        <v>155.966785696955</v>
      </c>
    </row>
    <row r="169" customFormat="false" ht="15" hidden="false" customHeight="false" outlineLevel="0" collapsed="false">
      <c r="A169" s="12" t="n">
        <v>2034.235</v>
      </c>
      <c r="B169" s="13" t="n">
        <f aca="false">A169-$A$2</f>
        <v>8.35399999999981</v>
      </c>
      <c r="C169" s="14" t="n">
        <v>448.66</v>
      </c>
      <c r="D169" s="13" t="n">
        <f aca="false">C169*Config!$B$8</f>
        <v>160.084320257128</v>
      </c>
    </row>
    <row r="170" customFormat="false" ht="15" hidden="false" customHeight="false" outlineLevel="0" collapsed="false">
      <c r="A170" s="12" t="n">
        <v>2034.285</v>
      </c>
      <c r="B170" s="13" t="n">
        <f aca="false">A170-$A$2</f>
        <v>8.404</v>
      </c>
      <c r="C170" s="14" t="n">
        <v>431.14</v>
      </c>
      <c r="D170" s="13" t="n">
        <f aca="false">C170*Config!$B$8</f>
        <v>153.833089278425</v>
      </c>
    </row>
    <row r="171" customFormat="false" ht="15" hidden="false" customHeight="false" outlineLevel="0" collapsed="false">
      <c r="A171" s="12" t="n">
        <v>2034.335</v>
      </c>
      <c r="B171" s="13" t="n">
        <f aca="false">A171-$A$2</f>
        <v>8.45399999999995</v>
      </c>
      <c r="C171" s="14" t="n">
        <v>441.55</v>
      </c>
      <c r="D171" s="13" t="n">
        <f aca="false">C171*Config!$B$8</f>
        <v>157.547433712689</v>
      </c>
    </row>
    <row r="172" customFormat="false" ht="15" hidden="false" customHeight="false" outlineLevel="0" collapsed="false">
      <c r="A172" s="12" t="n">
        <v>2034.385</v>
      </c>
      <c r="B172" s="13" t="n">
        <f aca="false">A172-$A$2</f>
        <v>8.50399999999991</v>
      </c>
      <c r="C172" s="14" t="n">
        <v>440.62</v>
      </c>
      <c r="D172" s="13" t="n">
        <f aca="false">C172*Config!$B$8</f>
        <v>157.215604671011</v>
      </c>
    </row>
    <row r="173" customFormat="false" ht="15" hidden="false" customHeight="false" outlineLevel="0" collapsed="false">
      <c r="A173" s="12" t="n">
        <v>2034.435</v>
      </c>
      <c r="B173" s="13" t="n">
        <f aca="false">A173-$A$2</f>
        <v>8.55399999999986</v>
      </c>
      <c r="C173" s="14" t="n">
        <v>423.83</v>
      </c>
      <c r="D173" s="13" t="n">
        <f aca="false">C173*Config!$B$8</f>
        <v>151.224841649754</v>
      </c>
    </row>
    <row r="174" customFormat="false" ht="15" hidden="false" customHeight="false" outlineLevel="0" collapsed="false">
      <c r="A174" s="12" t="n">
        <v>2034.485</v>
      </c>
      <c r="B174" s="13" t="n">
        <f aca="false">A174-$A$2</f>
        <v>8.60399999999981</v>
      </c>
      <c r="C174" s="14" t="n">
        <v>443.71</v>
      </c>
      <c r="D174" s="13" t="n">
        <f aca="false">C174*Config!$B$8</f>
        <v>158.318133422392</v>
      </c>
    </row>
    <row r="175" customFormat="false" ht="15" hidden="false" customHeight="false" outlineLevel="0" collapsed="false">
      <c r="A175" s="12" t="n">
        <v>2034.535</v>
      </c>
      <c r="B175" s="13" t="n">
        <f aca="false">A175-$A$2</f>
        <v>8.654</v>
      </c>
      <c r="C175" s="14" t="n">
        <v>430.66</v>
      </c>
      <c r="D175" s="13" t="n">
        <f aca="false">C175*Config!$B$8</f>
        <v>153.661822676269</v>
      </c>
    </row>
    <row r="176" customFormat="false" ht="15" hidden="false" customHeight="false" outlineLevel="0" collapsed="false">
      <c r="A176" s="12" t="n">
        <v>2034.585</v>
      </c>
      <c r="B176" s="13" t="n">
        <f aca="false">A176-$A$2</f>
        <v>8.70399999999995</v>
      </c>
      <c r="C176" s="14" t="n">
        <v>434.29</v>
      </c>
      <c r="D176" s="13" t="n">
        <f aca="false">C176*Config!$B$8</f>
        <v>154.957026355076</v>
      </c>
    </row>
    <row r="177" customFormat="false" ht="15" hidden="false" customHeight="false" outlineLevel="0" collapsed="false">
      <c r="A177" s="12" t="n">
        <v>2034.635</v>
      </c>
      <c r="B177" s="13" t="n">
        <f aca="false">A177-$A$2</f>
        <v>8.75399999999991</v>
      </c>
      <c r="C177" s="14" t="n">
        <v>428.32</v>
      </c>
      <c r="D177" s="13" t="n">
        <f aca="false">C177*Config!$B$8</f>
        <v>152.826897990757</v>
      </c>
    </row>
    <row r="178" customFormat="false" ht="15" hidden="false" customHeight="false" outlineLevel="0" collapsed="false">
      <c r="A178" s="12" t="n">
        <v>2034.685</v>
      </c>
      <c r="B178" s="13" t="n">
        <f aca="false">A178-$A$2</f>
        <v>8.80399999999986</v>
      </c>
      <c r="C178" s="14" t="n">
        <v>433.16</v>
      </c>
      <c r="D178" s="13" t="n">
        <f aca="false">C178*Config!$B$8</f>
        <v>154.553836229166</v>
      </c>
    </row>
    <row r="179" customFormat="false" ht="15" hidden="false" customHeight="false" outlineLevel="0" collapsed="false">
      <c r="A179" s="12" t="n">
        <v>2034.735</v>
      </c>
      <c r="B179" s="13" t="n">
        <f aca="false">A179-$A$2</f>
        <v>8.85399999999981</v>
      </c>
      <c r="C179" s="14" t="n">
        <v>425.94</v>
      </c>
      <c r="D179" s="13" t="n">
        <f aca="false">C179*Config!$B$8</f>
        <v>151.977701088399</v>
      </c>
    </row>
    <row r="180" customFormat="false" ht="15" hidden="false" customHeight="false" outlineLevel="0" collapsed="false">
      <c r="A180" s="12" t="n">
        <v>2034.785</v>
      </c>
      <c r="B180" s="13" t="n">
        <f aca="false">A180-$A$2</f>
        <v>8.904</v>
      </c>
      <c r="C180" s="14" t="n">
        <v>432.34</v>
      </c>
      <c r="D180" s="13" t="n">
        <f aca="false">C180*Config!$B$8</f>
        <v>154.261255783816</v>
      </c>
    </row>
    <row r="181" customFormat="false" ht="15" hidden="false" customHeight="false" outlineLevel="0" collapsed="false">
      <c r="A181" s="12" t="n">
        <v>2034.835</v>
      </c>
      <c r="B181" s="13" t="n">
        <f aca="false">A181-$A$2</f>
        <v>8.95399999999995</v>
      </c>
      <c r="C181" s="14" t="n">
        <v>418.09</v>
      </c>
      <c r="D181" s="13" t="n">
        <f aca="false">C181*Config!$B$8</f>
        <v>149.176778532302</v>
      </c>
    </row>
    <row r="182" customFormat="false" ht="15" hidden="false" customHeight="false" outlineLevel="0" collapsed="false">
      <c r="A182" s="12" t="n">
        <v>2034.885</v>
      </c>
      <c r="B182" s="13" t="n">
        <f aca="false">A182-$A$2</f>
        <v>9.00399999999991</v>
      </c>
      <c r="C182" s="14" t="n">
        <v>435.46</v>
      </c>
      <c r="D182" s="13" t="n">
        <f aca="false">C182*Config!$B$8</f>
        <v>155.374488697832</v>
      </c>
    </row>
    <row r="183" customFormat="false" ht="15" hidden="false" customHeight="false" outlineLevel="0" collapsed="false">
      <c r="A183" s="12" t="n">
        <v>2034.935</v>
      </c>
      <c r="B183" s="13" t="n">
        <f aca="false">A183-$A$2</f>
        <v>9.05399999999986</v>
      </c>
      <c r="C183" s="14" t="n">
        <v>422.71</v>
      </c>
      <c r="D183" s="13" t="n">
        <f aca="false">C183*Config!$B$8</f>
        <v>150.825219578056</v>
      </c>
    </row>
    <row r="184" customFormat="false" ht="15" hidden="false" customHeight="false" outlineLevel="0" collapsed="false">
      <c r="A184" s="12" t="n">
        <v>2034.985</v>
      </c>
      <c r="B184" s="13" t="n">
        <f aca="false">A184-$A$2</f>
        <v>9.10399999999981</v>
      </c>
      <c r="C184" s="14" t="n">
        <v>414.03</v>
      </c>
      <c r="D184" s="13" t="n">
        <f aca="false">C184*Config!$B$8</f>
        <v>147.728148522397</v>
      </c>
    </row>
    <row r="185" customFormat="false" ht="15" hidden="false" customHeight="false" outlineLevel="0" collapsed="false">
      <c r="A185" s="12" t="n">
        <v>2035.035</v>
      </c>
      <c r="B185" s="13" t="n">
        <f aca="false">A185-$A$2</f>
        <v>9.154</v>
      </c>
      <c r="C185" s="14" t="n">
        <v>415.42</v>
      </c>
      <c r="D185" s="13" t="n">
        <f aca="false">C185*Config!$B$8</f>
        <v>148.224108057808</v>
      </c>
    </row>
    <row r="186" customFormat="false" ht="15" hidden="false" customHeight="false" outlineLevel="0" collapsed="false">
      <c r="A186" s="12" t="n">
        <v>2035.085</v>
      </c>
      <c r="B186" s="13" t="n">
        <f aca="false">A186-$A$2</f>
        <v>9.20399999999995</v>
      </c>
      <c r="C186" s="14" t="n">
        <v>432.61</v>
      </c>
      <c r="D186" s="13" t="n">
        <f aca="false">C186*Config!$B$8</f>
        <v>154.357593247529</v>
      </c>
    </row>
    <row r="187" customFormat="false" ht="15" hidden="false" customHeight="false" outlineLevel="0" collapsed="false">
      <c r="A187" s="12" t="n">
        <v>2035.135</v>
      </c>
      <c r="B187" s="13" t="n">
        <f aca="false">A187-$A$2</f>
        <v>9.25399999999991</v>
      </c>
      <c r="C187" s="14" t="n">
        <v>417.2</v>
      </c>
      <c r="D187" s="13" t="n">
        <f aca="false">C187*Config!$B$8</f>
        <v>148.859221707471</v>
      </c>
    </row>
    <row r="188" customFormat="false" ht="15" hidden="false" customHeight="false" outlineLevel="0" collapsed="false">
      <c r="A188" s="12" t="n">
        <v>2035.185</v>
      </c>
      <c r="B188" s="13" t="n">
        <f aca="false">A188-$A$2</f>
        <v>9.30399999999986</v>
      </c>
      <c r="C188" s="14" t="n">
        <v>420.69</v>
      </c>
      <c r="D188" s="13" t="n">
        <f aca="false">C188*Config!$B$8</f>
        <v>150.104472627315</v>
      </c>
    </row>
    <row r="189" customFormat="false" ht="15" hidden="false" customHeight="false" outlineLevel="0" collapsed="false">
      <c r="A189" s="12" t="n">
        <v>2035.235</v>
      </c>
      <c r="B189" s="13" t="n">
        <f aca="false">A189-$A$2</f>
        <v>9.35399999999981</v>
      </c>
      <c r="C189" s="14" t="n">
        <v>430.64</v>
      </c>
      <c r="D189" s="13" t="n">
        <f aca="false">C189*Config!$B$8</f>
        <v>153.654686567846</v>
      </c>
    </row>
    <row r="190" customFormat="false" ht="15" hidden="false" customHeight="false" outlineLevel="0" collapsed="false">
      <c r="A190" s="12" t="n">
        <v>2035.286</v>
      </c>
      <c r="B190" s="13" t="n">
        <f aca="false">A190-$A$2</f>
        <v>9.40499999999997</v>
      </c>
      <c r="C190" s="14" t="n">
        <v>437.25</v>
      </c>
      <c r="D190" s="13" t="n">
        <f aca="false">C190*Config!$B$8</f>
        <v>156.013170401706</v>
      </c>
    </row>
    <row r="191" customFormat="false" ht="15" hidden="false" customHeight="false" outlineLevel="0" collapsed="false">
      <c r="A191" s="12" t="n">
        <v>2035.336</v>
      </c>
      <c r="B191" s="13" t="n">
        <f aca="false">A191-$A$2</f>
        <v>9.45499999999993</v>
      </c>
      <c r="C191" s="14" t="n">
        <v>424.75</v>
      </c>
      <c r="D191" s="13" t="n">
        <f aca="false">C191*Config!$B$8</f>
        <v>151.55310263722</v>
      </c>
    </row>
    <row r="192" customFormat="false" ht="15" hidden="false" customHeight="false" outlineLevel="0" collapsed="false">
      <c r="A192" s="12" t="n">
        <v>2035.386</v>
      </c>
      <c r="B192" s="13" t="n">
        <f aca="false">A192-$A$2</f>
        <v>9.50499999999988</v>
      </c>
      <c r="C192" s="14" t="n">
        <v>422.4</v>
      </c>
      <c r="D192" s="13" t="n">
        <f aca="false">C192*Config!$B$8</f>
        <v>150.714609897497</v>
      </c>
    </row>
    <row r="193" customFormat="false" ht="15" hidden="false" customHeight="false" outlineLevel="0" collapsed="false">
      <c r="A193" s="12" t="n">
        <v>2035.436</v>
      </c>
      <c r="B193" s="13" t="n">
        <f aca="false">A193-$A$2</f>
        <v>9.55499999999984</v>
      </c>
      <c r="C193" s="14" t="n">
        <v>426.34</v>
      </c>
      <c r="D193" s="13" t="n">
        <f aca="false">C193*Config!$B$8</f>
        <v>152.120423256863</v>
      </c>
    </row>
    <row r="194" customFormat="false" ht="15" hidden="false" customHeight="false" outlineLevel="0" collapsed="false">
      <c r="A194" s="12" t="n">
        <v>2035.486</v>
      </c>
      <c r="B194" s="13" t="n">
        <f aca="false">A194-$A$2</f>
        <v>9.60500000000002</v>
      </c>
      <c r="C194" s="14" t="n">
        <v>429.72</v>
      </c>
      <c r="D194" s="13" t="n">
        <f aca="false">C194*Config!$B$8</f>
        <v>153.32642558038</v>
      </c>
    </row>
    <row r="195" customFormat="false" ht="15" hidden="false" customHeight="false" outlineLevel="0" collapsed="false">
      <c r="A195" s="12" t="n">
        <v>2035.536</v>
      </c>
      <c r="B195" s="13" t="n">
        <f aca="false">A195-$A$2</f>
        <v>9.65499999999997</v>
      </c>
      <c r="C195" s="14" t="n">
        <v>428.56</v>
      </c>
      <c r="D195" s="13" t="n">
        <f aca="false">C195*Config!$B$8</f>
        <v>152.912531291835</v>
      </c>
    </row>
    <row r="196" customFormat="false" ht="15" hidden="false" customHeight="false" outlineLevel="0" collapsed="false">
      <c r="A196" s="12" t="n">
        <v>2035.586</v>
      </c>
      <c r="B196" s="13" t="n">
        <f aca="false">A196-$A$2</f>
        <v>9.70499999999993</v>
      </c>
      <c r="C196" s="14" t="n">
        <v>432.29</v>
      </c>
      <c r="D196" s="13" t="n">
        <f aca="false">C196*Config!$B$8</f>
        <v>154.243415512758</v>
      </c>
    </row>
    <row r="197" customFormat="false" ht="15" hidden="false" customHeight="false" outlineLevel="0" collapsed="false">
      <c r="A197" s="12" t="n">
        <v>2035.636</v>
      </c>
      <c r="B197" s="13" t="n">
        <f aca="false">A197-$A$2</f>
        <v>9.75499999999988</v>
      </c>
      <c r="C197" s="14" t="n">
        <v>434.14</v>
      </c>
      <c r="D197" s="13" t="n">
        <f aca="false">C197*Config!$B$8</f>
        <v>154.903505541902</v>
      </c>
    </row>
    <row r="198" customFormat="false" ht="15" hidden="false" customHeight="false" outlineLevel="0" collapsed="false">
      <c r="A198" s="12" t="n">
        <v>2035.686</v>
      </c>
      <c r="B198" s="13" t="n">
        <f aca="false">A198-$A$2</f>
        <v>9.80499999999984</v>
      </c>
      <c r="C198" s="14" t="n">
        <v>431.27</v>
      </c>
      <c r="D198" s="13" t="n">
        <f aca="false">C198*Config!$B$8</f>
        <v>153.879473983176</v>
      </c>
    </row>
    <row r="199" customFormat="false" ht="15" hidden="false" customHeight="false" outlineLevel="0" collapsed="false">
      <c r="A199" s="12" t="n">
        <v>2035.736</v>
      </c>
      <c r="B199" s="13" t="n">
        <f aca="false">A199-$A$2</f>
        <v>9.85500000000002</v>
      </c>
      <c r="C199" s="14" t="n">
        <v>444.73</v>
      </c>
      <c r="D199" s="13" t="n">
        <f aca="false">C199*Config!$B$8</f>
        <v>158.682074951974</v>
      </c>
    </row>
    <row r="200" customFormat="false" ht="15" hidden="false" customHeight="false" outlineLevel="0" collapsed="false">
      <c r="A200" s="12" t="n">
        <v>2035.786</v>
      </c>
      <c r="B200" s="13" t="n">
        <f aca="false">A200-$A$2</f>
        <v>9.90499999999997</v>
      </c>
      <c r="C200" s="14" t="n">
        <v>432.92</v>
      </c>
      <c r="D200" s="13" t="n">
        <f aca="false">C200*Config!$B$8</f>
        <v>154.468202928088</v>
      </c>
    </row>
    <row r="201" customFormat="false" ht="15" hidden="false" customHeight="false" outlineLevel="0" collapsed="false">
      <c r="A201" s="12" t="n">
        <v>2035.836</v>
      </c>
      <c r="B201" s="13" t="n">
        <f aca="false">A201-$A$2</f>
        <v>9.95499999999993</v>
      </c>
      <c r="C201" s="14" t="n">
        <v>438.16</v>
      </c>
      <c r="D201" s="13" t="n">
        <f aca="false">C201*Config!$B$8</f>
        <v>156.33786333496</v>
      </c>
    </row>
    <row r="202" customFormat="false" ht="15" hidden="false" customHeight="false" outlineLevel="0" collapsed="false">
      <c r="A202" s="12" t="n">
        <v>2035.886</v>
      </c>
      <c r="B202" s="13" t="n">
        <f aca="false">A202-$A$2</f>
        <v>10.0049999999999</v>
      </c>
      <c r="C202" s="14" t="n">
        <v>436.73</v>
      </c>
      <c r="D202" s="13" t="n">
        <f aca="false">C202*Config!$B$8</f>
        <v>155.827631582703</v>
      </c>
    </row>
    <row r="203" customFormat="false" ht="15" hidden="false" customHeight="false" outlineLevel="0" collapsed="false">
      <c r="A203" s="12" t="n">
        <v>2035.936</v>
      </c>
      <c r="B203" s="13" t="n">
        <f aca="false">A203-$A$2</f>
        <v>10.0549999999998</v>
      </c>
      <c r="C203" s="14" t="n">
        <v>465.6</v>
      </c>
      <c r="D203" s="13" t="n">
        <f aca="false">C203*Config!$B$8</f>
        <v>166.128604091559</v>
      </c>
    </row>
    <row r="204" customFormat="false" ht="15" hidden="false" customHeight="false" outlineLevel="0" collapsed="false">
      <c r="A204" s="12" t="n">
        <v>2035.986</v>
      </c>
      <c r="B204" s="13" t="n">
        <f aca="false">A204-$A$2</f>
        <v>10.105</v>
      </c>
      <c r="C204" s="14" t="n">
        <v>436.1</v>
      </c>
      <c r="D204" s="13" t="n">
        <f aca="false">C204*Config!$B$8</f>
        <v>155.602844167373</v>
      </c>
    </row>
    <row r="205" customFormat="false" ht="15" hidden="false" customHeight="false" outlineLevel="0" collapsed="false">
      <c r="A205" s="12" t="n">
        <v>2036.036</v>
      </c>
      <c r="B205" s="13" t="n">
        <f aca="false">A205-$A$2</f>
        <v>10.155</v>
      </c>
      <c r="C205" s="14" t="n">
        <v>449.07</v>
      </c>
      <c r="D205" s="13" t="n">
        <f aca="false">C205*Config!$B$8</f>
        <v>160.230610479803</v>
      </c>
    </row>
    <row r="206" customFormat="false" ht="15" hidden="false" customHeight="false" outlineLevel="0" collapsed="false">
      <c r="A206" s="12" t="n">
        <v>2036.086</v>
      </c>
      <c r="B206" s="13" t="n">
        <f aca="false">A206-$A$2</f>
        <v>10.2049999999999</v>
      </c>
      <c r="C206" s="14" t="n">
        <v>444.63</v>
      </c>
      <c r="D206" s="13" t="n">
        <f aca="false">C206*Config!$B$8</f>
        <v>158.646394409858</v>
      </c>
    </row>
    <row r="207" customFormat="false" ht="15" hidden="false" customHeight="false" outlineLevel="0" collapsed="false">
      <c r="A207" s="12" t="n">
        <v>2036.136</v>
      </c>
      <c r="B207" s="13" t="n">
        <f aca="false">A207-$A$2</f>
        <v>10.2549999999999</v>
      </c>
      <c r="C207" s="14" t="n">
        <v>431.86</v>
      </c>
      <c r="D207" s="13" t="n">
        <f aca="false">C207*Config!$B$8</f>
        <v>154.08998918166</v>
      </c>
    </row>
    <row r="208" customFormat="false" ht="15" hidden="false" customHeight="false" outlineLevel="0" collapsed="false">
      <c r="A208" s="12" t="n">
        <v>2036.186</v>
      </c>
      <c r="B208" s="13" t="n">
        <f aca="false">A208-$A$2</f>
        <v>10.3049999999998</v>
      </c>
      <c r="C208" s="14" t="n">
        <v>445.35</v>
      </c>
      <c r="D208" s="13" t="n">
        <f aca="false">C208*Config!$B$8</f>
        <v>158.903294313093</v>
      </c>
    </row>
    <row r="209" customFormat="false" ht="15" hidden="false" customHeight="false" outlineLevel="0" collapsed="false">
      <c r="A209" s="12" t="n">
        <v>2036.236</v>
      </c>
      <c r="B209" s="13" t="n">
        <f aca="false">A209-$A$2</f>
        <v>10.355</v>
      </c>
      <c r="C209" s="14" t="n">
        <v>441.23</v>
      </c>
      <c r="D209" s="13" t="n">
        <f aca="false">C209*Config!$B$8</f>
        <v>157.433255977918</v>
      </c>
    </row>
    <row r="210" customFormat="false" ht="15" hidden="false" customHeight="false" outlineLevel="0" collapsed="false">
      <c r="A210" s="12" t="n">
        <v>2036.286</v>
      </c>
      <c r="B210" s="13" t="n">
        <f aca="false">A210-$A$2</f>
        <v>10.405</v>
      </c>
      <c r="C210" s="14" t="n">
        <v>446.72</v>
      </c>
      <c r="D210" s="13" t="n">
        <f aca="false">C210*Config!$B$8</f>
        <v>159.39211774008</v>
      </c>
    </row>
    <row r="211" customFormat="false" ht="15" hidden="false" customHeight="false" outlineLevel="0" collapsed="false">
      <c r="A211" s="12" t="n">
        <v>2036.336</v>
      </c>
      <c r="B211" s="13" t="n">
        <f aca="false">A211-$A$2</f>
        <v>10.4549999999999</v>
      </c>
      <c r="C211" s="14" t="n">
        <v>445.95</v>
      </c>
      <c r="D211" s="13" t="n">
        <f aca="false">C211*Config!$B$8</f>
        <v>159.117377565788</v>
      </c>
    </row>
    <row r="212" customFormat="false" ht="15" hidden="false" customHeight="false" outlineLevel="0" collapsed="false">
      <c r="A212" s="12" t="n">
        <v>2036.386</v>
      </c>
      <c r="B212" s="13" t="n">
        <f aca="false">A212-$A$2</f>
        <v>10.5049999999999</v>
      </c>
      <c r="C212" s="14" t="n">
        <v>449.05</v>
      </c>
      <c r="D212" s="13" t="n">
        <f aca="false">C212*Config!$B$8</f>
        <v>160.22347437138</v>
      </c>
    </row>
    <row r="213" customFormat="false" ht="15" hidden="false" customHeight="false" outlineLevel="0" collapsed="false">
      <c r="A213" s="12" t="n">
        <v>2036.436</v>
      </c>
      <c r="B213" s="13" t="n">
        <f aca="false">A213-$A$2</f>
        <v>10.5549999999998</v>
      </c>
      <c r="C213" s="14" t="n">
        <v>435.05</v>
      </c>
      <c r="D213" s="13" t="n">
        <f aca="false">C213*Config!$B$8</f>
        <v>155.228198475156</v>
      </c>
    </row>
    <row r="214" customFormat="false" ht="15" hidden="false" customHeight="false" outlineLevel="0" collapsed="false">
      <c r="A214" s="12" t="n">
        <v>2036.486</v>
      </c>
      <c r="B214" s="13" t="n">
        <f aca="false">A214-$A$2</f>
        <v>10.605</v>
      </c>
      <c r="C214" s="14" t="n">
        <v>442.32</v>
      </c>
      <c r="D214" s="13" t="n">
        <f aca="false">C214*Config!$B$8</f>
        <v>157.822173886981</v>
      </c>
    </row>
    <row r="215" customFormat="false" ht="15" hidden="false" customHeight="false" outlineLevel="0" collapsed="false">
      <c r="A215" s="12" t="n">
        <v>2036.536</v>
      </c>
      <c r="B215" s="13" t="n">
        <f aca="false">A215-$A$2</f>
        <v>10.655</v>
      </c>
      <c r="C215" s="14" t="n">
        <v>460.57</v>
      </c>
      <c r="D215" s="13" t="n">
        <f aca="false">C215*Config!$B$8</f>
        <v>164.33387282313</v>
      </c>
    </row>
    <row r="216" customFormat="false" ht="15" hidden="false" customHeight="false" outlineLevel="0" collapsed="false">
      <c r="A216" s="12" t="n">
        <v>2036.586</v>
      </c>
      <c r="B216" s="13" t="n">
        <f aca="false">A216-$A$2</f>
        <v>10.7049999999999</v>
      </c>
      <c r="C216" s="14" t="n">
        <v>432.44</v>
      </c>
      <c r="D216" s="13" t="n">
        <f aca="false">C216*Config!$B$8</f>
        <v>154.296936325932</v>
      </c>
    </row>
    <row r="217" customFormat="false" ht="15" hidden="false" customHeight="false" outlineLevel="0" collapsed="false">
      <c r="A217" s="12" t="n">
        <v>2036.636</v>
      </c>
      <c r="B217" s="13" t="n">
        <f aca="false">A217-$A$2</f>
        <v>10.7549999999999</v>
      </c>
      <c r="C217" s="14" t="n">
        <v>441.65</v>
      </c>
      <c r="D217" s="13" t="n">
        <f aca="false">C217*Config!$B$8</f>
        <v>157.583114254805</v>
      </c>
    </row>
    <row r="218" customFormat="false" ht="15" hidden="false" customHeight="false" outlineLevel="0" collapsed="false">
      <c r="A218" s="12" t="n">
        <v>2036.686</v>
      </c>
      <c r="B218" s="13" t="n">
        <f aca="false">A218-$A$2</f>
        <v>10.8049999999998</v>
      </c>
      <c r="C218" s="14" t="n">
        <v>448.69</v>
      </c>
      <c r="D218" s="13" t="n">
        <f aca="false">C218*Config!$B$8</f>
        <v>160.095024419763</v>
      </c>
    </row>
    <row r="219" customFormat="false" ht="15" hidden="false" customHeight="false" outlineLevel="0" collapsed="false">
      <c r="A219" s="12" t="n">
        <v>2036.736</v>
      </c>
      <c r="B219" s="13" t="n">
        <f aca="false">A219-$A$2</f>
        <v>10.855</v>
      </c>
      <c r="C219" s="14" t="n">
        <v>449.75</v>
      </c>
      <c r="D219" s="13" t="n">
        <f aca="false">C219*Config!$B$8</f>
        <v>160.473238166191</v>
      </c>
    </row>
    <row r="220" customFormat="false" ht="15" hidden="false" customHeight="false" outlineLevel="0" collapsed="false">
      <c r="A220" s="12" t="n">
        <v>2036.786</v>
      </c>
      <c r="B220" s="13" t="n">
        <f aca="false">A220-$A$2</f>
        <v>10.905</v>
      </c>
      <c r="C220" s="14" t="n">
        <v>443.95</v>
      </c>
      <c r="D220" s="13" t="n">
        <f aca="false">C220*Config!$B$8</f>
        <v>158.40376672347</v>
      </c>
    </row>
    <row r="221" customFormat="false" ht="15" hidden="false" customHeight="false" outlineLevel="0" collapsed="false">
      <c r="A221" s="12" t="n">
        <v>2036.836</v>
      </c>
      <c r="B221" s="13" t="n">
        <f aca="false">A221-$A$2</f>
        <v>10.9549999999999</v>
      </c>
      <c r="C221" s="14" t="n">
        <v>463.26</v>
      </c>
      <c r="D221" s="13" t="n">
        <f aca="false">C221*Config!$B$8</f>
        <v>165.293679406047</v>
      </c>
    </row>
    <row r="222" customFormat="false" ht="15" hidden="false" customHeight="false" outlineLevel="0" collapsed="false">
      <c r="A222" s="12" t="n">
        <v>2036.886</v>
      </c>
      <c r="B222" s="13" t="n">
        <f aca="false">A222-$A$2</f>
        <v>11.0049999999999</v>
      </c>
      <c r="C222" s="14" t="n">
        <v>449.09</v>
      </c>
      <c r="D222" s="13" t="n">
        <f aca="false">C222*Config!$B$8</f>
        <v>160.237746588227</v>
      </c>
    </row>
    <row r="223" customFormat="false" ht="15" hidden="false" customHeight="false" outlineLevel="0" collapsed="false">
      <c r="A223" s="12" t="n">
        <v>2036.936</v>
      </c>
      <c r="B223" s="13" t="n">
        <f aca="false">A223-$A$2</f>
        <v>11.0549999999998</v>
      </c>
      <c r="C223" s="14" t="n">
        <v>456.51</v>
      </c>
      <c r="D223" s="13" t="n">
        <f aca="false">C223*Config!$B$8</f>
        <v>162.885242813225</v>
      </c>
    </row>
    <row r="224" customFormat="false" ht="15" hidden="false" customHeight="false" outlineLevel="0" collapsed="false">
      <c r="A224" s="12" t="n">
        <v>2036.986</v>
      </c>
      <c r="B224" s="13" t="n">
        <f aca="false">A224-$A$2</f>
        <v>11.105</v>
      </c>
      <c r="C224" s="14" t="n">
        <v>445.81</v>
      </c>
      <c r="D224" s="13" t="n">
        <f aca="false">C224*Config!$B$8</f>
        <v>159.067424806826</v>
      </c>
    </row>
    <row r="225" customFormat="false" ht="15" hidden="false" customHeight="false" outlineLevel="0" collapsed="false">
      <c r="A225" s="12" t="n">
        <v>2037.036</v>
      </c>
      <c r="B225" s="13" t="n">
        <f aca="false">A225-$A$2</f>
        <v>11.155</v>
      </c>
      <c r="C225" s="14" t="n">
        <v>447.88</v>
      </c>
      <c r="D225" s="13" t="n">
        <f aca="false">C225*Config!$B$8</f>
        <v>159.806012028624</v>
      </c>
    </row>
    <row r="226" customFormat="false" ht="15" hidden="false" customHeight="false" outlineLevel="0" collapsed="false">
      <c r="A226" s="12" t="n">
        <v>2037.086</v>
      </c>
      <c r="B226" s="13" t="n">
        <f aca="false">A226-$A$2</f>
        <v>11.2049999999999</v>
      </c>
      <c r="C226" s="14" t="n">
        <v>473.3</v>
      </c>
      <c r="D226" s="13" t="n">
        <f aca="false">C226*Config!$B$8</f>
        <v>168.876005834482</v>
      </c>
    </row>
    <row r="227" customFormat="false" ht="15" hidden="false" customHeight="false" outlineLevel="0" collapsed="false">
      <c r="A227" s="12" t="n">
        <v>2037.136</v>
      </c>
      <c r="B227" s="13" t="n">
        <f aca="false">A227-$A$2</f>
        <v>11.2549999999999</v>
      </c>
      <c r="C227" s="14" t="n">
        <v>430.86</v>
      </c>
      <c r="D227" s="13" t="n">
        <f aca="false">C227*Config!$B$8</f>
        <v>153.733183760501</v>
      </c>
    </row>
    <row r="228" customFormat="false" ht="15" hidden="false" customHeight="false" outlineLevel="0" collapsed="false">
      <c r="A228" s="12" t="n">
        <v>2037.186</v>
      </c>
      <c r="B228" s="13" t="n">
        <f aca="false">A228-$A$2</f>
        <v>11.3049999999998</v>
      </c>
      <c r="C228" s="14" t="n">
        <v>454.06</v>
      </c>
      <c r="D228" s="13" t="n">
        <f aca="false">C228*Config!$B$8</f>
        <v>162.011069531386</v>
      </c>
    </row>
    <row r="229" customFormat="false" ht="15" hidden="false" customHeight="false" outlineLevel="0" collapsed="false">
      <c r="A229" s="12" t="n">
        <v>2037.236</v>
      </c>
      <c r="B229" s="13" t="n">
        <f aca="false">A229-$A$2</f>
        <v>11.355</v>
      </c>
      <c r="C229" s="14" t="n">
        <v>458.64</v>
      </c>
      <c r="D229" s="13" t="n">
        <f aca="false">C229*Config!$B$8</f>
        <v>163.645238360294</v>
      </c>
    </row>
    <row r="230" customFormat="false" ht="15" hidden="false" customHeight="false" outlineLevel="0" collapsed="false">
      <c r="A230" s="12" t="n">
        <v>2037.286</v>
      </c>
      <c r="B230" s="13" t="n">
        <f aca="false">A230-$A$2</f>
        <v>11.405</v>
      </c>
      <c r="C230" s="14" t="n">
        <v>456.92</v>
      </c>
      <c r="D230" s="13" t="n">
        <f aca="false">C230*Config!$B$8</f>
        <v>163.0315330359</v>
      </c>
    </row>
    <row r="231" customFormat="false" ht="15" hidden="false" customHeight="false" outlineLevel="0" collapsed="false">
      <c r="A231" s="12" t="n">
        <v>2037.336</v>
      </c>
      <c r="B231" s="13" t="n">
        <f aca="false">A231-$A$2</f>
        <v>11.4549999999999</v>
      </c>
      <c r="C231" s="14" t="n">
        <v>458.83</v>
      </c>
      <c r="D231" s="13" t="n">
        <f aca="false">C231*Config!$B$8</f>
        <v>163.713031390314</v>
      </c>
    </row>
    <row r="232" customFormat="false" ht="15" hidden="false" customHeight="false" outlineLevel="0" collapsed="false">
      <c r="A232" s="12" t="n">
        <v>2037.386</v>
      </c>
      <c r="B232" s="13" t="n">
        <f aca="false">A232-$A$2</f>
        <v>11.5049999999999</v>
      </c>
      <c r="C232" s="14" t="n">
        <v>449.53</v>
      </c>
      <c r="D232" s="13" t="n">
        <f aca="false">C232*Config!$B$8</f>
        <v>160.394740973536</v>
      </c>
    </row>
    <row r="233" customFormat="false" ht="15" hidden="false" customHeight="false" outlineLevel="0" collapsed="false">
      <c r="A233" s="12" t="n">
        <v>2037.436</v>
      </c>
      <c r="B233" s="13" t="n">
        <f aca="false">A233-$A$2</f>
        <v>11.5549999999998</v>
      </c>
      <c r="C233" s="14" t="n">
        <v>449.5</v>
      </c>
      <c r="D233" s="13" t="n">
        <f aca="false">C233*Config!$B$8</f>
        <v>160.384036810902</v>
      </c>
    </row>
    <row r="234" customFormat="false" ht="15" hidden="false" customHeight="false" outlineLevel="0" collapsed="false">
      <c r="A234" s="12" t="n">
        <v>2037.486</v>
      </c>
      <c r="B234" s="13" t="n">
        <f aca="false">A234-$A$2</f>
        <v>11.605</v>
      </c>
      <c r="C234" s="14" t="n">
        <v>459.32</v>
      </c>
      <c r="D234" s="13" t="n">
        <f aca="false">C234*Config!$B$8</f>
        <v>163.887866046682</v>
      </c>
    </row>
    <row r="235" customFormat="false" ht="15" hidden="false" customHeight="false" outlineLevel="0" collapsed="false">
      <c r="A235" s="12" t="n">
        <v>2037.536</v>
      </c>
      <c r="B235" s="13" t="n">
        <f aca="false">A235-$A$2</f>
        <v>11.655</v>
      </c>
      <c r="C235" s="14" t="n">
        <v>457.26</v>
      </c>
      <c r="D235" s="13" t="n">
        <f aca="false">C235*Config!$B$8</f>
        <v>163.152846879094</v>
      </c>
    </row>
    <row r="236" customFormat="false" ht="15" hidden="false" customHeight="false" outlineLevel="0" collapsed="false">
      <c r="A236" s="12" t="n">
        <v>2037.586</v>
      </c>
      <c r="B236" s="13" t="n">
        <f aca="false">A236-$A$2</f>
        <v>11.7049999999999</v>
      </c>
      <c r="C236" s="14" t="n">
        <v>466.96</v>
      </c>
      <c r="D236" s="13" t="n">
        <f aca="false">C236*Config!$B$8</f>
        <v>166.613859464335</v>
      </c>
    </row>
    <row r="237" customFormat="false" ht="15" hidden="false" customHeight="false" outlineLevel="0" collapsed="false">
      <c r="A237" s="12" t="n">
        <v>2037.636</v>
      </c>
      <c r="B237" s="13" t="n">
        <f aca="false">A237-$A$2</f>
        <v>11.7549999999999</v>
      </c>
      <c r="C237" s="14" t="n">
        <v>475.02</v>
      </c>
      <c r="D237" s="13" t="n">
        <f aca="false">C237*Config!$B$8</f>
        <v>169.489711158876</v>
      </c>
    </row>
    <row r="238" customFormat="false" ht="15" hidden="false" customHeight="false" outlineLevel="0" collapsed="false">
      <c r="A238" s="12" t="n">
        <v>2037.686</v>
      </c>
      <c r="B238" s="13" t="n">
        <f aca="false">A238-$A$2</f>
        <v>11.8049999999998</v>
      </c>
      <c r="C238" s="14" t="n">
        <v>451.31</v>
      </c>
      <c r="D238" s="13" t="n">
        <f aca="false">C238*Config!$B$8</f>
        <v>161.029854623199</v>
      </c>
    </row>
    <row r="239" customFormat="false" ht="15" hidden="false" customHeight="false" outlineLevel="0" collapsed="false">
      <c r="A239" s="12" t="n">
        <v>2037.736</v>
      </c>
      <c r="B239" s="13" t="n">
        <f aca="false">A239-$A$2</f>
        <v>11.855</v>
      </c>
      <c r="C239" s="14" t="n">
        <v>451.6</v>
      </c>
      <c r="D239" s="13" t="n">
        <f aca="false">C239*Config!$B$8</f>
        <v>161.133328195335</v>
      </c>
    </row>
    <row r="240" customFormat="false" ht="15" hidden="false" customHeight="false" outlineLevel="0" collapsed="false">
      <c r="A240" s="12" t="n">
        <v>2037.786</v>
      </c>
      <c r="B240" s="13" t="n">
        <f aca="false">A240-$A$2</f>
        <v>11.905</v>
      </c>
      <c r="C240" s="14" t="n">
        <v>451.27</v>
      </c>
      <c r="D240" s="13" t="n">
        <f aca="false">C240*Config!$B$8</f>
        <v>161.015582406353</v>
      </c>
    </row>
    <row r="241" customFormat="false" ht="15" hidden="false" customHeight="false" outlineLevel="0" collapsed="false">
      <c r="A241" s="12" t="n">
        <v>2037.836</v>
      </c>
      <c r="B241" s="13" t="n">
        <f aca="false">A241-$A$2</f>
        <v>11.9549999999999</v>
      </c>
      <c r="C241" s="14" t="n">
        <v>476.52</v>
      </c>
      <c r="D241" s="13" t="n">
        <f aca="false">C241*Config!$B$8</f>
        <v>170.024919290614</v>
      </c>
    </row>
    <row r="242" customFormat="false" ht="15" hidden="false" customHeight="false" outlineLevel="0" collapsed="false">
      <c r="A242" s="12" t="n">
        <v>2037.886</v>
      </c>
      <c r="B242" s="13" t="n">
        <f aca="false">A242-$A$2</f>
        <v>12.0049999999999</v>
      </c>
      <c r="C242" s="14" t="n">
        <v>454.1</v>
      </c>
      <c r="D242" s="13" t="n">
        <f aca="false">C242*Config!$B$8</f>
        <v>162.025341748232</v>
      </c>
    </row>
    <row r="243" customFormat="false" ht="15" hidden="false" customHeight="false" outlineLevel="0" collapsed="false">
      <c r="A243" s="12" t="n">
        <v>2037.936</v>
      </c>
      <c r="B243" s="13" t="n">
        <f aca="false">A243-$A$2</f>
        <v>12.0549999999998</v>
      </c>
      <c r="C243" s="14" t="n">
        <v>445.81</v>
      </c>
      <c r="D243" s="13" t="n">
        <f aca="false">C243*Config!$B$8</f>
        <v>159.067424806826</v>
      </c>
    </row>
    <row r="244" customFormat="false" ht="15" hidden="false" customHeight="false" outlineLevel="0" collapsed="false">
      <c r="A244" s="12" t="n">
        <v>2037.986</v>
      </c>
      <c r="B244" s="13" t="n">
        <f aca="false">A244-$A$2</f>
        <v>12.105</v>
      </c>
      <c r="C244" s="14" t="n">
        <v>478.21</v>
      </c>
      <c r="D244" s="13" t="n">
        <f aca="false">C244*Config!$B$8</f>
        <v>170.627920452372</v>
      </c>
    </row>
    <row r="245" customFormat="false" ht="15" hidden="false" customHeight="false" outlineLevel="0" collapsed="false">
      <c r="A245" s="12" t="n">
        <v>2038.036</v>
      </c>
      <c r="B245" s="13" t="n">
        <f aca="false">A245-$A$2</f>
        <v>12.155</v>
      </c>
      <c r="C245" s="14" t="n">
        <v>450.35</v>
      </c>
      <c r="D245" s="13" t="n">
        <f aca="false">C245*Config!$B$8</f>
        <v>160.687321418887</v>
      </c>
    </row>
    <row r="246" customFormat="false" ht="15" hidden="false" customHeight="false" outlineLevel="0" collapsed="false">
      <c r="A246" s="12" t="n">
        <v>2038.086</v>
      </c>
      <c r="B246" s="13" t="n">
        <f aca="false">A246-$A$2</f>
        <v>12.2049999999999</v>
      </c>
      <c r="C246" s="14" t="n">
        <v>466.57</v>
      </c>
      <c r="D246" s="13" t="n">
        <f aca="false">C246*Config!$B$8</f>
        <v>166.474705350083</v>
      </c>
    </row>
    <row r="247" customFormat="false" ht="15" hidden="false" customHeight="false" outlineLevel="0" collapsed="false">
      <c r="A247" s="12" t="n">
        <v>2038.136</v>
      </c>
      <c r="B247" s="13" t="n">
        <f aca="false">A247-$A$2</f>
        <v>12.2549999999999</v>
      </c>
      <c r="C247" s="14" t="n">
        <v>454.33</v>
      </c>
      <c r="D247" s="13" t="n">
        <f aca="false">C247*Config!$B$8</f>
        <v>162.107406995099</v>
      </c>
    </row>
    <row r="248" customFormat="false" ht="15" hidden="false" customHeight="false" outlineLevel="0" collapsed="false">
      <c r="A248" s="12" t="n">
        <v>2038.187</v>
      </c>
      <c r="B248" s="13" t="n">
        <f aca="false">A248-$A$2</f>
        <v>12.3059999999998</v>
      </c>
      <c r="C248" s="14" t="n">
        <v>455.65</v>
      </c>
      <c r="D248" s="13" t="n">
        <f aca="false">C248*Config!$B$8</f>
        <v>162.578390151029</v>
      </c>
    </row>
    <row r="249" customFormat="false" ht="15" hidden="false" customHeight="false" outlineLevel="0" collapsed="false">
      <c r="A249" s="12" t="n">
        <v>2038.237</v>
      </c>
      <c r="B249" s="13" t="n">
        <f aca="false">A249-$A$2</f>
        <v>12.356</v>
      </c>
      <c r="C249" s="14" t="n">
        <v>448.95</v>
      </c>
      <c r="D249" s="13" t="n">
        <f aca="false">C249*Config!$B$8</f>
        <v>160.187793829264</v>
      </c>
    </row>
    <row r="250" customFormat="false" ht="15" hidden="false" customHeight="false" outlineLevel="0" collapsed="false">
      <c r="A250" s="12" t="n">
        <v>2038.287</v>
      </c>
      <c r="B250" s="13" t="n">
        <f aca="false">A250-$A$2</f>
        <v>12.4059999999999</v>
      </c>
      <c r="C250" s="14" t="n">
        <v>428.69</v>
      </c>
      <c r="D250" s="13" t="n">
        <f aca="false">C250*Config!$B$8</f>
        <v>152.958915996586</v>
      </c>
    </row>
    <row r="251" customFormat="false" ht="15" hidden="false" customHeight="false" outlineLevel="0" collapsed="false">
      <c r="A251" s="12" t="n">
        <v>2038.337</v>
      </c>
      <c r="B251" s="13" t="n">
        <f aca="false">A251-$A$2</f>
        <v>12.4559999999999</v>
      </c>
      <c r="C251" s="14" t="n">
        <v>447.93</v>
      </c>
      <c r="D251" s="13" t="n">
        <f aca="false">C251*Config!$B$8</f>
        <v>159.823852299682</v>
      </c>
    </row>
    <row r="252" customFormat="false" ht="15" hidden="false" customHeight="false" outlineLevel="0" collapsed="false">
      <c r="A252" s="12" t="n">
        <v>2038.387</v>
      </c>
      <c r="B252" s="13" t="n">
        <f aca="false">A252-$A$2</f>
        <v>12.5059999999999</v>
      </c>
      <c r="C252" s="14" t="n">
        <v>464.37</v>
      </c>
      <c r="D252" s="13" t="n">
        <f aca="false">C252*Config!$B$8</f>
        <v>165.689733423534</v>
      </c>
    </row>
    <row r="253" customFormat="false" ht="15" hidden="false" customHeight="false" outlineLevel="0" collapsed="false">
      <c r="A253" s="12" t="n">
        <v>2038.437</v>
      </c>
      <c r="B253" s="13" t="n">
        <f aca="false">A253-$A$2</f>
        <v>12.5559999999998</v>
      </c>
      <c r="C253" s="14" t="n">
        <v>464.59</v>
      </c>
      <c r="D253" s="13" t="n">
        <f aca="false">C253*Config!$B$8</f>
        <v>165.768230616189</v>
      </c>
    </row>
    <row r="254" customFormat="false" ht="15" hidden="false" customHeight="false" outlineLevel="0" collapsed="false">
      <c r="A254" s="12" t="n">
        <v>2038.487</v>
      </c>
      <c r="B254" s="13" t="n">
        <f aca="false">A254-$A$2</f>
        <v>12.606</v>
      </c>
      <c r="C254" s="14" t="n">
        <v>452.38</v>
      </c>
      <c r="D254" s="13" t="n">
        <f aca="false">C254*Config!$B$8</f>
        <v>161.411636423839</v>
      </c>
    </row>
    <row r="255" customFormat="false" ht="15" hidden="false" customHeight="false" outlineLevel="0" collapsed="false">
      <c r="A255" s="12" t="n">
        <v>2038.537</v>
      </c>
      <c r="B255" s="13" t="n">
        <f aca="false">A255-$A$2</f>
        <v>12.6559999999999</v>
      </c>
      <c r="C255" s="14" t="n">
        <v>455.25</v>
      </c>
      <c r="D255" s="13" t="n">
        <f aca="false">C255*Config!$B$8</f>
        <v>162.435667982565</v>
      </c>
    </row>
    <row r="256" customFormat="false" ht="15" hidden="false" customHeight="false" outlineLevel="0" collapsed="false">
      <c r="A256" s="12" t="n">
        <v>2038.587</v>
      </c>
      <c r="B256" s="13" t="n">
        <f aca="false">A256-$A$2</f>
        <v>12.7059999999999</v>
      </c>
      <c r="C256" s="14" t="n">
        <v>487.93</v>
      </c>
      <c r="D256" s="13" t="n">
        <f aca="false">C256*Config!$B$8</f>
        <v>174.096069146036</v>
      </c>
    </row>
    <row r="257" customFormat="false" ht="15" hidden="false" customHeight="false" outlineLevel="0" collapsed="false">
      <c r="A257" s="12" t="n">
        <v>2038.637</v>
      </c>
      <c r="B257" s="13" t="n">
        <f aca="false">A257-$A$2</f>
        <v>12.7559999999999</v>
      </c>
      <c r="C257" s="14" t="n">
        <v>448.3</v>
      </c>
      <c r="D257" s="13" t="n">
        <f aca="false">C257*Config!$B$8</f>
        <v>159.955870305511</v>
      </c>
    </row>
    <row r="258" customFormat="false" ht="15" hidden="false" customHeight="false" outlineLevel="0" collapsed="false">
      <c r="A258" s="12" t="n">
        <v>2038.687</v>
      </c>
      <c r="B258" s="13" t="n">
        <f aca="false">A258-$A$2</f>
        <v>12.8059999999998</v>
      </c>
      <c r="C258" s="14" t="n">
        <v>450.09</v>
      </c>
      <c r="D258" s="13" t="n">
        <f aca="false">C258*Config!$B$8</f>
        <v>160.594552009385</v>
      </c>
    </row>
    <row r="259" customFormat="false" ht="15" hidden="false" customHeight="false" outlineLevel="0" collapsed="false">
      <c r="A259" s="12" t="n">
        <v>2038.737</v>
      </c>
      <c r="B259" s="13" t="n">
        <f aca="false">A259-$A$2</f>
        <v>12.856</v>
      </c>
      <c r="C259" s="14" t="n">
        <v>468.02</v>
      </c>
      <c r="D259" s="13" t="n">
        <f aca="false">C259*Config!$B$8</f>
        <v>166.992073210764</v>
      </c>
    </row>
    <row r="260" customFormat="false" ht="15" hidden="false" customHeight="false" outlineLevel="0" collapsed="false">
      <c r="A260" s="12" t="n">
        <v>2038.787</v>
      </c>
      <c r="B260" s="13" t="n">
        <f aca="false">A260-$A$2</f>
        <v>12.9059999999999</v>
      </c>
      <c r="C260" s="14" t="n">
        <v>456.42</v>
      </c>
      <c r="D260" s="13" t="n">
        <f aca="false">C260*Config!$B$8</f>
        <v>162.853130325321</v>
      </c>
    </row>
    <row r="261" customFormat="false" ht="15" hidden="false" customHeight="false" outlineLevel="0" collapsed="false">
      <c r="A261" s="12" t="n">
        <v>2038.837</v>
      </c>
      <c r="B261" s="13" t="n">
        <f aca="false">A261-$A$2</f>
        <v>12.9559999999999</v>
      </c>
      <c r="C261" s="14" t="n">
        <v>461.05</v>
      </c>
      <c r="D261" s="13" t="n">
        <f aca="false">C261*Config!$B$8</f>
        <v>164.505139425286</v>
      </c>
    </row>
    <row r="262" customFormat="false" ht="15" hidden="false" customHeight="false" outlineLevel="0" collapsed="false">
      <c r="A262" s="12" t="n">
        <v>2038.887</v>
      </c>
      <c r="B262" s="13" t="n">
        <f aca="false">A262-$A$2</f>
        <v>13.0059999999999</v>
      </c>
      <c r="C262" s="14" t="n">
        <v>463.32</v>
      </c>
      <c r="D262" s="13" t="n">
        <f aca="false">C262*Config!$B$8</f>
        <v>165.315087731317</v>
      </c>
    </row>
    <row r="263" customFormat="false" ht="15" hidden="false" customHeight="false" outlineLevel="0" collapsed="false">
      <c r="A263" s="12" t="n">
        <v>2038.937</v>
      </c>
      <c r="B263" s="13" t="n">
        <f aca="false">A263-$A$2</f>
        <v>13.0559999999998</v>
      </c>
      <c r="C263" s="14" t="n">
        <v>466.86</v>
      </c>
      <c r="D263" s="13" t="n">
        <f aca="false">C263*Config!$B$8</f>
        <v>166.578178922219</v>
      </c>
    </row>
    <row r="264" customFormat="false" ht="15" hidden="false" customHeight="false" outlineLevel="0" collapsed="false">
      <c r="A264" s="12" t="n">
        <v>2038.987</v>
      </c>
      <c r="B264" s="13" t="n">
        <f aca="false">A264-$A$2</f>
        <v>13.106</v>
      </c>
      <c r="C264" s="14" t="n">
        <v>463.26</v>
      </c>
      <c r="D264" s="13" t="n">
        <f aca="false">C264*Config!$B$8</f>
        <v>165.293679406047</v>
      </c>
    </row>
    <row r="265" customFormat="false" ht="15" hidden="false" customHeight="false" outlineLevel="0" collapsed="false">
      <c r="A265" s="12" t="n">
        <v>2039.037</v>
      </c>
      <c r="B265" s="13" t="n">
        <f aca="false">A265-$A$2</f>
        <v>13.1559999999999</v>
      </c>
      <c r="C265" s="14" t="n">
        <v>481.61</v>
      </c>
      <c r="D265" s="13" t="n">
        <f aca="false">C265*Config!$B$8</f>
        <v>171.841058884312</v>
      </c>
    </row>
    <row r="266" customFormat="false" ht="15" hidden="false" customHeight="false" outlineLevel="0" collapsed="false">
      <c r="A266" s="12" t="n">
        <v>2039.087</v>
      </c>
      <c r="B266" s="13" t="n">
        <f aca="false">A266-$A$2</f>
        <v>13.2059999999999</v>
      </c>
      <c r="C266" s="14" t="n">
        <v>478.38</v>
      </c>
      <c r="D266" s="13" t="n">
        <f aca="false">C266*Config!$B$8</f>
        <v>170.688577373969</v>
      </c>
    </row>
    <row r="267" customFormat="false" ht="15" hidden="false" customHeight="false" outlineLevel="0" collapsed="false">
      <c r="A267" s="12" t="n">
        <v>2039.137</v>
      </c>
      <c r="B267" s="13" t="n">
        <f aca="false">A267-$A$2</f>
        <v>13.2559999999999</v>
      </c>
      <c r="C267" s="14" t="n">
        <v>464.67</v>
      </c>
      <c r="D267" s="13" t="n">
        <f aca="false">C267*Config!$B$8</f>
        <v>165.796775049881</v>
      </c>
    </row>
    <row r="268" customFormat="false" ht="15" hidden="false" customHeight="false" outlineLevel="0" collapsed="false">
      <c r="A268" s="12" t="n">
        <v>2039.187</v>
      </c>
      <c r="B268" s="13" t="n">
        <f aca="false">A268-$A$2</f>
        <v>13.3059999999998</v>
      </c>
      <c r="C268" s="14" t="n">
        <v>466.99</v>
      </c>
      <c r="D268" s="13" t="n">
        <f aca="false">C268*Config!$B$8</f>
        <v>166.62456362697</v>
      </c>
    </row>
    <row r="269" customFormat="false" ht="15" hidden="false" customHeight="false" outlineLevel="0" collapsed="false">
      <c r="A269" s="12" t="n">
        <v>2039.237</v>
      </c>
      <c r="B269" s="13" t="n">
        <f aca="false">A269-$A$2</f>
        <v>13.356</v>
      </c>
      <c r="C269" s="14" t="n">
        <v>464.15</v>
      </c>
      <c r="D269" s="13" t="n">
        <f aca="false">C269*Config!$B$8</f>
        <v>165.611236230879</v>
      </c>
    </row>
    <row r="270" customFormat="false" ht="15" hidden="false" customHeight="false" outlineLevel="0" collapsed="false">
      <c r="A270" s="12" t="n">
        <v>2039.287</v>
      </c>
      <c r="B270" s="13" t="n">
        <f aca="false">A270-$A$2</f>
        <v>13.4059999999999</v>
      </c>
      <c r="C270" s="14" t="n">
        <v>458.04</v>
      </c>
      <c r="D270" s="13" t="n">
        <f aca="false">C270*Config!$B$8</f>
        <v>163.431155107598</v>
      </c>
    </row>
    <row r="271" customFormat="false" ht="15" hidden="false" customHeight="false" outlineLevel="0" collapsed="false">
      <c r="A271" s="12" t="n">
        <v>2039.337</v>
      </c>
      <c r="B271" s="13" t="n">
        <f aca="false">A271-$A$2</f>
        <v>13.4559999999999</v>
      </c>
      <c r="C271" s="14" t="n">
        <v>446.26</v>
      </c>
      <c r="D271" s="13" t="n">
        <f aca="false">C271*Config!$B$8</f>
        <v>159.227987246347</v>
      </c>
    </row>
    <row r="272" customFormat="false" ht="15" hidden="false" customHeight="false" outlineLevel="0" collapsed="false">
      <c r="A272" s="12" t="n">
        <v>2039.387</v>
      </c>
      <c r="B272" s="13" t="n">
        <f aca="false">A272-$A$2</f>
        <v>13.5059999999999</v>
      </c>
      <c r="C272" s="14" t="n">
        <v>452.69</v>
      </c>
      <c r="D272" s="13" t="n">
        <f aca="false">C272*Config!$B$8</f>
        <v>161.522246104398</v>
      </c>
    </row>
    <row r="273" customFormat="false" ht="15" hidden="false" customHeight="false" outlineLevel="0" collapsed="false">
      <c r="A273" s="12" t="n">
        <v>2039.437</v>
      </c>
      <c r="B273" s="13" t="n">
        <f aca="false">A273-$A$2</f>
        <v>13.5559999999998</v>
      </c>
      <c r="C273" s="14" t="n">
        <v>461.87</v>
      </c>
      <c r="D273" s="13" t="n">
        <f aca="false">C273*Config!$B$8</f>
        <v>164.797719870637</v>
      </c>
    </row>
    <row r="274" customFormat="false" ht="15" hidden="false" customHeight="false" outlineLevel="0" collapsed="false">
      <c r="A274" s="12" t="n">
        <v>2039.487</v>
      </c>
      <c r="B274" s="13" t="n">
        <f aca="false">A274-$A$2</f>
        <v>13.606</v>
      </c>
      <c r="C274" s="14" t="n">
        <v>450.36</v>
      </c>
      <c r="D274" s="13" t="n">
        <f aca="false">C274*Config!$B$8</f>
        <v>160.690889473098</v>
      </c>
    </row>
    <row r="275" customFormat="false" ht="15" hidden="false" customHeight="false" outlineLevel="0" collapsed="false">
      <c r="A275" s="12" t="n">
        <v>2039.537</v>
      </c>
      <c r="B275" s="13" t="n">
        <f aca="false">A275-$A$2</f>
        <v>13.6559999999999</v>
      </c>
      <c r="C275" s="14" t="n">
        <v>472.68</v>
      </c>
      <c r="D275" s="13" t="n">
        <f aca="false">C275*Config!$B$8</f>
        <v>168.654786473364</v>
      </c>
    </row>
    <row r="276" customFormat="false" ht="15" hidden="false" customHeight="false" outlineLevel="0" collapsed="false">
      <c r="A276" s="12" t="n">
        <v>2039.587</v>
      </c>
      <c r="B276" s="13" t="n">
        <f aca="false">A276-$A$2</f>
        <v>13.7059999999999</v>
      </c>
      <c r="C276" s="14" t="n">
        <v>441.19</v>
      </c>
      <c r="D276" s="13" t="n">
        <f aca="false">C276*Config!$B$8</f>
        <v>157.418983761072</v>
      </c>
    </row>
    <row r="277" customFormat="false" ht="15" hidden="false" customHeight="false" outlineLevel="0" collapsed="false">
      <c r="A277" s="12" t="n">
        <v>2039.638</v>
      </c>
      <c r="B277" s="13" t="n">
        <f aca="false">A277-$A$2</f>
        <v>13.7569999999998</v>
      </c>
      <c r="C277" s="14" t="n">
        <v>457.68</v>
      </c>
      <c r="D277" s="13" t="n">
        <f aca="false">C277*Config!$B$8</f>
        <v>163.302705155981</v>
      </c>
    </row>
    <row r="278" customFormat="false" ht="15" hidden="false" customHeight="false" outlineLevel="0" collapsed="false">
      <c r="A278" s="12" t="n">
        <v>2039.688</v>
      </c>
      <c r="B278" s="13" t="n">
        <f aca="false">A278-$A$2</f>
        <v>13.807</v>
      </c>
      <c r="C278" s="14" t="n">
        <v>450.27</v>
      </c>
      <c r="D278" s="13" t="n">
        <f aca="false">C278*Config!$B$8</f>
        <v>160.658776985194</v>
      </c>
    </row>
    <row r="279" customFormat="false" ht="15" hidden="false" customHeight="false" outlineLevel="0" collapsed="false">
      <c r="A279" s="12" t="n">
        <v>2039.738</v>
      </c>
      <c r="B279" s="13" t="n">
        <f aca="false">A279-$A$2</f>
        <v>13.857</v>
      </c>
      <c r="C279" s="14" t="n">
        <v>443.6</v>
      </c>
      <c r="D279" s="13" t="n">
        <f aca="false">C279*Config!$B$8</f>
        <v>158.278884826065</v>
      </c>
    </row>
    <row r="280" customFormat="false" ht="15" hidden="false" customHeight="false" outlineLevel="0" collapsed="false">
      <c r="A280" s="12" t="n">
        <v>2039.788</v>
      </c>
      <c r="B280" s="13" t="n">
        <f aca="false">A280-$A$2</f>
        <v>13.9069999999999</v>
      </c>
      <c r="C280" s="14" t="n">
        <v>453.31</v>
      </c>
      <c r="D280" s="13" t="n">
        <f aca="false">C280*Config!$B$8</f>
        <v>161.743465465517</v>
      </c>
    </row>
    <row r="281" customFormat="false" ht="15" hidden="false" customHeight="false" outlineLevel="0" collapsed="false">
      <c r="A281" s="12" t="n">
        <v>2039.838</v>
      </c>
      <c r="B281" s="13" t="n">
        <f aca="false">A281-$A$2</f>
        <v>13.9569999999999</v>
      </c>
      <c r="C281" s="14" t="n">
        <v>440.06</v>
      </c>
      <c r="D281" s="13" t="n">
        <f aca="false">C281*Config!$B$8</f>
        <v>157.015793635162</v>
      </c>
    </row>
    <row r="282" customFormat="false" ht="15" hidden="false" customHeight="false" outlineLevel="0" collapsed="false">
      <c r="A282" s="12" t="n">
        <v>2039.888</v>
      </c>
      <c r="B282" s="13" t="n">
        <f aca="false">A282-$A$2</f>
        <v>14.0069999999998</v>
      </c>
      <c r="C282" s="14" t="n">
        <v>463.14</v>
      </c>
      <c r="D282" s="13" t="n">
        <f aca="false">C282*Config!$B$8</f>
        <v>165.250862755508</v>
      </c>
    </row>
    <row r="283" customFormat="false" ht="15" hidden="false" customHeight="false" outlineLevel="0" collapsed="false">
      <c r="A283" s="12" t="n">
        <v>2039.938</v>
      </c>
      <c r="B283" s="13" t="n">
        <f aca="false">A283-$A$2</f>
        <v>14.057</v>
      </c>
      <c r="C283" s="14" t="n">
        <v>446.58</v>
      </c>
      <c r="D283" s="13" t="n">
        <f aca="false">C283*Config!$B$8</f>
        <v>159.342164981118</v>
      </c>
    </row>
    <row r="284" customFormat="false" ht="15" hidden="false" customHeight="false" outlineLevel="0" collapsed="false">
      <c r="A284" s="12" t="n">
        <v>2039.988</v>
      </c>
      <c r="B284" s="13" t="n">
        <f aca="false">A284-$A$2</f>
        <v>14.107</v>
      </c>
      <c r="C284" s="14" t="n">
        <v>438.36</v>
      </c>
      <c r="D284" s="13" t="n">
        <f aca="false">C284*Config!$B$8</f>
        <v>156.409224419192</v>
      </c>
    </row>
    <row r="285" customFormat="false" ht="15" hidden="false" customHeight="false" outlineLevel="0" collapsed="false">
      <c r="A285" s="12" t="n">
        <v>2040.038</v>
      </c>
      <c r="B285" s="13" t="n">
        <f aca="false">A285-$A$2</f>
        <v>14.1569999999999</v>
      </c>
      <c r="C285" s="14" t="n">
        <v>433.47</v>
      </c>
      <c r="D285" s="13" t="n">
        <f aca="false">C285*Config!$B$8</f>
        <v>154.664445909725</v>
      </c>
    </row>
    <row r="286" customFormat="false" ht="15" hidden="false" customHeight="false" outlineLevel="0" collapsed="false">
      <c r="A286" s="12" t="n">
        <v>2040.088</v>
      </c>
      <c r="B286" s="13" t="n">
        <f aca="false">A286-$A$2</f>
        <v>14.2069999999999</v>
      </c>
      <c r="C286" s="14" t="n">
        <v>462.39</v>
      </c>
      <c r="D286" s="13" t="n">
        <f aca="false">C286*Config!$B$8</f>
        <v>164.983258689639</v>
      </c>
    </row>
    <row r="287" customFormat="false" ht="15" hidden="false" customHeight="false" outlineLevel="0" collapsed="false">
      <c r="A287" s="12" t="n">
        <v>2040.138</v>
      </c>
      <c r="B287" s="13" t="n">
        <f aca="false">A287-$A$2</f>
        <v>14.2569999999998</v>
      </c>
      <c r="C287" s="14" t="n">
        <v>451.61</v>
      </c>
      <c r="D287" s="13" t="n">
        <f aca="false">C287*Config!$B$8</f>
        <v>161.136896249547</v>
      </c>
    </row>
    <row r="288" customFormat="false" ht="15" hidden="false" customHeight="false" outlineLevel="0" collapsed="false">
      <c r="A288" s="12" t="n">
        <v>2040.188</v>
      </c>
      <c r="B288" s="13" t="n">
        <f aca="false">A288-$A$2</f>
        <v>14.307</v>
      </c>
      <c r="C288" s="14" t="n">
        <v>453.33</v>
      </c>
      <c r="D288" s="13" t="n">
        <f aca="false">C288*Config!$B$8</f>
        <v>161.75060157394</v>
      </c>
    </row>
    <row r="289" customFormat="false" ht="15" hidden="false" customHeight="false" outlineLevel="0" collapsed="false">
      <c r="A289" s="12" t="n">
        <v>2040.238</v>
      </c>
      <c r="B289" s="13" t="n">
        <f aca="false">A289-$A$2</f>
        <v>14.357</v>
      </c>
      <c r="C289" s="14" t="n">
        <v>477.41</v>
      </c>
      <c r="D289" s="13" t="n">
        <f aca="false">C289*Config!$B$8</f>
        <v>170.342476115445</v>
      </c>
    </row>
    <row r="290" customFormat="false" ht="15" hidden="false" customHeight="false" outlineLevel="0" collapsed="false">
      <c r="A290" s="12" t="n">
        <v>2040.288</v>
      </c>
      <c r="B290" s="13" t="n">
        <f aca="false">A290-$A$2</f>
        <v>14.4069999999999</v>
      </c>
      <c r="C290" s="14" t="n">
        <v>467.29</v>
      </c>
      <c r="D290" s="13" t="n">
        <f aca="false">C290*Config!$B$8</f>
        <v>166.731605253318</v>
      </c>
    </row>
    <row r="291" customFormat="false" ht="15" hidden="false" customHeight="false" outlineLevel="0" collapsed="false">
      <c r="A291" s="12" t="n">
        <v>2040.338</v>
      </c>
      <c r="B291" s="13" t="n">
        <f aca="false">A291-$A$2</f>
        <v>14.4569999999999</v>
      </c>
      <c r="C291" s="14" t="n">
        <v>458.15</v>
      </c>
      <c r="D291" s="13" t="n">
        <f aca="false">C291*Config!$B$8</f>
        <v>163.470403703926</v>
      </c>
    </row>
    <row r="292" customFormat="false" ht="15" hidden="false" customHeight="false" outlineLevel="0" collapsed="false">
      <c r="A292" s="12" t="n">
        <v>2040.388</v>
      </c>
      <c r="B292" s="13" t="n">
        <f aca="false">A292-$A$2</f>
        <v>14.5069999999998</v>
      </c>
      <c r="C292" s="14" t="n">
        <v>455.51</v>
      </c>
      <c r="D292" s="13" t="n">
        <f aca="false">C292*Config!$B$8</f>
        <v>162.528437392066</v>
      </c>
    </row>
    <row r="293" customFormat="false" ht="15" hidden="false" customHeight="false" outlineLevel="0" collapsed="false">
      <c r="A293" s="12" t="n">
        <v>2040.438</v>
      </c>
      <c r="B293" s="13" t="n">
        <f aca="false">A293-$A$2</f>
        <v>14.557</v>
      </c>
      <c r="C293" s="14" t="n">
        <v>453.8</v>
      </c>
      <c r="D293" s="13" t="n">
        <f aca="false">C293*Config!$B$8</f>
        <v>161.918300121885</v>
      </c>
    </row>
    <row r="294" customFormat="false" ht="15" hidden="false" customHeight="false" outlineLevel="0" collapsed="false">
      <c r="A294" s="12" t="n">
        <v>2040.488</v>
      </c>
      <c r="B294" s="13" t="n">
        <f aca="false">A294-$A$2</f>
        <v>14.607</v>
      </c>
      <c r="C294" s="14" t="n">
        <v>449.78</v>
      </c>
      <c r="D294" s="13" t="n">
        <f aca="false">C294*Config!$B$8</f>
        <v>160.483942328826</v>
      </c>
    </row>
    <row r="295" customFormat="false" ht="15" hidden="false" customHeight="false" outlineLevel="0" collapsed="false">
      <c r="A295" s="12" t="n">
        <v>2040.538</v>
      </c>
      <c r="B295" s="13" t="n">
        <f aca="false">A295-$A$2</f>
        <v>14.6569999999999</v>
      </c>
      <c r="C295" s="14" t="n">
        <v>459.88</v>
      </c>
      <c r="D295" s="13" t="n">
        <f aca="false">C295*Config!$B$8</f>
        <v>164.087677082531</v>
      </c>
    </row>
    <row r="296" customFormat="false" ht="15" hidden="false" customHeight="false" outlineLevel="0" collapsed="false">
      <c r="A296" s="12" t="n">
        <v>2040.588</v>
      </c>
      <c r="B296" s="13" t="n">
        <f aca="false">A296-$A$2</f>
        <v>14.7069999999999</v>
      </c>
      <c r="C296" s="14" t="n">
        <v>459.55</v>
      </c>
      <c r="D296" s="13" t="n">
        <f aca="false">C296*Config!$B$8</f>
        <v>163.969931293548</v>
      </c>
    </row>
    <row r="297" customFormat="false" ht="15" hidden="false" customHeight="false" outlineLevel="0" collapsed="false">
      <c r="A297" s="12" t="n">
        <v>2040.638</v>
      </c>
      <c r="B297" s="13" t="n">
        <f aca="false">A297-$A$2</f>
        <v>14.7569999999998</v>
      </c>
      <c r="C297" s="14" t="n">
        <v>467.9</v>
      </c>
      <c r="D297" s="13" t="n">
        <f aca="false">C297*Config!$B$8</f>
        <v>166.949256560225</v>
      </c>
    </row>
    <row r="298" customFormat="false" ht="15" hidden="false" customHeight="false" outlineLevel="0" collapsed="false">
      <c r="A298" s="12" t="n">
        <v>2040.688</v>
      </c>
      <c r="B298" s="13" t="n">
        <f aca="false">A298-$A$2</f>
        <v>14.807</v>
      </c>
      <c r="C298" s="14" t="n">
        <v>467.89</v>
      </c>
      <c r="D298" s="13" t="n">
        <f aca="false">C298*Config!$B$8</f>
        <v>166.945688506013</v>
      </c>
    </row>
    <row r="299" customFormat="false" ht="15" hidden="false" customHeight="false" outlineLevel="0" collapsed="false">
      <c r="A299" s="12" t="n">
        <v>2040.738</v>
      </c>
      <c r="B299" s="13" t="n">
        <f aca="false">A299-$A$2</f>
        <v>14.857</v>
      </c>
      <c r="C299" s="14" t="n">
        <v>457.95</v>
      </c>
      <c r="D299" s="13" t="n">
        <f aca="false">C299*Config!$B$8</f>
        <v>163.399042619694</v>
      </c>
    </row>
    <row r="300" customFormat="false" ht="15" hidden="false" customHeight="false" outlineLevel="0" collapsed="false">
      <c r="A300" s="12" t="n">
        <v>2040.788</v>
      </c>
      <c r="B300" s="13" t="n">
        <f aca="false">A300-$A$2</f>
        <v>14.9069999999999</v>
      </c>
      <c r="C300" s="14" t="n">
        <v>464.06</v>
      </c>
      <c r="D300" s="13" t="n">
        <f aca="false">C300*Config!$B$8</f>
        <v>165.579123742975</v>
      </c>
    </row>
    <row r="301" customFormat="false" ht="15" hidden="false" customHeight="false" outlineLevel="0" collapsed="false">
      <c r="A301" s="12" t="n">
        <v>2040.838</v>
      </c>
      <c r="B301" s="13" t="n">
        <f aca="false">A301-$A$2</f>
        <v>14.9569999999999</v>
      </c>
      <c r="C301" s="14" t="n">
        <v>474.25</v>
      </c>
      <c r="D301" s="13" t="n">
        <f aca="false">C301*Config!$B$8</f>
        <v>169.214970984583</v>
      </c>
    </row>
    <row r="302" customFormat="false" ht="15" hidden="false" customHeight="false" outlineLevel="0" collapsed="false">
      <c r="A302" s="12" t="n">
        <v>2040.888</v>
      </c>
      <c r="B302" s="13" t="n">
        <f aca="false">A302-$A$2</f>
        <v>15.0069999999998</v>
      </c>
      <c r="C302" s="14" t="n">
        <v>468.84</v>
      </c>
      <c r="D302" s="13" t="n">
        <f aca="false">C302*Config!$B$8</f>
        <v>167.284653656114</v>
      </c>
    </row>
    <row r="303" customFormat="false" ht="15" hidden="false" customHeight="false" outlineLevel="0" collapsed="false">
      <c r="A303" s="12" t="n">
        <v>2040.938</v>
      </c>
      <c r="B303" s="13" t="n">
        <f aca="false">A303-$A$2</f>
        <v>15.057</v>
      </c>
      <c r="C303" s="14" t="n">
        <v>456.53</v>
      </c>
      <c r="D303" s="13" t="n">
        <f aca="false">C303*Config!$B$8</f>
        <v>162.892378921648</v>
      </c>
    </row>
    <row r="304" customFormat="false" ht="15" hidden="false" customHeight="false" outlineLevel="0" collapsed="false">
      <c r="A304" s="12" t="n">
        <v>2040.988</v>
      </c>
      <c r="B304" s="13" t="n">
        <f aca="false">A304-$A$2</f>
        <v>15.107</v>
      </c>
      <c r="C304" s="14" t="n">
        <v>455.62</v>
      </c>
      <c r="D304" s="13" t="n">
        <f aca="false">C304*Config!$B$8</f>
        <v>162.567685988394</v>
      </c>
    </row>
    <row r="305" customFormat="false" ht="15" hidden="false" customHeight="false" outlineLevel="0" collapsed="false">
      <c r="A305" s="12" t="n">
        <v>2041.038</v>
      </c>
      <c r="B305" s="13" t="n">
        <f aca="false">A305-$A$2</f>
        <v>15.1569999999999</v>
      </c>
      <c r="C305" s="14" t="n">
        <v>473.59</v>
      </c>
      <c r="D305" s="13" t="n">
        <f aca="false">C305*Config!$B$8</f>
        <v>168.979479406618</v>
      </c>
    </row>
    <row r="306" customFormat="false" ht="15" hidden="false" customHeight="false" outlineLevel="0" collapsed="false">
      <c r="A306" s="12" t="n">
        <v>2041.088</v>
      </c>
      <c r="B306" s="13" t="n">
        <f aca="false">A306-$A$2</f>
        <v>15.2069999999999</v>
      </c>
      <c r="C306" s="14" t="n">
        <v>450.33</v>
      </c>
      <c r="D306" s="13" t="n">
        <f aca="false">C306*Config!$B$8</f>
        <v>160.680185310464</v>
      </c>
    </row>
    <row r="307" customFormat="false" ht="15" hidden="false" customHeight="false" outlineLevel="0" collapsed="false">
      <c r="A307" s="12" t="n">
        <v>2041.138</v>
      </c>
      <c r="B307" s="13" t="n">
        <f aca="false">A307-$A$2</f>
        <v>15.2569999999998</v>
      </c>
      <c r="C307" s="14" t="n">
        <v>464.98</v>
      </c>
      <c r="D307" s="13" t="n">
        <f aca="false">C307*Config!$B$8</f>
        <v>165.907384730441</v>
      </c>
    </row>
    <row r="308" customFormat="false" ht="15" hidden="false" customHeight="false" outlineLevel="0" collapsed="false">
      <c r="A308" s="12" t="n">
        <v>2041.188</v>
      </c>
      <c r="B308" s="13" t="n">
        <f aca="false">A308-$A$2</f>
        <v>15.307</v>
      </c>
      <c r="C308" s="14" t="n">
        <v>468.33</v>
      </c>
      <c r="D308" s="13" t="n">
        <f aca="false">C308*Config!$B$8</f>
        <v>167.102682891323</v>
      </c>
    </row>
    <row r="309" customFormat="false" ht="15" hidden="false" customHeight="false" outlineLevel="0" collapsed="false">
      <c r="A309" s="12" t="n">
        <v>2041.238</v>
      </c>
      <c r="B309" s="13" t="n">
        <f aca="false">A309-$A$2</f>
        <v>15.357</v>
      </c>
      <c r="C309" s="14" t="n">
        <v>457.26</v>
      </c>
      <c r="D309" s="13" t="n">
        <f aca="false">C309*Config!$B$8</f>
        <v>163.152846879094</v>
      </c>
    </row>
    <row r="310" customFormat="false" ht="15" hidden="false" customHeight="false" outlineLevel="0" collapsed="false">
      <c r="A310" s="12" t="n">
        <v>2041.288</v>
      </c>
      <c r="B310" s="13" t="n">
        <f aca="false">A310-$A$2</f>
        <v>15.4069999999999</v>
      </c>
      <c r="C310" s="14" t="n">
        <v>468.83</v>
      </c>
      <c r="D310" s="13" t="n">
        <f aca="false">C310*Config!$B$8</f>
        <v>167.281085601902</v>
      </c>
    </row>
    <row r="311" customFormat="false" ht="15" hidden="false" customHeight="false" outlineLevel="0" collapsed="false">
      <c r="A311" s="12" t="n">
        <v>2041.338</v>
      </c>
      <c r="B311" s="13" t="n">
        <f aca="false">A311-$A$2</f>
        <v>15.4569999999999</v>
      </c>
      <c r="C311" s="14" t="n">
        <v>468.56</v>
      </c>
      <c r="D311" s="13" t="n">
        <f aca="false">C311*Config!$B$8</f>
        <v>167.184748138189</v>
      </c>
    </row>
    <row r="312" customFormat="false" ht="15" hidden="false" customHeight="false" outlineLevel="0" collapsed="false">
      <c r="A312" s="12" t="n">
        <v>2041.388</v>
      </c>
      <c r="B312" s="13" t="n">
        <f aca="false">A312-$A$2</f>
        <v>15.5069999999998</v>
      </c>
      <c r="C312" s="14" t="n">
        <v>467.26</v>
      </c>
      <c r="D312" s="13" t="n">
        <f aca="false">C312*Config!$B$8</f>
        <v>166.720901090683</v>
      </c>
    </row>
    <row r="313" customFormat="false" ht="15" hidden="false" customHeight="false" outlineLevel="0" collapsed="false">
      <c r="A313" s="12" t="n">
        <v>2041.438</v>
      </c>
      <c r="B313" s="13" t="n">
        <f aca="false">A313-$A$2</f>
        <v>15.557</v>
      </c>
      <c r="C313" s="14" t="n">
        <v>457.68</v>
      </c>
      <c r="D313" s="13" t="n">
        <f aca="false">C313*Config!$B$8</f>
        <v>163.302705155981</v>
      </c>
    </row>
    <row r="314" customFormat="false" ht="15" hidden="false" customHeight="false" outlineLevel="0" collapsed="false">
      <c r="A314" s="12" t="n">
        <v>2041.488</v>
      </c>
      <c r="B314" s="13" t="n">
        <f aca="false">A314-$A$2</f>
        <v>15.607</v>
      </c>
      <c r="C314" s="14" t="n">
        <v>465.9</v>
      </c>
      <c r="D314" s="13" t="n">
        <f aca="false">C314*Config!$B$8</f>
        <v>166.235645717907</v>
      </c>
    </row>
    <row r="315" customFormat="false" ht="15" hidden="false" customHeight="false" outlineLevel="0" collapsed="false">
      <c r="A315" s="12" t="n">
        <v>2041.538</v>
      </c>
      <c r="B315" s="13" t="n">
        <f aca="false">A315-$A$2</f>
        <v>15.6569999999999</v>
      </c>
      <c r="C315" s="14" t="n">
        <v>461.33</v>
      </c>
      <c r="D315" s="13" t="n">
        <f aca="false">C315*Config!$B$8</f>
        <v>164.605044943211</v>
      </c>
    </row>
    <row r="316" customFormat="false" ht="15" hidden="false" customHeight="false" outlineLevel="0" collapsed="false">
      <c r="A316" s="12" t="n">
        <v>2041.588</v>
      </c>
      <c r="B316" s="13" t="n">
        <f aca="false">A316-$A$2</f>
        <v>15.7069999999999</v>
      </c>
      <c r="C316" s="14" t="n">
        <v>465.16</v>
      </c>
      <c r="D316" s="13" t="n">
        <f aca="false">C316*Config!$B$8</f>
        <v>165.971609706249</v>
      </c>
    </row>
    <row r="317" customFormat="false" ht="15" hidden="false" customHeight="false" outlineLevel="0" collapsed="false">
      <c r="A317" s="12" t="n">
        <v>2041.638</v>
      </c>
      <c r="B317" s="13" t="n">
        <f aca="false">A317-$A$2</f>
        <v>15.7569999999998</v>
      </c>
      <c r="C317" s="14" t="n">
        <v>462.48</v>
      </c>
      <c r="D317" s="13" t="n">
        <f aca="false">C317*Config!$B$8</f>
        <v>165.015371177544</v>
      </c>
    </row>
    <row r="318" customFormat="false" ht="15" hidden="false" customHeight="false" outlineLevel="0" collapsed="false">
      <c r="A318" s="12" t="n">
        <v>2041.688</v>
      </c>
      <c r="B318" s="13" t="n">
        <f aca="false">A318-$A$2</f>
        <v>15.807</v>
      </c>
      <c r="C318" s="14" t="n">
        <v>465.85</v>
      </c>
      <c r="D318" s="13" t="n">
        <f aca="false">C318*Config!$B$8</f>
        <v>166.217805446849</v>
      </c>
    </row>
    <row r="319" customFormat="false" ht="15" hidden="false" customHeight="false" outlineLevel="0" collapsed="false">
      <c r="A319" s="12" t="n">
        <v>2041.738</v>
      </c>
      <c r="B319" s="13" t="n">
        <f aca="false">A319-$A$2</f>
        <v>15.857</v>
      </c>
      <c r="C319" s="14" t="n">
        <v>448.23</v>
      </c>
      <c r="D319" s="13" t="n">
        <f aca="false">C319*Config!$B$8</f>
        <v>159.93089392603</v>
      </c>
    </row>
    <row r="320" customFormat="false" ht="15" hidden="false" customHeight="false" outlineLevel="0" collapsed="false">
      <c r="A320" s="12" t="n">
        <v>2041.788</v>
      </c>
      <c r="B320" s="13" t="n">
        <f aca="false">A320-$A$2</f>
        <v>15.9069999999999</v>
      </c>
      <c r="C320" s="14" t="n">
        <v>456.11</v>
      </c>
      <c r="D320" s="13" t="n">
        <f aca="false">C320*Config!$B$8</f>
        <v>162.742520644762</v>
      </c>
    </row>
    <row r="321" customFormat="false" ht="15" hidden="false" customHeight="false" outlineLevel="0" collapsed="false">
      <c r="A321" s="12" t="n">
        <v>2041.838</v>
      </c>
      <c r="B321" s="13" t="n">
        <f aca="false">A321-$A$2</f>
        <v>15.9569999999999</v>
      </c>
      <c r="C321" s="14" t="n">
        <v>472.38</v>
      </c>
      <c r="D321" s="13" t="n">
        <f aca="false">C321*Config!$B$8</f>
        <v>168.547744847016</v>
      </c>
    </row>
    <row r="322" customFormat="false" ht="15" hidden="false" customHeight="false" outlineLevel="0" collapsed="false">
      <c r="A322" s="12" t="n">
        <v>2041.888</v>
      </c>
      <c r="B322" s="13" t="n">
        <f aca="false">A322-$A$2</f>
        <v>16.0069999999998</v>
      </c>
      <c r="C322" s="14" t="n">
        <v>474.69</v>
      </c>
      <c r="D322" s="13" t="n">
        <f aca="false">C322*Config!$B$8</f>
        <v>169.371965369893</v>
      </c>
    </row>
    <row r="323" customFormat="false" ht="15" hidden="false" customHeight="false" outlineLevel="0" collapsed="false">
      <c r="A323" s="12" t="n">
        <v>2041.938</v>
      </c>
      <c r="B323" s="13" t="n">
        <f aca="false">A323-$A$2</f>
        <v>16.057</v>
      </c>
      <c r="C323" s="14" t="n">
        <v>465.57</v>
      </c>
      <c r="D323" s="13" t="n">
        <f aca="false">C323*Config!$B$8</f>
        <v>166.117899928924</v>
      </c>
    </row>
    <row r="324" customFormat="false" ht="15" hidden="false" customHeight="false" outlineLevel="0" collapsed="false">
      <c r="A324" s="12" t="n">
        <v>2041.988</v>
      </c>
      <c r="B324" s="13" t="n">
        <f aca="false">A324-$A$2</f>
        <v>16.107</v>
      </c>
      <c r="C324" s="14" t="n">
        <v>454.54</v>
      </c>
      <c r="D324" s="13" t="n">
        <f aca="false">C324*Config!$B$8</f>
        <v>162.182336133542</v>
      </c>
    </row>
    <row r="325" customFormat="false" ht="15" hidden="false" customHeight="false" outlineLevel="0" collapsed="false">
      <c r="A325" s="12" t="n">
        <v>2042.038</v>
      </c>
      <c r="B325" s="13" t="n">
        <f aca="false">A325-$A$2</f>
        <v>16.1569999999999</v>
      </c>
      <c r="C325" s="14" t="n">
        <v>462.21</v>
      </c>
      <c r="D325" s="13" t="n">
        <f aca="false">C325*Config!$B$8</f>
        <v>164.919033713831</v>
      </c>
    </row>
    <row r="326" customFormat="false" ht="15" hidden="false" customHeight="false" outlineLevel="0" collapsed="false">
      <c r="A326" s="12" t="n">
        <v>2042.088</v>
      </c>
      <c r="B326" s="13" t="n">
        <f aca="false">A326-$A$2</f>
        <v>16.2069999999999</v>
      </c>
      <c r="C326" s="14" t="n">
        <v>469.33</v>
      </c>
      <c r="D326" s="13" t="n">
        <f aca="false">C326*Config!$B$8</f>
        <v>167.459488312482</v>
      </c>
    </row>
    <row r="327" customFormat="false" ht="15" hidden="false" customHeight="false" outlineLevel="0" collapsed="false">
      <c r="A327" s="12" t="n">
        <v>2042.138</v>
      </c>
      <c r="B327" s="13" t="n">
        <f aca="false">A327-$A$2</f>
        <v>16.2569999999998</v>
      </c>
      <c r="C327" s="14" t="n">
        <v>459.03</v>
      </c>
      <c r="D327" s="13" t="n">
        <f aca="false">C327*Config!$B$8</f>
        <v>163.784392474546</v>
      </c>
    </row>
    <row r="328" customFormat="false" ht="15" hidden="false" customHeight="false" outlineLevel="0" collapsed="false">
      <c r="A328" s="12" t="n">
        <v>2042.188</v>
      </c>
      <c r="B328" s="13" t="n">
        <f aca="false">A328-$A$2</f>
        <v>16.307</v>
      </c>
      <c r="C328" s="14" t="n">
        <v>456.15</v>
      </c>
      <c r="D328" s="13" t="n">
        <f aca="false">C328*Config!$B$8</f>
        <v>162.756792861608</v>
      </c>
    </row>
    <row r="329" customFormat="false" ht="15" hidden="false" customHeight="false" outlineLevel="0" collapsed="false">
      <c r="A329" s="12" t="n">
        <v>2042.238</v>
      </c>
      <c r="B329" s="13" t="n">
        <f aca="false">A329-$A$2</f>
        <v>16.357</v>
      </c>
      <c r="C329" s="14" t="n">
        <v>464.1</v>
      </c>
      <c r="D329" s="13" t="n">
        <f aca="false">C329*Config!$B$8</f>
        <v>165.593395959821</v>
      </c>
    </row>
    <row r="330" customFormat="false" ht="15" hidden="false" customHeight="false" outlineLevel="0" collapsed="false">
      <c r="A330" s="12" t="n">
        <v>2042.288</v>
      </c>
      <c r="B330" s="13" t="n">
        <f aca="false">A330-$A$2</f>
        <v>16.4069999999999</v>
      </c>
      <c r="C330" s="14" t="n">
        <v>457.68</v>
      </c>
      <c r="D330" s="13" t="n">
        <f aca="false">C330*Config!$B$8</f>
        <v>163.302705155981</v>
      </c>
    </row>
    <row r="331" customFormat="false" ht="15" hidden="false" customHeight="false" outlineLevel="0" collapsed="false">
      <c r="A331" s="12" t="n">
        <v>2042.338</v>
      </c>
      <c r="B331" s="13" t="n">
        <f aca="false">A331-$A$2</f>
        <v>16.4569999999999</v>
      </c>
      <c r="C331" s="14" t="n">
        <v>456.37</v>
      </c>
      <c r="D331" s="13" t="n">
        <f aca="false">C331*Config!$B$8</f>
        <v>162.835290054263</v>
      </c>
    </row>
    <row r="332" customFormat="false" ht="15" hidden="false" customHeight="false" outlineLevel="0" collapsed="false">
      <c r="A332" s="12" t="n">
        <v>2042.388</v>
      </c>
      <c r="B332" s="13" t="n">
        <f aca="false">A332-$A$2</f>
        <v>16.5069999999998</v>
      </c>
      <c r="C332" s="14" t="n">
        <v>453.08</v>
      </c>
      <c r="D332" s="13" t="n">
        <f aca="false">C332*Config!$B$8</f>
        <v>161.66140021865</v>
      </c>
    </row>
    <row r="333" customFormat="false" ht="15" hidden="false" customHeight="false" outlineLevel="0" collapsed="false">
      <c r="A333" s="12" t="n">
        <v>2042.438</v>
      </c>
      <c r="B333" s="13" t="n">
        <f aca="false">A333-$A$2</f>
        <v>16.557</v>
      </c>
      <c r="C333" s="14" t="n">
        <v>472.64</v>
      </c>
      <c r="D333" s="13" t="n">
        <f aca="false">C333*Config!$B$8</f>
        <v>168.640514256517</v>
      </c>
    </row>
    <row r="334" customFormat="false" ht="15" hidden="false" customHeight="false" outlineLevel="0" collapsed="false">
      <c r="A334" s="12" t="n">
        <v>2042.488</v>
      </c>
      <c r="B334" s="13" t="n">
        <f aca="false">A334-$A$2</f>
        <v>16.607</v>
      </c>
      <c r="C334" s="14" t="n">
        <v>446.75</v>
      </c>
      <c r="D334" s="13" t="n">
        <f aca="false">C334*Config!$B$8</f>
        <v>159.402821902715</v>
      </c>
    </row>
    <row r="335" customFormat="false" ht="15" hidden="false" customHeight="false" outlineLevel="0" collapsed="false">
      <c r="A335" s="12" t="n">
        <v>2042.539</v>
      </c>
      <c r="B335" s="13" t="n">
        <f aca="false">A335-$A$2</f>
        <v>16.6579999999999</v>
      </c>
      <c r="C335" s="14" t="n">
        <v>459.89</v>
      </c>
      <c r="D335" s="13" t="n">
        <f aca="false">C335*Config!$B$8</f>
        <v>164.091245136742</v>
      </c>
    </row>
    <row r="336" customFormat="false" ht="15" hidden="false" customHeight="false" outlineLevel="0" collapsed="false">
      <c r="A336" s="12" t="n">
        <v>2042.589</v>
      </c>
      <c r="B336" s="13" t="n">
        <f aca="false">A336-$A$2</f>
        <v>16.7079999999999</v>
      </c>
      <c r="C336" s="14" t="n">
        <v>463.63</v>
      </c>
      <c r="D336" s="13" t="n">
        <f aca="false">C336*Config!$B$8</f>
        <v>165.425697411876</v>
      </c>
    </row>
    <row r="337" customFormat="false" ht="15" hidden="false" customHeight="false" outlineLevel="0" collapsed="false">
      <c r="A337" s="12" t="n">
        <v>2042.639</v>
      </c>
      <c r="B337" s="13" t="n">
        <f aca="false">A337-$A$2</f>
        <v>16.7579999999998</v>
      </c>
      <c r="C337" s="14" t="n">
        <v>454.38</v>
      </c>
      <c r="D337" s="13" t="n">
        <f aca="false">C337*Config!$B$8</f>
        <v>162.125247266157</v>
      </c>
    </row>
    <row r="338" customFormat="false" ht="15" hidden="false" customHeight="false" outlineLevel="0" collapsed="false">
      <c r="A338" s="12" t="n">
        <v>2042.689</v>
      </c>
      <c r="B338" s="13" t="n">
        <f aca="false">A338-$A$2</f>
        <v>16.808</v>
      </c>
      <c r="C338" s="14" t="n">
        <v>462.87</v>
      </c>
      <c r="D338" s="13" t="n">
        <f aca="false">C338*Config!$B$8</f>
        <v>165.154525291796</v>
      </c>
    </row>
    <row r="339" customFormat="false" ht="15" hidden="false" customHeight="false" outlineLevel="0" collapsed="false">
      <c r="A339" s="12" t="n">
        <v>2042.739</v>
      </c>
      <c r="B339" s="13" t="n">
        <f aca="false">A339-$A$2</f>
        <v>16.8579999999999</v>
      </c>
      <c r="C339" s="14" t="n">
        <v>451.87</v>
      </c>
      <c r="D339" s="13" t="n">
        <f aca="false">C339*Config!$B$8</f>
        <v>161.229665659048</v>
      </c>
    </row>
    <row r="340" customFormat="false" ht="15" hidden="false" customHeight="false" outlineLevel="0" collapsed="false">
      <c r="A340" s="12" t="n">
        <v>2042.789</v>
      </c>
      <c r="B340" s="13" t="n">
        <f aca="false">A340-$A$2</f>
        <v>16.9079999999999</v>
      </c>
      <c r="C340" s="14" t="n">
        <v>480.82</v>
      </c>
      <c r="D340" s="13" t="n">
        <f aca="false">C340*Config!$B$8</f>
        <v>171.559182601597</v>
      </c>
    </row>
    <row r="341" customFormat="false" ht="15" hidden="false" customHeight="false" outlineLevel="0" collapsed="false">
      <c r="A341" s="12" t="n">
        <v>2042.839</v>
      </c>
      <c r="B341" s="13" t="n">
        <f aca="false">A341-$A$2</f>
        <v>16.9579999999999</v>
      </c>
      <c r="C341" s="14" t="n">
        <v>450.33</v>
      </c>
      <c r="D341" s="13" t="n">
        <f aca="false">C341*Config!$B$8</f>
        <v>160.680185310464</v>
      </c>
    </row>
    <row r="342" customFormat="false" ht="15" hidden="false" customHeight="false" outlineLevel="0" collapsed="false">
      <c r="A342" s="12" t="n">
        <v>2042.889</v>
      </c>
      <c r="B342" s="13" t="n">
        <f aca="false">A342-$A$2</f>
        <v>17.0079999999998</v>
      </c>
      <c r="C342" s="14" t="n">
        <v>466.94</v>
      </c>
      <c r="D342" s="13" t="n">
        <f aca="false">C342*Config!$B$8</f>
        <v>166.606723355912</v>
      </c>
    </row>
    <row r="343" customFormat="false" ht="15" hidden="false" customHeight="false" outlineLevel="0" collapsed="false">
      <c r="A343" s="12" t="n">
        <v>2042.939</v>
      </c>
      <c r="B343" s="13" t="n">
        <f aca="false">A343-$A$2</f>
        <v>17.058</v>
      </c>
      <c r="C343" s="14" t="n">
        <v>468.9</v>
      </c>
      <c r="D343" s="13" t="n">
        <f aca="false">C343*Config!$B$8</f>
        <v>167.306061981383</v>
      </c>
    </row>
    <row r="344" customFormat="false" ht="15" hidden="false" customHeight="false" outlineLevel="0" collapsed="false">
      <c r="A344" s="12" t="n">
        <v>2042.989</v>
      </c>
      <c r="B344" s="13" t="n">
        <f aca="false">A344-$A$2</f>
        <v>17.1079999999999</v>
      </c>
      <c r="C344" s="14" t="n">
        <v>467.24</v>
      </c>
      <c r="D344" s="13" t="n">
        <f aca="false">C344*Config!$B$8</f>
        <v>166.71376498226</v>
      </c>
    </row>
    <row r="345" customFormat="false" ht="15" hidden="false" customHeight="false" outlineLevel="0" collapsed="false">
      <c r="A345" s="12" t="n">
        <v>2043.039</v>
      </c>
      <c r="B345" s="13" t="n">
        <f aca="false">A345-$A$2</f>
        <v>17.1579999999999</v>
      </c>
      <c r="C345" s="14" t="n">
        <v>457.38</v>
      </c>
      <c r="D345" s="13" t="n">
        <f aca="false">C345*Config!$B$8</f>
        <v>163.195663529633</v>
      </c>
    </row>
    <row r="346" customFormat="false" ht="15" hidden="false" customHeight="false" outlineLevel="0" collapsed="false">
      <c r="A346" s="12" t="n">
        <v>2043.089</v>
      </c>
      <c r="B346" s="13" t="n">
        <f aca="false">A346-$A$2</f>
        <v>17.2079999999999</v>
      </c>
      <c r="C346" s="14" t="n">
        <v>462.01</v>
      </c>
      <c r="D346" s="13" t="n">
        <f aca="false">C346*Config!$B$8</f>
        <v>164.847672629599</v>
      </c>
    </row>
    <row r="347" customFormat="false" ht="15" hidden="false" customHeight="false" outlineLevel="0" collapsed="false">
      <c r="A347" s="12" t="n">
        <v>2043.139</v>
      </c>
      <c r="B347" s="13" t="n">
        <f aca="false">A347-$A$2</f>
        <v>17.2579999999998</v>
      </c>
      <c r="C347" s="14" t="n">
        <v>449.06</v>
      </c>
      <c r="D347" s="13" t="n">
        <f aca="false">C347*Config!$B$8</f>
        <v>160.227042425592</v>
      </c>
    </row>
    <row r="348" customFormat="false" ht="15" hidden="false" customHeight="false" outlineLevel="0" collapsed="false">
      <c r="A348" s="12" t="n">
        <v>2043.189</v>
      </c>
      <c r="B348" s="13" t="n">
        <f aca="false">A348-$A$2</f>
        <v>17.308</v>
      </c>
      <c r="C348" s="14" t="n">
        <v>458.32</v>
      </c>
      <c r="D348" s="13" t="n">
        <f aca="false">C348*Config!$B$8</f>
        <v>163.531060625523</v>
      </c>
    </row>
    <row r="349" customFormat="false" ht="15" hidden="false" customHeight="false" outlineLevel="0" collapsed="false">
      <c r="A349" s="12" t="n">
        <v>2043.239</v>
      </c>
      <c r="B349" s="13" t="n">
        <f aca="false">A349-$A$2</f>
        <v>17.3579999999999</v>
      </c>
      <c r="C349" s="14" t="n">
        <v>466.72</v>
      </c>
      <c r="D349" s="13" t="n">
        <f aca="false">C349*Config!$B$8</f>
        <v>166.528226163257</v>
      </c>
    </row>
    <row r="350" customFormat="false" ht="15" hidden="false" customHeight="false" outlineLevel="0" collapsed="false">
      <c r="A350" s="12" t="n">
        <v>2043.289</v>
      </c>
      <c r="B350" s="13" t="n">
        <f aca="false">A350-$A$2</f>
        <v>17.4079999999999</v>
      </c>
      <c r="C350" s="14" t="n">
        <v>445.2</v>
      </c>
      <c r="D350" s="13" t="n">
        <f aca="false">C350*Config!$B$8</f>
        <v>158.849773499919</v>
      </c>
    </row>
    <row r="351" customFormat="false" ht="15" hidden="false" customHeight="false" outlineLevel="0" collapsed="false">
      <c r="A351" s="12" t="n">
        <v>2043.339</v>
      </c>
      <c r="B351" s="13" t="n">
        <f aca="false">A351-$A$2</f>
        <v>17.4579999999999</v>
      </c>
      <c r="C351" s="14" t="n">
        <v>454.6</v>
      </c>
      <c r="D351" s="13" t="n">
        <f aca="false">C351*Config!$B$8</f>
        <v>162.203744458812</v>
      </c>
    </row>
    <row r="352" customFormat="false" ht="15" hidden="false" customHeight="false" outlineLevel="0" collapsed="false">
      <c r="A352" s="12" t="n">
        <v>2043.389</v>
      </c>
      <c r="B352" s="13" t="n">
        <f aca="false">A352-$A$2</f>
        <v>17.5079999999998</v>
      </c>
      <c r="C352" s="14" t="n">
        <v>459.06</v>
      </c>
      <c r="D352" s="13" t="n">
        <f aca="false">C352*Config!$B$8</f>
        <v>163.79509663718</v>
      </c>
    </row>
    <row r="353" customFormat="false" ht="15" hidden="false" customHeight="false" outlineLevel="0" collapsed="false">
      <c r="A353" s="12" t="n">
        <v>2043.439</v>
      </c>
      <c r="B353" s="13" t="n">
        <f aca="false">A353-$A$2</f>
        <v>17.558</v>
      </c>
      <c r="C353" s="14" t="n">
        <v>466.89</v>
      </c>
      <c r="D353" s="13" t="n">
        <f aca="false">C353*Config!$B$8</f>
        <v>166.588883084854</v>
      </c>
    </row>
    <row r="354" customFormat="false" ht="15" hidden="false" customHeight="false" outlineLevel="0" collapsed="false">
      <c r="A354" s="12" t="n">
        <v>2043.489</v>
      </c>
      <c r="B354" s="13" t="n">
        <f aca="false">A354-$A$2</f>
        <v>17.6079999999999</v>
      </c>
      <c r="C354" s="14" t="n">
        <v>458.43</v>
      </c>
      <c r="D354" s="13" t="n">
        <f aca="false">C354*Config!$B$8</f>
        <v>163.57030922185</v>
      </c>
    </row>
    <row r="355" customFormat="false" ht="15" hidden="false" customHeight="false" outlineLevel="0" collapsed="false">
      <c r="A355" s="12" t="n">
        <v>2043.539</v>
      </c>
      <c r="B355" s="13" t="n">
        <f aca="false">A355-$A$2</f>
        <v>17.6579999999999</v>
      </c>
      <c r="C355" s="14" t="n">
        <v>455.27</v>
      </c>
      <c r="D355" s="13" t="n">
        <f aca="false">C355*Config!$B$8</f>
        <v>162.442804090988</v>
      </c>
    </row>
    <row r="356" customFormat="false" ht="15" hidden="false" customHeight="false" outlineLevel="0" collapsed="false">
      <c r="A356" s="12" t="n">
        <v>2043.589</v>
      </c>
      <c r="B356" s="13" t="n">
        <f aca="false">A356-$A$2</f>
        <v>17.7079999999999</v>
      </c>
      <c r="C356" s="14" t="n">
        <v>460.62</v>
      </c>
      <c r="D356" s="13" t="n">
        <f aca="false">C356*Config!$B$8</f>
        <v>164.351713094188</v>
      </c>
    </row>
    <row r="357" customFormat="false" ht="15" hidden="false" customHeight="false" outlineLevel="0" collapsed="false">
      <c r="A357" s="12" t="n">
        <v>2043.639</v>
      </c>
      <c r="B357" s="13" t="n">
        <f aca="false">A357-$A$2</f>
        <v>17.7579999999998</v>
      </c>
      <c r="C357" s="14" t="n">
        <v>462.02</v>
      </c>
      <c r="D357" s="13" t="n">
        <f aca="false">C357*Config!$B$8</f>
        <v>164.851240683811</v>
      </c>
    </row>
    <row r="358" customFormat="false" ht="15" hidden="false" customHeight="false" outlineLevel="0" collapsed="false">
      <c r="A358" s="12" t="n">
        <v>2043.689</v>
      </c>
      <c r="B358" s="13" t="n">
        <f aca="false">A358-$A$2</f>
        <v>17.808</v>
      </c>
      <c r="C358" s="14" t="n">
        <v>460.99</v>
      </c>
      <c r="D358" s="13" t="n">
        <f aca="false">C358*Config!$B$8</f>
        <v>164.483731100017</v>
      </c>
    </row>
    <row r="359" customFormat="false" ht="15" hidden="false" customHeight="false" outlineLevel="0" collapsed="false">
      <c r="A359" s="12" t="n">
        <v>2043.739</v>
      </c>
      <c r="B359" s="13" t="n">
        <f aca="false">A359-$A$2</f>
        <v>17.8579999999999</v>
      </c>
      <c r="C359" s="14" t="n">
        <v>463.31</v>
      </c>
      <c r="D359" s="13" t="n">
        <f aca="false">C359*Config!$B$8</f>
        <v>165.311519677105</v>
      </c>
    </row>
    <row r="360" customFormat="false" ht="15" hidden="false" customHeight="false" outlineLevel="0" collapsed="false">
      <c r="A360" s="12" t="n">
        <v>2043.789</v>
      </c>
      <c r="B360" s="13" t="n">
        <f aca="false">A360-$A$2</f>
        <v>17.9079999999999</v>
      </c>
      <c r="C360" s="14" t="n">
        <v>468.16</v>
      </c>
      <c r="D360" s="13" t="n">
        <f aca="false">C360*Config!$B$8</f>
        <v>167.042025969726</v>
      </c>
    </row>
    <row r="361" customFormat="false" ht="15" hidden="false" customHeight="false" outlineLevel="0" collapsed="false">
      <c r="A361" s="12" t="n">
        <v>2043.839</v>
      </c>
      <c r="B361" s="13" t="n">
        <f aca="false">A361-$A$2</f>
        <v>17.9579999999999</v>
      </c>
      <c r="C361" s="14" t="n">
        <v>474.53</v>
      </c>
      <c r="D361" s="13" t="n">
        <f aca="false">C361*Config!$B$8</f>
        <v>169.314876502508</v>
      </c>
    </row>
    <row r="362" customFormat="false" ht="15" hidden="false" customHeight="false" outlineLevel="0" collapsed="false">
      <c r="A362" s="12" t="n">
        <v>2043.889</v>
      </c>
      <c r="B362" s="13" t="n">
        <f aca="false">A362-$A$2</f>
        <v>18.0079999999998</v>
      </c>
      <c r="C362" s="14" t="n">
        <v>471.18</v>
      </c>
      <c r="D362" s="13" t="n">
        <f aca="false">C362*Config!$B$8</f>
        <v>168.119578341626</v>
      </c>
    </row>
    <row r="363" customFormat="false" ht="15" hidden="false" customHeight="false" outlineLevel="0" collapsed="false">
      <c r="A363" s="12" t="n">
        <v>2043.939</v>
      </c>
      <c r="B363" s="13" t="n">
        <f aca="false">A363-$A$2</f>
        <v>18.058</v>
      </c>
      <c r="C363" s="14" t="n">
        <v>456.99</v>
      </c>
      <c r="D363" s="13" t="n">
        <f aca="false">C363*Config!$B$8</f>
        <v>163.056509415382</v>
      </c>
    </row>
    <row r="364" customFormat="false" ht="15" hidden="false" customHeight="false" outlineLevel="0" collapsed="false">
      <c r="A364" s="12" t="n">
        <v>2043.99</v>
      </c>
      <c r="B364" s="13" t="n">
        <f aca="false">A364-$A$2</f>
        <v>18.1089999999999</v>
      </c>
      <c r="C364" s="14" t="n">
        <v>466.77</v>
      </c>
      <c r="D364" s="13" t="n">
        <f aca="false">C364*Config!$B$8</f>
        <v>166.546066434315</v>
      </c>
    </row>
    <row r="365" customFormat="false" ht="15" hidden="false" customHeight="false" outlineLevel="0" collapsed="false">
      <c r="A365" s="12" t="n">
        <v>2044.04</v>
      </c>
      <c r="B365" s="13" t="n">
        <f aca="false">A365-$A$2</f>
        <v>18.1589999999999</v>
      </c>
      <c r="C365" s="14" t="n">
        <v>464.59</v>
      </c>
      <c r="D365" s="13" t="n">
        <f aca="false">C365*Config!$B$8</f>
        <v>165.768230616189</v>
      </c>
    </row>
    <row r="366" customFormat="false" ht="15" hidden="false" customHeight="false" outlineLevel="0" collapsed="false">
      <c r="A366" s="12" t="n">
        <v>2044.09</v>
      </c>
      <c r="B366" s="13" t="n">
        <f aca="false">A366-$A$2</f>
        <v>18.2089999999998</v>
      </c>
      <c r="C366" s="14" t="n">
        <v>457.39</v>
      </c>
      <c r="D366" s="13" t="n">
        <f aca="false">C366*Config!$B$8</f>
        <v>163.199231583845</v>
      </c>
    </row>
    <row r="367" customFormat="false" ht="15" hidden="false" customHeight="false" outlineLevel="0" collapsed="false">
      <c r="A367" s="12" t="n">
        <v>2044.14</v>
      </c>
      <c r="B367" s="13" t="n">
        <f aca="false">A367-$A$2</f>
        <v>18.259</v>
      </c>
      <c r="C367" s="14" t="n">
        <v>452.19</v>
      </c>
      <c r="D367" s="13" t="n">
        <f aca="false">C367*Config!$B$8</f>
        <v>161.343843393819</v>
      </c>
    </row>
    <row r="368" customFormat="false" ht="15" hidden="false" customHeight="false" outlineLevel="0" collapsed="false">
      <c r="A368" s="12" t="n">
        <v>2044.19</v>
      </c>
      <c r="B368" s="13" t="n">
        <f aca="false">A368-$A$2</f>
        <v>18.309</v>
      </c>
      <c r="C368" s="14" t="n">
        <v>470.06</v>
      </c>
      <c r="D368" s="13" t="n">
        <f aca="false">C368*Config!$B$8</f>
        <v>167.719956269928</v>
      </c>
    </row>
    <row r="369" customFormat="false" ht="15" hidden="false" customHeight="false" outlineLevel="0" collapsed="false">
      <c r="A369" s="12" t="n">
        <v>2044.24</v>
      </c>
      <c r="B369" s="13" t="n">
        <f aca="false">A369-$A$2</f>
        <v>18.3589999999999</v>
      </c>
      <c r="C369" s="14" t="n">
        <v>456.93</v>
      </c>
      <c r="D369" s="13" t="n">
        <f aca="false">C369*Config!$B$8</f>
        <v>163.035101090112</v>
      </c>
    </row>
    <row r="370" customFormat="false" ht="15" hidden="false" customHeight="false" outlineLevel="0" collapsed="false">
      <c r="A370" s="12" t="n">
        <v>2044.29</v>
      </c>
      <c r="B370" s="13" t="n">
        <f aca="false">A370-$A$2</f>
        <v>18.4089999999999</v>
      </c>
      <c r="C370" s="14" t="n">
        <v>448.88</v>
      </c>
      <c r="D370" s="13" t="n">
        <f aca="false">C370*Config!$B$8</f>
        <v>160.162817449783</v>
      </c>
    </row>
    <row r="371" customFormat="false" ht="15" hidden="false" customHeight="false" outlineLevel="0" collapsed="false">
      <c r="A371" s="12" t="n">
        <v>2044.34</v>
      </c>
      <c r="B371" s="13" t="n">
        <f aca="false">A371-$A$2</f>
        <v>18.4589999999998</v>
      </c>
      <c r="C371" s="14" t="n">
        <v>452.29</v>
      </c>
      <c r="D371" s="13" t="n">
        <f aca="false">C371*Config!$B$8</f>
        <v>161.379523935935</v>
      </c>
    </row>
    <row r="372" customFormat="false" ht="15" hidden="false" customHeight="false" outlineLevel="0" collapsed="false">
      <c r="A372" s="12" t="n">
        <v>2044.39</v>
      </c>
      <c r="B372" s="13" t="n">
        <f aca="false">A372-$A$2</f>
        <v>18.509</v>
      </c>
      <c r="C372" s="14" t="n">
        <v>453.73</v>
      </c>
      <c r="D372" s="13" t="n">
        <f aca="false">C372*Config!$B$8</f>
        <v>161.893323742404</v>
      </c>
    </row>
    <row r="373" customFormat="false" ht="15" hidden="false" customHeight="false" outlineLevel="0" collapsed="false">
      <c r="A373" s="12" t="n">
        <v>2044.44</v>
      </c>
      <c r="B373" s="13" t="n">
        <f aca="false">A373-$A$2</f>
        <v>18.559</v>
      </c>
      <c r="C373" s="14" t="n">
        <v>451.34</v>
      </c>
      <c r="D373" s="13" t="n">
        <f aca="false">C373*Config!$B$8</f>
        <v>161.040558785834</v>
      </c>
    </row>
    <row r="374" customFormat="false" ht="15" hidden="false" customHeight="false" outlineLevel="0" collapsed="false">
      <c r="A374" s="12" t="n">
        <v>2044.49</v>
      </c>
      <c r="B374" s="13" t="n">
        <f aca="false">A374-$A$2</f>
        <v>18.6089999999999</v>
      </c>
      <c r="C374" s="14" t="n">
        <v>450.71</v>
      </c>
      <c r="D374" s="13" t="n">
        <f aca="false">C374*Config!$B$8</f>
        <v>160.815771370504</v>
      </c>
    </row>
    <row r="375" customFormat="false" ht="15" hidden="false" customHeight="false" outlineLevel="0" collapsed="false">
      <c r="A375" s="12" t="n">
        <v>2044.54</v>
      </c>
      <c r="B375" s="13" t="n">
        <f aca="false">A375-$A$2</f>
        <v>18.6589999999999</v>
      </c>
      <c r="C375" s="14" t="n">
        <v>462.15</v>
      </c>
      <c r="D375" s="13" t="n">
        <f aca="false">C375*Config!$B$8</f>
        <v>164.897625388561</v>
      </c>
    </row>
    <row r="376" customFormat="false" ht="15" hidden="false" customHeight="false" outlineLevel="0" collapsed="false">
      <c r="A376" s="12" t="n">
        <v>2044.59</v>
      </c>
      <c r="B376" s="13" t="n">
        <f aca="false">A376-$A$2</f>
        <v>18.7089999999998</v>
      </c>
      <c r="C376" s="14" t="n">
        <v>470.91</v>
      </c>
      <c r="D376" s="13" t="n">
        <f aca="false">C376*Config!$B$8</f>
        <v>168.023240877913</v>
      </c>
    </row>
    <row r="377" customFormat="false" ht="15" hidden="false" customHeight="false" outlineLevel="0" collapsed="false">
      <c r="A377" s="12" t="n">
        <v>2044.64</v>
      </c>
      <c r="B377" s="13" t="n">
        <f aca="false">A377-$A$2</f>
        <v>18.759</v>
      </c>
      <c r="C377" s="14" t="n">
        <v>452.36</v>
      </c>
      <c r="D377" s="13" t="n">
        <f aca="false">C377*Config!$B$8</f>
        <v>161.404500315416</v>
      </c>
    </row>
    <row r="378" customFormat="false" ht="15" hidden="false" customHeight="false" outlineLevel="0" collapsed="false">
      <c r="A378" s="12" t="n">
        <v>2044.69</v>
      </c>
      <c r="B378" s="13" t="n">
        <f aca="false">A378-$A$2</f>
        <v>18.809</v>
      </c>
      <c r="C378" s="14" t="n">
        <v>450.93</v>
      </c>
      <c r="D378" s="13" t="n">
        <f aca="false">C378*Config!$B$8</f>
        <v>160.894268563159</v>
      </c>
    </row>
    <row r="379" customFormat="false" ht="15" hidden="false" customHeight="false" outlineLevel="0" collapsed="false">
      <c r="A379" s="12" t="n">
        <v>2044.74</v>
      </c>
      <c r="B379" s="13" t="n">
        <f aca="false">A379-$A$2</f>
        <v>18.8589999999999</v>
      </c>
      <c r="C379" s="14" t="n">
        <v>451.17</v>
      </c>
      <c r="D379" s="13" t="n">
        <f aca="false">C379*Config!$B$8</f>
        <v>160.979901864237</v>
      </c>
    </row>
    <row r="380" customFormat="false" ht="15" hidden="false" customHeight="false" outlineLevel="0" collapsed="false">
      <c r="A380" s="12" t="n">
        <v>2044.79</v>
      </c>
      <c r="B380" s="13" t="n">
        <f aca="false">A380-$A$2</f>
        <v>18.9089999999999</v>
      </c>
      <c r="C380" s="14" t="n">
        <v>457.82</v>
      </c>
      <c r="D380" s="13" t="n">
        <f aca="false">C380*Config!$B$8</f>
        <v>163.352657914943</v>
      </c>
    </row>
    <row r="381" customFormat="false" ht="15" hidden="false" customHeight="false" outlineLevel="0" collapsed="false">
      <c r="A381" s="12" t="n">
        <v>2044.84</v>
      </c>
      <c r="B381" s="13" t="n">
        <f aca="false">A381-$A$2</f>
        <v>18.9589999999998</v>
      </c>
      <c r="C381" s="14" t="n">
        <v>455.34</v>
      </c>
      <c r="D381" s="13" t="n">
        <f aca="false">C381*Config!$B$8</f>
        <v>162.467780470469</v>
      </c>
    </row>
    <row r="382" customFormat="false" ht="15" hidden="false" customHeight="false" outlineLevel="0" collapsed="false">
      <c r="A382" s="12" t="n">
        <v>2044.89</v>
      </c>
      <c r="B382" s="13" t="n">
        <f aca="false">A382-$A$2</f>
        <v>19.009</v>
      </c>
      <c r="C382" s="14" t="n">
        <v>452.83</v>
      </c>
      <c r="D382" s="13" t="n">
        <f aca="false">C382*Config!$B$8</f>
        <v>161.572198863361</v>
      </c>
    </row>
    <row r="383" customFormat="false" ht="15" hidden="false" customHeight="false" outlineLevel="0" collapsed="false">
      <c r="A383" s="12" t="n">
        <v>2044.94</v>
      </c>
      <c r="B383" s="13" t="n">
        <f aca="false">A383-$A$2</f>
        <v>19.059</v>
      </c>
      <c r="C383" s="14" t="n">
        <v>466.75</v>
      </c>
      <c r="D383" s="13" t="n">
        <f aca="false">C383*Config!$B$8</f>
        <v>166.538930325892</v>
      </c>
    </row>
    <row r="384" customFormat="false" ht="15" hidden="false" customHeight="false" outlineLevel="0" collapsed="false">
      <c r="A384" s="12" t="n">
        <v>2044.99</v>
      </c>
      <c r="B384" s="13" t="n">
        <f aca="false">A384-$A$2</f>
        <v>19.1089999999999</v>
      </c>
      <c r="C384" s="14" t="n">
        <v>453.88</v>
      </c>
      <c r="D384" s="13" t="n">
        <f aca="false">C384*Config!$B$8</f>
        <v>161.946844555577</v>
      </c>
    </row>
    <row r="385" customFormat="false" ht="15" hidden="false" customHeight="false" outlineLevel="0" collapsed="false">
      <c r="A385" s="12" t="n">
        <v>2045.04</v>
      </c>
      <c r="B385" s="13" t="n">
        <f aca="false">A385-$A$2</f>
        <v>19.1589999999999</v>
      </c>
      <c r="C385" s="14" t="n">
        <v>450.34</v>
      </c>
      <c r="D385" s="13" t="n">
        <f aca="false">C385*Config!$B$8</f>
        <v>160.683753364675</v>
      </c>
    </row>
    <row r="386" customFormat="false" ht="15" hidden="false" customHeight="false" outlineLevel="0" collapsed="false">
      <c r="A386" s="12" t="n">
        <v>2045.09</v>
      </c>
      <c r="B386" s="13" t="n">
        <f aca="false">A386-$A$2</f>
        <v>19.2089999999998</v>
      </c>
      <c r="C386" s="14" t="n">
        <v>446.15</v>
      </c>
      <c r="D386" s="13" t="n">
        <f aca="false">C386*Config!$B$8</f>
        <v>159.18873865002</v>
      </c>
    </row>
    <row r="387" customFormat="false" ht="15" hidden="false" customHeight="false" outlineLevel="0" collapsed="false">
      <c r="A387" s="12" t="n">
        <v>2045.14</v>
      </c>
      <c r="B387" s="13" t="n">
        <f aca="false">A387-$A$2</f>
        <v>19.259</v>
      </c>
      <c r="C387" s="14" t="n">
        <v>455.4</v>
      </c>
      <c r="D387" s="13" t="n">
        <f aca="false">C387*Config!$B$8</f>
        <v>162.489188795739</v>
      </c>
    </row>
    <row r="388" customFormat="false" ht="15" hidden="false" customHeight="false" outlineLevel="0" collapsed="false">
      <c r="A388" s="12" t="n">
        <v>2045.19</v>
      </c>
      <c r="B388" s="13" t="n">
        <f aca="false">A388-$A$2</f>
        <v>19.309</v>
      </c>
      <c r="C388" s="14" t="n">
        <v>453.84</v>
      </c>
      <c r="D388" s="13" t="n">
        <f aca="false">C388*Config!$B$8</f>
        <v>161.932572338731</v>
      </c>
    </row>
    <row r="389" customFormat="false" ht="15" hidden="false" customHeight="false" outlineLevel="0" collapsed="false">
      <c r="A389" s="12" t="n">
        <v>2045.24</v>
      </c>
      <c r="B389" s="13" t="n">
        <f aca="false">A389-$A$2</f>
        <v>19.3589999999999</v>
      </c>
      <c r="C389" s="14" t="n">
        <v>447.22</v>
      </c>
      <c r="D389" s="13" t="n">
        <f aca="false">C389*Config!$B$8</f>
        <v>159.57052045066</v>
      </c>
    </row>
    <row r="390" customFormat="false" ht="15" hidden="false" customHeight="false" outlineLevel="0" collapsed="false">
      <c r="A390" s="12" t="n">
        <v>2045.29</v>
      </c>
      <c r="B390" s="13" t="n">
        <f aca="false">A390-$A$2</f>
        <v>19.4089999999999</v>
      </c>
      <c r="C390" s="14" t="n">
        <v>448.08</v>
      </c>
      <c r="D390" s="13" t="n">
        <f aca="false">C390*Config!$B$8</f>
        <v>159.877373112856</v>
      </c>
    </row>
    <row r="391" customFormat="false" ht="15" hidden="false" customHeight="false" outlineLevel="0" collapsed="false">
      <c r="A391" s="12" t="n">
        <v>2045.34</v>
      </c>
      <c r="B391" s="13" t="n">
        <f aca="false">A391-$A$2</f>
        <v>19.4589999999998</v>
      </c>
      <c r="C391" s="14" t="n">
        <v>448.68</v>
      </c>
      <c r="D391" s="13" t="n">
        <f aca="false">C391*Config!$B$8</f>
        <v>160.091456365551</v>
      </c>
    </row>
    <row r="392" customFormat="false" ht="15" hidden="false" customHeight="false" outlineLevel="0" collapsed="false">
      <c r="A392" s="12" t="n">
        <v>2045.39</v>
      </c>
      <c r="B392" s="13" t="n">
        <f aca="false">A392-$A$2</f>
        <v>19.509</v>
      </c>
      <c r="C392" s="14" t="n">
        <v>453.83</v>
      </c>
      <c r="D392" s="13" t="n">
        <f aca="false">C392*Config!$B$8</f>
        <v>161.92900428452</v>
      </c>
    </row>
    <row r="393" customFormat="false" ht="15" hidden="false" customHeight="false" outlineLevel="0" collapsed="false">
      <c r="A393" s="12" t="n">
        <v>2045.44</v>
      </c>
      <c r="B393" s="13" t="n">
        <f aca="false">A393-$A$2</f>
        <v>19.559</v>
      </c>
      <c r="C393" s="14" t="n">
        <v>452.34</v>
      </c>
      <c r="D393" s="13" t="n">
        <f aca="false">C393*Config!$B$8</f>
        <v>161.397364206993</v>
      </c>
    </row>
    <row r="394" customFormat="false" ht="15" hidden="false" customHeight="false" outlineLevel="0" collapsed="false">
      <c r="A394" s="12" t="n">
        <v>2045.49</v>
      </c>
      <c r="B394" s="13" t="n">
        <f aca="false">A394-$A$2</f>
        <v>19.6089999999999</v>
      </c>
      <c r="C394" s="14" t="n">
        <v>454.1</v>
      </c>
      <c r="D394" s="13" t="n">
        <f aca="false">C394*Config!$B$8</f>
        <v>162.025341748232</v>
      </c>
    </row>
    <row r="395" customFormat="false" ht="15" hidden="false" customHeight="false" outlineLevel="0" collapsed="false">
      <c r="A395" s="12" t="n">
        <v>2045.54</v>
      </c>
      <c r="B395" s="13" t="n">
        <f aca="false">A395-$A$2</f>
        <v>19.6589999999999</v>
      </c>
      <c r="C395" s="14" t="n">
        <v>456.47</v>
      </c>
      <c r="D395" s="13" t="n">
        <f aca="false">C395*Config!$B$8</f>
        <v>162.870970596379</v>
      </c>
    </row>
    <row r="396" customFormat="false" ht="15" hidden="false" customHeight="false" outlineLevel="0" collapsed="false">
      <c r="A396" s="12" t="n">
        <v>2045.59</v>
      </c>
      <c r="B396" s="13" t="n">
        <f aca="false">A396-$A$2</f>
        <v>19.7089999999998</v>
      </c>
      <c r="C396" s="14" t="n">
        <v>450.39</v>
      </c>
      <c r="D396" s="13" t="n">
        <f aca="false">C396*Config!$B$8</f>
        <v>160.701593635733</v>
      </c>
    </row>
    <row r="397" customFormat="false" ht="15" hidden="false" customHeight="false" outlineLevel="0" collapsed="false">
      <c r="A397" s="12" t="n">
        <v>2045.64</v>
      </c>
      <c r="B397" s="13" t="n">
        <f aca="false">A397-$A$2</f>
        <v>19.759</v>
      </c>
      <c r="C397" s="14" t="n">
        <v>452.93</v>
      </c>
      <c r="D397" s="13" t="n">
        <f aca="false">C397*Config!$B$8</f>
        <v>161.607879405477</v>
      </c>
    </row>
    <row r="398" customFormat="false" ht="15" hidden="false" customHeight="false" outlineLevel="0" collapsed="false">
      <c r="A398" s="12" t="n">
        <v>2045.69</v>
      </c>
      <c r="B398" s="13" t="n">
        <f aca="false">A398-$A$2</f>
        <v>19.809</v>
      </c>
      <c r="C398" s="14" t="n">
        <v>448.13</v>
      </c>
      <c r="D398" s="13" t="n">
        <f aca="false">C398*Config!$B$8</f>
        <v>159.895213383914</v>
      </c>
    </row>
    <row r="399" customFormat="false" ht="15" hidden="false" customHeight="false" outlineLevel="0" collapsed="false">
      <c r="A399" s="12" t="n">
        <v>2045.74</v>
      </c>
      <c r="B399" s="13" t="n">
        <f aca="false">A399-$A$2</f>
        <v>19.8589999999999</v>
      </c>
      <c r="C399" s="14" t="n">
        <v>457.74</v>
      </c>
      <c r="D399" s="13" t="n">
        <f aca="false">C399*Config!$B$8</f>
        <v>163.324113481251</v>
      </c>
    </row>
    <row r="400" customFormat="false" ht="15" hidden="false" customHeight="false" outlineLevel="0" collapsed="false">
      <c r="A400" s="12" t="n">
        <v>2045.79</v>
      </c>
      <c r="B400" s="13" t="n">
        <f aca="false">A400-$A$2</f>
        <v>19.9089999999999</v>
      </c>
      <c r="C400" s="14" t="n">
        <v>453.61</v>
      </c>
      <c r="D400" s="13" t="n">
        <f aca="false">C400*Config!$B$8</f>
        <v>161.850507091865</v>
      </c>
    </row>
    <row r="401" customFormat="false" ht="15" hidden="false" customHeight="false" outlineLevel="0" collapsed="false">
      <c r="A401" s="12" t="n">
        <v>2045.84</v>
      </c>
      <c r="B401" s="13" t="n">
        <f aca="false">A401-$A$2</f>
        <v>19.9589999999998</v>
      </c>
      <c r="C401" s="14" t="n">
        <v>456.8</v>
      </c>
      <c r="D401" s="13" t="n">
        <f aca="false">C401*Config!$B$8</f>
        <v>162.988716385361</v>
      </c>
    </row>
    <row r="402" customFormat="false" ht="15" hidden="false" customHeight="false" outlineLevel="0" collapsed="false">
      <c r="A402" s="12" t="n">
        <v>2045.89</v>
      </c>
      <c r="B402" s="13" t="n">
        <f aca="false">A402-$A$2</f>
        <v>20.009</v>
      </c>
      <c r="C402" s="14" t="n">
        <v>446.63</v>
      </c>
      <c r="D402" s="13" t="n">
        <f aca="false">C402*Config!$B$8</f>
        <v>159.360005252176</v>
      </c>
    </row>
    <row r="403" customFormat="false" ht="15" hidden="false" customHeight="false" outlineLevel="0" collapsed="false">
      <c r="A403" s="12" t="n">
        <v>2045.94</v>
      </c>
      <c r="B403" s="13" t="n">
        <f aca="false">A403-$A$2</f>
        <v>20.059</v>
      </c>
      <c r="C403" s="14" t="n">
        <v>450.78</v>
      </c>
      <c r="D403" s="13" t="n">
        <f aca="false">C403*Config!$B$8</f>
        <v>160.840747749985</v>
      </c>
    </row>
    <row r="404" customFormat="false" ht="15" hidden="false" customHeight="false" outlineLevel="0" collapsed="false">
      <c r="A404" s="12" t="n">
        <v>2045.99</v>
      </c>
      <c r="B404" s="13" t="n">
        <f aca="false">A404-$A$2</f>
        <v>20.1089999999999</v>
      </c>
      <c r="C404" s="14" t="n">
        <v>454.92</v>
      </c>
      <c r="D404" s="13" t="n">
        <f aca="false">C404*Config!$B$8</f>
        <v>162.317922193583</v>
      </c>
    </row>
    <row r="405" customFormat="false" ht="15" hidden="false" customHeight="false" outlineLevel="0" collapsed="false">
      <c r="A405" s="12" t="n">
        <v>2046.04</v>
      </c>
      <c r="B405" s="13" t="n">
        <f aca="false">A405-$A$2</f>
        <v>20.1589999999999</v>
      </c>
      <c r="C405" s="14" t="n">
        <v>446.51</v>
      </c>
      <c r="D405" s="13" t="n">
        <f aca="false">C405*Config!$B$8</f>
        <v>159.317188601637</v>
      </c>
    </row>
    <row r="406" customFormat="false" ht="15" hidden="false" customHeight="false" outlineLevel="0" collapsed="false">
      <c r="A406" s="12" t="n">
        <v>2046.09</v>
      </c>
      <c r="B406" s="13" t="n">
        <f aca="false">A406-$A$2</f>
        <v>20.2089999999998</v>
      </c>
      <c r="C406" s="14" t="n">
        <v>449.82</v>
      </c>
      <c r="D406" s="13" t="n">
        <f aca="false">C406*Config!$B$8</f>
        <v>160.498214545673</v>
      </c>
    </row>
    <row r="407" customFormat="false" ht="15" hidden="false" customHeight="false" outlineLevel="0" collapsed="false">
      <c r="A407" s="12" t="n">
        <v>2046.14</v>
      </c>
      <c r="B407" s="13" t="n">
        <f aca="false">A407-$A$2</f>
        <v>20.259</v>
      </c>
      <c r="C407" s="14" t="n">
        <v>446.77</v>
      </c>
      <c r="D407" s="13" t="n">
        <f aca="false">C407*Config!$B$8</f>
        <v>159.409958011138</v>
      </c>
    </row>
    <row r="408" customFormat="false" ht="15" hidden="false" customHeight="false" outlineLevel="0" collapsed="false">
      <c r="A408" s="12" t="n">
        <v>2046.19</v>
      </c>
      <c r="B408" s="13" t="n">
        <f aca="false">A408-$A$2</f>
        <v>20.309</v>
      </c>
      <c r="C408" s="14" t="n">
        <v>455.06</v>
      </c>
      <c r="D408" s="13" t="n">
        <f aca="false">C408*Config!$B$8</f>
        <v>162.367874952545</v>
      </c>
    </row>
    <row r="409" customFormat="false" ht="15" hidden="false" customHeight="false" outlineLevel="0" collapsed="false">
      <c r="A409" s="12" t="n">
        <v>2046.24</v>
      </c>
      <c r="B409" s="13" t="n">
        <f aca="false">A409-$A$2</f>
        <v>20.3589999999999</v>
      </c>
      <c r="C409" s="14" t="n">
        <v>453.91</v>
      </c>
      <c r="D409" s="13" t="n">
        <f aca="false">C409*Config!$B$8</f>
        <v>161.957548718212</v>
      </c>
    </row>
    <row r="410" customFormat="false" ht="15" hidden="false" customHeight="false" outlineLevel="0" collapsed="false">
      <c r="A410" s="12" t="n">
        <v>2046.29</v>
      </c>
      <c r="B410" s="13" t="n">
        <f aca="false">A410-$A$2</f>
        <v>20.4089999999999</v>
      </c>
      <c r="C410" s="14" t="n">
        <v>451.24</v>
      </c>
      <c r="D410" s="13" t="n">
        <f aca="false">C410*Config!$B$8</f>
        <v>161.004878243718</v>
      </c>
    </row>
    <row r="411" customFormat="false" ht="15" hidden="false" customHeight="false" outlineLevel="0" collapsed="false">
      <c r="A411" s="12" t="n">
        <v>2046.34</v>
      </c>
      <c r="B411" s="13" t="n">
        <f aca="false">A411-$A$2</f>
        <v>20.4589999999998</v>
      </c>
      <c r="C411" s="14" t="n">
        <v>447.5</v>
      </c>
      <c r="D411" s="13" t="n">
        <f aca="false">C411*Config!$B$8</f>
        <v>159.670425968584</v>
      </c>
    </row>
    <row r="412" customFormat="false" ht="15" hidden="false" customHeight="false" outlineLevel="0" collapsed="false">
      <c r="A412" s="12" t="n">
        <v>2046.39</v>
      </c>
      <c r="B412" s="13" t="n">
        <f aca="false">A412-$A$2</f>
        <v>20.509</v>
      </c>
      <c r="C412" s="14" t="n">
        <v>454.61</v>
      </c>
      <c r="D412" s="13" t="n">
        <f aca="false">C412*Config!$B$8</f>
        <v>162.207312513023</v>
      </c>
    </row>
    <row r="413" customFormat="false" ht="15" hidden="false" customHeight="false" outlineLevel="0" collapsed="false">
      <c r="A413" s="12" t="n">
        <v>2046.44</v>
      </c>
      <c r="B413" s="13" t="n">
        <f aca="false">A413-$A$2</f>
        <v>20.559</v>
      </c>
      <c r="C413" s="14" t="n">
        <v>453.33</v>
      </c>
      <c r="D413" s="13" t="n">
        <f aca="false">C413*Config!$B$8</f>
        <v>161.75060157394</v>
      </c>
    </row>
    <row r="414" customFormat="false" ht="15" hidden="false" customHeight="false" outlineLevel="0" collapsed="false">
      <c r="A414" s="12" t="n">
        <v>2046.49</v>
      </c>
      <c r="B414" s="13" t="n">
        <f aca="false">A414-$A$2</f>
        <v>20.6089999999999</v>
      </c>
      <c r="C414" s="14" t="n">
        <v>451.36</v>
      </c>
      <c r="D414" s="13" t="n">
        <f aca="false">C414*Config!$B$8</f>
        <v>161.047694894257</v>
      </c>
    </row>
    <row r="415" customFormat="false" ht="15" hidden="false" customHeight="false" outlineLevel="0" collapsed="false">
      <c r="A415" s="12" t="n">
        <v>2046.54</v>
      </c>
      <c r="B415" s="13" t="n">
        <f aca="false">A415-$A$2</f>
        <v>20.6589999999999</v>
      </c>
      <c r="C415" s="14" t="n">
        <v>452.29</v>
      </c>
      <c r="D415" s="13" t="n">
        <f aca="false">C415*Config!$B$8</f>
        <v>161.379523935935</v>
      </c>
    </row>
    <row r="416" customFormat="false" ht="15" hidden="false" customHeight="false" outlineLevel="0" collapsed="false">
      <c r="A416" s="12" t="n">
        <v>2046.59</v>
      </c>
      <c r="B416" s="13" t="n">
        <f aca="false">A416-$A$2</f>
        <v>20.7089999999998</v>
      </c>
      <c r="C416" s="14" t="n">
        <v>450.57</v>
      </c>
      <c r="D416" s="13" t="n">
        <f aca="false">C416*Config!$B$8</f>
        <v>160.765818611542</v>
      </c>
    </row>
    <row r="417" customFormat="false" ht="15" hidden="false" customHeight="false" outlineLevel="0" collapsed="false">
      <c r="A417" s="12" t="n">
        <v>2046.64</v>
      </c>
      <c r="B417" s="13" t="n">
        <f aca="false">A417-$A$2</f>
        <v>20.759</v>
      </c>
      <c r="C417" s="14" t="n">
        <v>451.94</v>
      </c>
      <c r="D417" s="13" t="n">
        <f aca="false">C417*Config!$B$8</f>
        <v>161.254642038529</v>
      </c>
    </row>
    <row r="418" customFormat="false" ht="15" hidden="false" customHeight="false" outlineLevel="0" collapsed="false">
      <c r="A418" s="12" t="n">
        <v>2046.69</v>
      </c>
      <c r="B418" s="13" t="n">
        <f aca="false">A418-$A$2</f>
        <v>20.809</v>
      </c>
      <c r="C418" s="14" t="n">
        <v>448.8</v>
      </c>
      <c r="D418" s="13" t="n">
        <f aca="false">C418*Config!$B$8</f>
        <v>160.134273016091</v>
      </c>
    </row>
    <row r="419" customFormat="false" ht="15" hidden="false" customHeight="false" outlineLevel="0" collapsed="false">
      <c r="A419" s="12" t="n">
        <v>2046.74</v>
      </c>
      <c r="B419" s="13" t="n">
        <f aca="false">A419-$A$2</f>
        <v>20.8589999999999</v>
      </c>
      <c r="C419" s="14" t="n">
        <v>451.47</v>
      </c>
      <c r="D419" s="13" t="n">
        <f aca="false">C419*Config!$B$8</f>
        <v>161.086943490585</v>
      </c>
    </row>
    <row r="420" customFormat="false" ht="15" hidden="false" customHeight="false" outlineLevel="0" collapsed="false">
      <c r="A420" s="12" t="n">
        <v>2046.79</v>
      </c>
      <c r="B420" s="13" t="n">
        <f aca="false">A420-$A$2</f>
        <v>20.9089999999999</v>
      </c>
      <c r="C420" s="14" t="n">
        <v>451.02</v>
      </c>
      <c r="D420" s="13" t="n">
        <f aca="false">C420*Config!$B$8</f>
        <v>160.926381051063</v>
      </c>
    </row>
    <row r="421" customFormat="false" ht="15" hidden="false" customHeight="false" outlineLevel="0" collapsed="false">
      <c r="A421" s="12" t="n">
        <v>2046.84</v>
      </c>
      <c r="B421" s="13" t="n">
        <f aca="false">A421-$A$2</f>
        <v>20.9589999999998</v>
      </c>
      <c r="C421" s="14" t="n">
        <v>447.67</v>
      </c>
      <c r="D421" s="13" t="n">
        <f aca="false">C421*Config!$B$8</f>
        <v>159.731082890181</v>
      </c>
    </row>
    <row r="422" customFormat="false" ht="15" hidden="false" customHeight="false" outlineLevel="0" collapsed="false">
      <c r="A422" s="12" t="n">
        <v>2046.891</v>
      </c>
      <c r="B422" s="13" t="n">
        <f aca="false">A422-$A$2</f>
        <v>21.01</v>
      </c>
      <c r="C422" s="14" t="n">
        <v>457.84</v>
      </c>
      <c r="D422" s="13" t="n">
        <f aca="false">C422*Config!$B$8</f>
        <v>163.359794023367</v>
      </c>
    </row>
    <row r="423" customFormat="false" ht="15" hidden="false" customHeight="false" outlineLevel="0" collapsed="false">
      <c r="A423" s="12" t="n">
        <v>2046.941</v>
      </c>
      <c r="B423" s="13" t="n">
        <f aca="false">A423-$A$2</f>
        <v>21.0599999999999</v>
      </c>
      <c r="C423" s="14" t="n">
        <v>449.8</v>
      </c>
      <c r="D423" s="13" t="n">
        <f aca="false">C423*Config!$B$8</f>
        <v>160.491078437249</v>
      </c>
    </row>
    <row r="424" customFormat="false" ht="15" hidden="false" customHeight="false" outlineLevel="0" collapsed="false">
      <c r="A424" s="12" t="n">
        <v>2046.991</v>
      </c>
      <c r="B424" s="13" t="n">
        <f aca="false">A424-$A$2</f>
        <v>21.1099999999999</v>
      </c>
      <c r="C424" s="14" t="n">
        <v>451.03</v>
      </c>
      <c r="D424" s="13" t="n">
        <f aca="false">C424*Config!$B$8</f>
        <v>160.929949105275</v>
      </c>
    </row>
    <row r="425" customFormat="false" ht="15" hidden="false" customHeight="false" outlineLevel="0" collapsed="false">
      <c r="A425" s="12" t="n">
        <v>2047.041</v>
      </c>
      <c r="B425" s="13" t="n">
        <f aca="false">A425-$A$2</f>
        <v>21.1599999999999</v>
      </c>
      <c r="C425" s="14" t="n">
        <v>454.39</v>
      </c>
      <c r="D425" s="13" t="n">
        <f aca="false">C425*Config!$B$8</f>
        <v>162.128815320369</v>
      </c>
    </row>
    <row r="426" customFormat="false" ht="15" hidden="false" customHeight="false" outlineLevel="0" collapsed="false">
      <c r="A426" s="12" t="n">
        <v>2047.091</v>
      </c>
      <c r="B426" s="13" t="n">
        <f aca="false">A426-$A$2</f>
        <v>21.2099999999998</v>
      </c>
      <c r="C426" s="14" t="n">
        <v>453.11</v>
      </c>
      <c r="D426" s="13" t="n">
        <f aca="false">C426*Config!$B$8</f>
        <v>161.672104381285</v>
      </c>
    </row>
    <row r="427" customFormat="false" ht="15" hidden="false" customHeight="false" outlineLevel="0" collapsed="false">
      <c r="A427" s="12" t="n">
        <v>2047.141</v>
      </c>
      <c r="B427" s="13" t="n">
        <f aca="false">A427-$A$2</f>
        <v>21.26</v>
      </c>
      <c r="C427" s="14" t="n">
        <v>455.91</v>
      </c>
      <c r="D427" s="13" t="n">
        <f aca="false">C427*Config!$B$8</f>
        <v>162.67115956053</v>
      </c>
    </row>
    <row r="428" customFormat="false" ht="15" hidden="false" customHeight="false" outlineLevel="0" collapsed="false">
      <c r="A428" s="12" t="n">
        <v>2047.191</v>
      </c>
      <c r="B428" s="13" t="n">
        <f aca="false">A428-$A$2</f>
        <v>21.3099999999999</v>
      </c>
      <c r="C428" s="14" t="n">
        <v>454.54</v>
      </c>
      <c r="D428" s="13" t="n">
        <f aca="false">C428*Config!$B$8</f>
        <v>162.182336133542</v>
      </c>
    </row>
    <row r="429" customFormat="false" ht="15" hidden="false" customHeight="false" outlineLevel="0" collapsed="false">
      <c r="A429" s="12" t="n">
        <v>2047.241</v>
      </c>
      <c r="B429" s="13" t="n">
        <f aca="false">A429-$A$2</f>
        <v>21.3599999999999</v>
      </c>
      <c r="C429" s="14" t="n">
        <v>460.71</v>
      </c>
      <c r="D429" s="13" t="n">
        <f aca="false">C429*Config!$B$8</f>
        <v>164.383825582092</v>
      </c>
    </row>
    <row r="430" customFormat="false" ht="15" hidden="false" customHeight="false" outlineLevel="0" collapsed="false">
      <c r="A430" s="12" t="n">
        <v>2047.291</v>
      </c>
      <c r="B430" s="13" t="n">
        <f aca="false">A430-$A$2</f>
        <v>21.4099999999999</v>
      </c>
      <c r="C430" s="14" t="n">
        <v>464.65</v>
      </c>
      <c r="D430" s="13" t="n">
        <f aca="false">C430*Config!$B$8</f>
        <v>165.789638941458</v>
      </c>
    </row>
    <row r="431" customFormat="false" ht="15" hidden="false" customHeight="false" outlineLevel="0" collapsed="false">
      <c r="A431" s="12" t="n">
        <v>2047.341</v>
      </c>
      <c r="B431" s="13" t="n">
        <f aca="false">A431-$A$2</f>
        <v>21.4599999999998</v>
      </c>
      <c r="C431" s="14" t="n">
        <v>450.37</v>
      </c>
      <c r="D431" s="13" t="n">
        <f aca="false">C431*Config!$B$8</f>
        <v>160.69445752731</v>
      </c>
    </row>
    <row r="432" customFormat="false" ht="15" hidden="false" customHeight="false" outlineLevel="0" collapsed="false">
      <c r="A432" s="12" t="n">
        <v>2047.391</v>
      </c>
      <c r="B432" s="13" t="n">
        <f aca="false">A432-$A$2</f>
        <v>21.51</v>
      </c>
      <c r="C432" s="14" t="n">
        <v>454.04</v>
      </c>
      <c r="D432" s="13" t="n">
        <f aca="false">C432*Config!$B$8</f>
        <v>162.003933422963</v>
      </c>
    </row>
    <row r="433" customFormat="false" ht="15" hidden="false" customHeight="false" outlineLevel="0" collapsed="false">
      <c r="A433" s="12" t="n">
        <v>2047.441</v>
      </c>
      <c r="B433" s="13" t="n">
        <f aca="false">A433-$A$2</f>
        <v>21.5599999999999</v>
      </c>
      <c r="C433" s="14" t="n">
        <v>455.84</v>
      </c>
      <c r="D433" s="13" t="n">
        <f aca="false">C433*Config!$B$8</f>
        <v>162.646183181049</v>
      </c>
    </row>
    <row r="434" customFormat="false" ht="15" hidden="false" customHeight="false" outlineLevel="0" collapsed="false">
      <c r="A434" s="12" t="n">
        <v>2047.491</v>
      </c>
      <c r="B434" s="13" t="n">
        <f aca="false">A434-$A$2</f>
        <v>21.6099999999999</v>
      </c>
      <c r="C434" s="14" t="n">
        <v>457.64</v>
      </c>
      <c r="D434" s="13" t="n">
        <f aca="false">C434*Config!$B$8</f>
        <v>163.288432939135</v>
      </c>
    </row>
    <row r="435" customFormat="false" ht="15" hidden="false" customHeight="false" outlineLevel="0" collapsed="false">
      <c r="A435" s="12" t="n">
        <v>2047.541</v>
      </c>
      <c r="B435" s="13" t="n">
        <f aca="false">A435-$A$2</f>
        <v>21.6599999999999</v>
      </c>
      <c r="C435" s="14" t="n">
        <v>452.12</v>
      </c>
      <c r="D435" s="13" t="n">
        <f aca="false">C435*Config!$B$8</f>
        <v>161.318867014338</v>
      </c>
    </row>
    <row r="436" customFormat="false" ht="15" hidden="false" customHeight="false" outlineLevel="0" collapsed="false">
      <c r="A436" s="12" t="n">
        <v>2047.591</v>
      </c>
      <c r="B436" s="13" t="n">
        <f aca="false">A436-$A$2</f>
        <v>21.7099999999998</v>
      </c>
      <c r="C436" s="14" t="n">
        <v>451.02</v>
      </c>
      <c r="D436" s="13" t="n">
        <f aca="false">C436*Config!$B$8</f>
        <v>160.926381051063</v>
      </c>
    </row>
    <row r="437" customFormat="false" ht="15" hidden="false" customHeight="false" outlineLevel="0" collapsed="false">
      <c r="A437" s="12" t="n">
        <v>2047.641</v>
      </c>
      <c r="B437" s="13" t="n">
        <f aca="false">A437-$A$2</f>
        <v>21.76</v>
      </c>
      <c r="C437" s="14" t="n">
        <v>447.54</v>
      </c>
      <c r="D437" s="13" t="n">
        <f aca="false">C437*Config!$B$8</f>
        <v>159.68469818543</v>
      </c>
    </row>
    <row r="438" customFormat="false" ht="15" hidden="false" customHeight="false" outlineLevel="0" collapsed="false">
      <c r="A438" s="12" t="n">
        <v>2047.691</v>
      </c>
      <c r="B438" s="13" t="n">
        <f aca="false">A438-$A$2</f>
        <v>21.8099999999999</v>
      </c>
      <c r="C438" s="14" t="n">
        <v>449.1</v>
      </c>
      <c r="D438" s="13" t="n">
        <f aca="false">C438*Config!$B$8</f>
        <v>160.241314642438</v>
      </c>
    </row>
    <row r="439" customFormat="false" ht="15" hidden="false" customHeight="false" outlineLevel="0" collapsed="false">
      <c r="A439" s="12" t="n">
        <v>2047.741</v>
      </c>
      <c r="B439" s="13" t="n">
        <f aca="false">A439-$A$2</f>
        <v>21.8599999999999</v>
      </c>
      <c r="C439" s="14" t="n">
        <v>449.53</v>
      </c>
      <c r="D439" s="13" t="n">
        <f aca="false">C439*Config!$B$8</f>
        <v>160.394740973536</v>
      </c>
    </row>
    <row r="440" customFormat="false" ht="15" hidden="false" customHeight="false" outlineLevel="0" collapsed="false">
      <c r="A440" s="12" t="n">
        <v>2047.791</v>
      </c>
      <c r="B440" s="13" t="n">
        <f aca="false">A440-$A$2</f>
        <v>21.9099999999999</v>
      </c>
      <c r="C440" s="14" t="n">
        <v>450.76</v>
      </c>
      <c r="D440" s="13" t="n">
        <f aca="false">C440*Config!$B$8</f>
        <v>160.833611641562</v>
      </c>
    </row>
    <row r="441" customFormat="false" ht="15" hidden="false" customHeight="false" outlineLevel="0" collapsed="false">
      <c r="A441" s="12" t="n">
        <v>2047.841</v>
      </c>
      <c r="B441" s="13" t="n">
        <f aca="false">A441-$A$2</f>
        <v>21.9599999999998</v>
      </c>
      <c r="C441" s="14" t="n">
        <v>456.41</v>
      </c>
      <c r="D441" s="13" t="n">
        <f aca="false">C441*Config!$B$8</f>
        <v>162.849562271109</v>
      </c>
    </row>
    <row r="442" customFormat="false" ht="15" hidden="false" customHeight="false" outlineLevel="0" collapsed="false">
      <c r="A442" s="12" t="n">
        <v>2047.891</v>
      </c>
      <c r="B442" s="13" t="n">
        <f aca="false">A442-$A$2</f>
        <v>22.01</v>
      </c>
      <c r="C442" s="14" t="n">
        <v>451.92</v>
      </c>
      <c r="D442" s="13" t="n">
        <f aca="false">C442*Config!$B$8</f>
        <v>161.247505930106</v>
      </c>
    </row>
    <row r="443" customFormat="false" ht="15" hidden="false" customHeight="false" outlineLevel="0" collapsed="false">
      <c r="A443" s="12" t="n">
        <v>2047.941</v>
      </c>
      <c r="B443" s="13" t="n">
        <f aca="false">A443-$A$2</f>
        <v>22.0599999999999</v>
      </c>
      <c r="C443" s="14" t="n">
        <v>455.67</v>
      </c>
      <c r="D443" s="13" t="n">
        <f aca="false">C443*Config!$B$8</f>
        <v>162.585526259452</v>
      </c>
    </row>
    <row r="444" customFormat="false" ht="15" hidden="false" customHeight="false" outlineLevel="0" collapsed="false">
      <c r="A444" s="12" t="n">
        <v>2047.991</v>
      </c>
      <c r="B444" s="13" t="n">
        <f aca="false">A444-$A$2</f>
        <v>22.1099999999999</v>
      </c>
      <c r="C444" s="14" t="n">
        <v>452.29</v>
      </c>
      <c r="D444" s="13" t="n">
        <f aca="false">C444*Config!$B$8</f>
        <v>161.379523935935</v>
      </c>
    </row>
    <row r="445" customFormat="false" ht="15" hidden="false" customHeight="false" outlineLevel="0" collapsed="false">
      <c r="A445" s="12" t="n">
        <v>2048.041</v>
      </c>
      <c r="B445" s="13" t="n">
        <f aca="false">A445-$A$2</f>
        <v>22.1600000000001</v>
      </c>
      <c r="C445" s="14" t="n">
        <v>456.48</v>
      </c>
      <c r="D445" s="13" t="n">
        <f aca="false">C445*Config!$B$8</f>
        <v>162.874538650591</v>
      </c>
    </row>
    <row r="446" customFormat="false" ht="15" hidden="false" customHeight="false" outlineLevel="0" collapsed="false">
      <c r="A446" s="12" t="n">
        <v>2048.091</v>
      </c>
      <c r="B446" s="13" t="n">
        <f aca="false">A446-$A$2</f>
        <v>22.2099999999998</v>
      </c>
      <c r="C446" s="14" t="n">
        <v>451.42</v>
      </c>
      <c r="D446" s="13" t="n">
        <f aca="false">C446*Config!$B$8</f>
        <v>161.069103219527</v>
      </c>
    </row>
    <row r="447" customFormat="false" ht="15" hidden="false" customHeight="false" outlineLevel="0" collapsed="false">
      <c r="A447" s="12" t="n">
        <v>2048.141</v>
      </c>
      <c r="B447" s="13" t="n">
        <f aca="false">A447-$A$2</f>
        <v>22.26</v>
      </c>
      <c r="C447" s="14" t="n">
        <v>457.43</v>
      </c>
      <c r="D447" s="13" t="n">
        <f aca="false">C447*Config!$B$8</f>
        <v>163.213503800691</v>
      </c>
    </row>
    <row r="448" customFormat="false" ht="15" hidden="false" customHeight="false" outlineLevel="0" collapsed="false">
      <c r="A448" s="12" t="n">
        <v>2048.191</v>
      </c>
      <c r="B448" s="13" t="n">
        <f aca="false">A448-$A$2</f>
        <v>22.3099999999997</v>
      </c>
      <c r="C448" s="14" t="n">
        <v>451.84</v>
      </c>
      <c r="D448" s="13" t="n">
        <f aca="false">C448*Config!$B$8</f>
        <v>161.218961496413</v>
      </c>
    </row>
    <row r="449" customFormat="false" ht="15" hidden="false" customHeight="false" outlineLevel="0" collapsed="false">
      <c r="A449" s="12" t="n">
        <v>2048.241</v>
      </c>
      <c r="B449" s="13" t="n">
        <f aca="false">A449-$A$2</f>
        <v>22.3599999999999</v>
      </c>
      <c r="C449" s="14" t="n">
        <v>458.31</v>
      </c>
      <c r="D449" s="13" t="n">
        <f aca="false">C449*Config!$B$8</f>
        <v>163.527492571311</v>
      </c>
    </row>
    <row r="450" customFormat="false" ht="15" hidden="false" customHeight="false" outlineLevel="0" collapsed="false">
      <c r="A450" s="12" t="n">
        <v>2048.291</v>
      </c>
      <c r="B450" s="13" t="n">
        <f aca="false">A450-$A$2</f>
        <v>22.4100000000001</v>
      </c>
      <c r="C450" s="14" t="n">
        <v>451.26</v>
      </c>
      <c r="D450" s="13" t="n">
        <f aca="false">C450*Config!$B$8</f>
        <v>161.012014352141</v>
      </c>
    </row>
    <row r="451" customFormat="false" ht="15" hidden="false" customHeight="false" outlineLevel="0" collapsed="false">
      <c r="A451" s="12" t="n">
        <v>2048.342</v>
      </c>
      <c r="B451" s="13" t="n">
        <f aca="false">A451-$A$2</f>
        <v>22.461</v>
      </c>
      <c r="C451" s="14" t="n">
        <v>447.31</v>
      </c>
      <c r="D451" s="13" t="n">
        <f aca="false">C451*Config!$B$8</f>
        <v>159.602632938564</v>
      </c>
    </row>
    <row r="452" customFormat="false" ht="15" hidden="false" customHeight="false" outlineLevel="0" collapsed="false">
      <c r="A452" s="12" t="n">
        <v>2048.392</v>
      </c>
      <c r="B452" s="13" t="n">
        <f aca="false">A452-$A$2</f>
        <v>22.5109999999997</v>
      </c>
      <c r="C452" s="14" t="n">
        <v>455.19</v>
      </c>
      <c r="D452" s="13" t="n">
        <f aca="false">C452*Config!$B$8</f>
        <v>162.414259657296</v>
      </c>
    </row>
    <row r="453" customFormat="false" ht="15" hidden="false" customHeight="false" outlineLevel="0" collapsed="false">
      <c r="A453" s="12" t="n">
        <v>2048.442</v>
      </c>
      <c r="B453" s="13" t="n">
        <f aca="false">A453-$A$2</f>
        <v>22.5609999999999</v>
      </c>
      <c r="C453" s="14" t="n">
        <v>459.83</v>
      </c>
      <c r="D453" s="13" t="n">
        <f aca="false">C453*Config!$B$8</f>
        <v>164.069836811473</v>
      </c>
    </row>
    <row r="454" customFormat="false" ht="15" hidden="false" customHeight="false" outlineLevel="0" collapsed="false">
      <c r="A454" s="12" t="n">
        <v>2048.492</v>
      </c>
      <c r="B454" s="13" t="n">
        <f aca="false">A454-$A$2</f>
        <v>22.6110000000001</v>
      </c>
      <c r="C454" s="14" t="n">
        <v>451.84</v>
      </c>
      <c r="D454" s="13" t="n">
        <f aca="false">C454*Config!$B$8</f>
        <v>161.218961496413</v>
      </c>
    </row>
    <row r="455" customFormat="false" ht="15" hidden="false" customHeight="false" outlineLevel="0" collapsed="false">
      <c r="A455" s="12" t="n">
        <v>2048.542</v>
      </c>
      <c r="B455" s="13" t="n">
        <f aca="false">A455-$A$2</f>
        <v>22.6609999999998</v>
      </c>
      <c r="C455" s="14" t="n">
        <v>453.01</v>
      </c>
      <c r="D455" s="13" t="n">
        <f aca="false">C455*Config!$B$8</f>
        <v>161.636423839169</v>
      </c>
    </row>
    <row r="456" customFormat="false" ht="15" hidden="false" customHeight="false" outlineLevel="0" collapsed="false">
      <c r="A456" s="12" t="n">
        <v>2048.592</v>
      </c>
      <c r="B456" s="13" t="n">
        <f aca="false">A456-$A$2</f>
        <v>22.711</v>
      </c>
      <c r="C456" s="14" t="n">
        <v>451.29</v>
      </c>
      <c r="D456" s="13" t="n">
        <f aca="false">C456*Config!$B$8</f>
        <v>161.022718514776</v>
      </c>
    </row>
    <row r="457" customFormat="false" ht="15" hidden="false" customHeight="false" outlineLevel="0" collapsed="false">
      <c r="A457" s="12" t="n">
        <v>2048.642</v>
      </c>
      <c r="B457" s="13" t="n">
        <f aca="false">A457-$A$2</f>
        <v>22.7609999999997</v>
      </c>
      <c r="C457" s="14" t="n">
        <v>454</v>
      </c>
      <c r="D457" s="13" t="n">
        <f aca="false">C457*Config!$B$8</f>
        <v>161.989661206117</v>
      </c>
    </row>
    <row r="458" customFormat="false" ht="15" hidden="false" customHeight="false" outlineLevel="0" collapsed="false">
      <c r="A458" s="12" t="n">
        <v>2048.692</v>
      </c>
      <c r="B458" s="13" t="n">
        <f aca="false">A458-$A$2</f>
        <v>22.8109999999999</v>
      </c>
      <c r="C458" s="14" t="n">
        <v>452.81</v>
      </c>
      <c r="D458" s="13" t="n">
        <f aca="false">C458*Config!$B$8</f>
        <v>161.565062754938</v>
      </c>
    </row>
    <row r="459" customFormat="false" ht="15" hidden="false" customHeight="false" outlineLevel="0" collapsed="false">
      <c r="A459" s="12" t="n">
        <v>2048.742</v>
      </c>
      <c r="B459" s="13" t="n">
        <f aca="false">A459-$A$2</f>
        <v>22.8610000000001</v>
      </c>
      <c r="C459" s="14" t="n">
        <v>459.05</v>
      </c>
      <c r="D459" s="13" t="n">
        <f aca="false">C459*Config!$B$8</f>
        <v>163.791528582969</v>
      </c>
    </row>
    <row r="460" customFormat="false" ht="15" hidden="false" customHeight="false" outlineLevel="0" collapsed="false">
      <c r="A460" s="12" t="n">
        <v>2048.792</v>
      </c>
      <c r="B460" s="13" t="n">
        <f aca="false">A460-$A$2</f>
        <v>22.9109999999998</v>
      </c>
      <c r="C460" s="14" t="n">
        <v>464.21</v>
      </c>
      <c r="D460" s="13" t="n">
        <f aca="false">C460*Config!$B$8</f>
        <v>165.632644556148</v>
      </c>
    </row>
    <row r="461" customFormat="false" ht="15" hidden="false" customHeight="false" outlineLevel="0" collapsed="false">
      <c r="A461" s="12" t="n">
        <v>2048.842</v>
      </c>
      <c r="B461" s="13" t="n">
        <f aca="false">A461-$A$2</f>
        <v>22.961</v>
      </c>
      <c r="C461" s="14" t="n">
        <v>458.21</v>
      </c>
      <c r="D461" s="13" t="n">
        <f aca="false">C461*Config!$B$8</f>
        <v>163.491812029195</v>
      </c>
    </row>
    <row r="462" customFormat="false" ht="15" hidden="false" customHeight="false" outlineLevel="0" collapsed="false">
      <c r="A462" s="12" t="n">
        <v>2048.892</v>
      </c>
      <c r="B462" s="13" t="n">
        <f aca="false">A462-$A$2</f>
        <v>23.0109999999997</v>
      </c>
      <c r="C462" s="14" t="n">
        <v>458.9</v>
      </c>
      <c r="D462" s="13" t="n">
        <f aca="false">C462*Config!$B$8</f>
        <v>163.738007769795</v>
      </c>
    </row>
    <row r="463" customFormat="false" ht="15" hidden="false" customHeight="false" outlineLevel="0" collapsed="false">
      <c r="A463" s="12" t="n">
        <v>2048.942</v>
      </c>
      <c r="B463" s="13" t="n">
        <f aca="false">A463-$A$2</f>
        <v>23.0609999999999</v>
      </c>
      <c r="C463" s="14" t="n">
        <v>454.99</v>
      </c>
      <c r="D463" s="13" t="n">
        <f aca="false">C463*Config!$B$8</f>
        <v>162.342898573064</v>
      </c>
    </row>
    <row r="464" customFormat="false" ht="15" hidden="false" customHeight="false" outlineLevel="0" collapsed="false">
      <c r="A464" s="12" t="n">
        <v>2048.992</v>
      </c>
      <c r="B464" s="13" t="n">
        <f aca="false">A464-$A$2</f>
        <v>23.1110000000001</v>
      </c>
      <c r="C464" s="14" t="n">
        <v>463.6</v>
      </c>
      <c r="D464" s="13" t="n">
        <f aca="false">C464*Config!$B$8</f>
        <v>165.414993249242</v>
      </c>
    </row>
    <row r="465" customFormat="false" ht="15" hidden="false" customHeight="false" outlineLevel="0" collapsed="false">
      <c r="A465" s="12" t="n">
        <v>2049.042</v>
      </c>
      <c r="B465" s="13" t="n">
        <f aca="false">A465-$A$2</f>
        <v>23.1609999999998</v>
      </c>
      <c r="C465" s="14" t="n">
        <v>459.48</v>
      </c>
      <c r="D465" s="13" t="n">
        <f aca="false">C465*Config!$B$8</f>
        <v>163.944954914067</v>
      </c>
    </row>
    <row r="466" customFormat="false" ht="15" hidden="false" customHeight="false" outlineLevel="0" collapsed="false">
      <c r="A466" s="12" t="n">
        <v>2049.092</v>
      </c>
      <c r="B466" s="13" t="n">
        <f aca="false">A466-$A$2</f>
        <v>23.211</v>
      </c>
      <c r="C466" s="14" t="n">
        <v>462.8</v>
      </c>
      <c r="D466" s="13" t="n">
        <f aca="false">C466*Config!$B$8</f>
        <v>165.129548912314</v>
      </c>
    </row>
    <row r="467" customFormat="false" ht="15" hidden="false" customHeight="false" outlineLevel="0" collapsed="false">
      <c r="A467" s="12" t="n">
        <v>2049.142</v>
      </c>
      <c r="B467" s="13" t="n">
        <f aca="false">A467-$A$2</f>
        <v>23.2609999999997</v>
      </c>
      <c r="C467" s="14" t="n">
        <v>469.17</v>
      </c>
      <c r="D467" s="13" t="n">
        <f aca="false">C467*Config!$B$8</f>
        <v>167.402399445096</v>
      </c>
    </row>
    <row r="468" customFormat="false" ht="15" hidden="false" customHeight="false" outlineLevel="0" collapsed="false">
      <c r="A468" s="12" t="n">
        <v>2049.192</v>
      </c>
      <c r="B468" s="13" t="n">
        <f aca="false">A468-$A$2</f>
        <v>23.3109999999999</v>
      </c>
      <c r="C468" s="14" t="n">
        <v>476.89</v>
      </c>
      <c r="D468" s="13" t="n">
        <f aca="false">C468*Config!$B$8</f>
        <v>170.156937296443</v>
      </c>
    </row>
    <row r="469" customFormat="false" ht="15" hidden="false" customHeight="false" outlineLevel="0" collapsed="false">
      <c r="A469" s="12" t="n">
        <v>2049.242</v>
      </c>
      <c r="B469" s="13" t="n">
        <f aca="false">A469-$A$2</f>
        <v>23.3610000000001</v>
      </c>
      <c r="C469" s="14" t="n">
        <v>453.57</v>
      </c>
      <c r="D469" s="13" t="n">
        <f aca="false">C469*Config!$B$8</f>
        <v>161.836234875018</v>
      </c>
    </row>
    <row r="470" customFormat="false" ht="15" hidden="false" customHeight="false" outlineLevel="0" collapsed="false">
      <c r="A470" s="12" t="n">
        <v>2049.292</v>
      </c>
      <c r="B470" s="13" t="n">
        <f aca="false">A470-$A$2</f>
        <v>23.4109999999998</v>
      </c>
      <c r="C470" s="14" t="n">
        <v>458.47</v>
      </c>
      <c r="D470" s="13" t="n">
        <f aca="false">C470*Config!$B$8</f>
        <v>163.584581438697</v>
      </c>
    </row>
    <row r="471" customFormat="false" ht="15" hidden="false" customHeight="false" outlineLevel="0" collapsed="false">
      <c r="A471" s="12" t="n">
        <v>2049.342</v>
      </c>
      <c r="B471" s="13" t="n">
        <f aca="false">A471-$A$2</f>
        <v>23.461</v>
      </c>
      <c r="C471" s="14" t="n">
        <v>462.09</v>
      </c>
      <c r="D471" s="13" t="n">
        <f aca="false">C471*Config!$B$8</f>
        <v>164.876217063292</v>
      </c>
    </row>
    <row r="472" customFormat="false" ht="15" hidden="false" customHeight="false" outlineLevel="0" collapsed="false">
      <c r="A472" s="12" t="n">
        <v>2049.392</v>
      </c>
      <c r="B472" s="13" t="n">
        <f aca="false">A472-$A$2</f>
        <v>23.5109999999997</v>
      </c>
      <c r="C472" s="14" t="n">
        <v>473.53</v>
      </c>
      <c r="D472" s="13" t="n">
        <f aca="false">C472*Config!$B$8</f>
        <v>168.958071081349</v>
      </c>
    </row>
    <row r="473" customFormat="false" ht="15" hidden="false" customHeight="false" outlineLevel="0" collapsed="false">
      <c r="A473" s="12" t="n">
        <v>2049.442</v>
      </c>
      <c r="B473" s="13" t="n">
        <f aca="false">A473-$A$2</f>
        <v>23.5609999999999</v>
      </c>
      <c r="C473" s="14" t="n">
        <v>463.38</v>
      </c>
      <c r="D473" s="13" t="n">
        <f aca="false">C473*Config!$B$8</f>
        <v>165.336496056587</v>
      </c>
    </row>
    <row r="474" customFormat="false" ht="15" hidden="false" customHeight="false" outlineLevel="0" collapsed="false">
      <c r="A474" s="12" t="n">
        <v>2049.492</v>
      </c>
      <c r="B474" s="13" t="n">
        <f aca="false">A474-$A$2</f>
        <v>23.6110000000001</v>
      </c>
      <c r="C474" s="14" t="n">
        <v>454.26</v>
      </c>
      <c r="D474" s="13" t="n">
        <f aca="false">C474*Config!$B$8</f>
        <v>162.082430615618</v>
      </c>
    </row>
    <row r="475" customFormat="false" ht="15" hidden="false" customHeight="false" outlineLevel="0" collapsed="false">
      <c r="A475" s="12" t="n">
        <v>2049.542</v>
      </c>
      <c r="B475" s="13" t="n">
        <f aca="false">A475-$A$2</f>
        <v>23.6609999999998</v>
      </c>
      <c r="C475" s="14" t="n">
        <v>464.45</v>
      </c>
      <c r="D475" s="13" t="n">
        <f aca="false">C475*Config!$B$8</f>
        <v>165.718277857227</v>
      </c>
    </row>
    <row r="476" customFormat="false" ht="15" hidden="false" customHeight="false" outlineLevel="0" collapsed="false">
      <c r="A476" s="12" t="n">
        <v>2049.592</v>
      </c>
      <c r="B476" s="13" t="n">
        <f aca="false">A476-$A$2</f>
        <v>23.711</v>
      </c>
      <c r="C476" s="14" t="n">
        <v>464.44</v>
      </c>
      <c r="D476" s="13" t="n">
        <f aca="false">C476*Config!$B$8</f>
        <v>165.714709803015</v>
      </c>
    </row>
    <row r="477" customFormat="false" ht="15" hidden="false" customHeight="false" outlineLevel="0" collapsed="false">
      <c r="A477" s="12" t="n">
        <v>2049.642</v>
      </c>
      <c r="B477" s="13" t="n">
        <f aca="false">A477-$A$2</f>
        <v>23.7609999999997</v>
      </c>
      <c r="C477" s="14" t="n">
        <v>469.14</v>
      </c>
      <c r="D477" s="13" t="n">
        <f aca="false">C477*Config!$B$8</f>
        <v>167.391695282461</v>
      </c>
    </row>
    <row r="478" customFormat="false" ht="15" hidden="false" customHeight="false" outlineLevel="0" collapsed="false">
      <c r="A478" s="12" t="n">
        <v>2049.692</v>
      </c>
      <c r="B478" s="13" t="n">
        <f aca="false">A478-$A$2</f>
        <v>23.8109999999999</v>
      </c>
      <c r="C478" s="14" t="n">
        <v>461.3</v>
      </c>
      <c r="D478" s="13" t="n">
        <f aca="false">C478*Config!$B$8</f>
        <v>164.594340780576</v>
      </c>
    </row>
    <row r="479" customFormat="false" ht="15" hidden="false" customHeight="false" outlineLevel="0" collapsed="false">
      <c r="A479" s="12" t="n">
        <v>2049.742</v>
      </c>
      <c r="B479" s="13" t="n">
        <f aca="false">A479-$A$2</f>
        <v>23.8610000000001</v>
      </c>
      <c r="C479" s="14" t="n">
        <v>462.54</v>
      </c>
      <c r="D479" s="13" t="n">
        <f aca="false">C479*Config!$B$8</f>
        <v>165.036779502813</v>
      </c>
    </row>
    <row r="480" customFormat="false" ht="15" hidden="false" customHeight="false" outlineLevel="0" collapsed="false">
      <c r="A480" s="12" t="n">
        <v>2049.792</v>
      </c>
      <c r="B480" s="13" t="n">
        <f aca="false">A480-$A$2</f>
        <v>23.9109999999998</v>
      </c>
      <c r="C480" s="14" t="n">
        <v>469.13</v>
      </c>
      <c r="D480" s="13" t="n">
        <f aca="false">C480*Config!$B$8</f>
        <v>167.38812722825</v>
      </c>
    </row>
    <row r="481" customFormat="false" ht="15" hidden="false" customHeight="false" outlineLevel="0" collapsed="false">
      <c r="A481" s="12" t="n">
        <v>2049.842</v>
      </c>
      <c r="B481" s="13" t="n">
        <f aca="false">A481-$A$2</f>
        <v>23.961</v>
      </c>
      <c r="C481" s="14" t="n">
        <v>461.14</v>
      </c>
      <c r="D481" s="13" t="n">
        <f aca="false">C481*Config!$B$8</f>
        <v>164.537251913191</v>
      </c>
    </row>
    <row r="482" customFormat="false" ht="15" hidden="false" customHeight="false" outlineLevel="0" collapsed="false">
      <c r="A482" s="12" t="n">
        <v>2049.892</v>
      </c>
      <c r="B482" s="13" t="n">
        <f aca="false">A482-$A$2</f>
        <v>24.0109999999997</v>
      </c>
      <c r="C482" s="14" t="n">
        <v>464.52</v>
      </c>
      <c r="D482" s="13" t="n">
        <f aca="false">C482*Config!$B$8</f>
        <v>165.743254236708</v>
      </c>
    </row>
    <row r="483" customFormat="false" ht="15" hidden="false" customHeight="false" outlineLevel="0" collapsed="false">
      <c r="A483" s="12" t="n">
        <v>2049.942</v>
      </c>
      <c r="B483" s="13" t="n">
        <f aca="false">A483-$A$2</f>
        <v>24.0609999999999</v>
      </c>
      <c r="C483" s="14" t="n">
        <v>458.82</v>
      </c>
      <c r="D483" s="13" t="n">
        <f aca="false">C483*Config!$B$8</f>
        <v>163.709463336102</v>
      </c>
    </row>
    <row r="484" customFormat="false" ht="15" hidden="false" customHeight="false" outlineLevel="0" collapsed="false">
      <c r="A484" s="12" t="n">
        <v>2049.992</v>
      </c>
      <c r="B484" s="13" t="n">
        <f aca="false">A484-$A$2</f>
        <v>24.1110000000001</v>
      </c>
      <c r="C484" s="14" t="n">
        <v>470.96</v>
      </c>
      <c r="D484" s="13" t="n">
        <f aca="false">C484*Config!$B$8</f>
        <v>168.041081148971</v>
      </c>
    </row>
    <row r="485" customFormat="false" ht="15" hidden="false" customHeight="false" outlineLevel="0" collapsed="false">
      <c r="A485" s="12" t="n">
        <v>2050.042</v>
      </c>
      <c r="B485" s="13" t="n">
        <f aca="false">A485-$A$2</f>
        <v>24.1609999999998</v>
      </c>
      <c r="C485" s="14" t="n">
        <v>464.17</v>
      </c>
      <c r="D485" s="13" t="n">
        <f aca="false">C485*Config!$B$8</f>
        <v>165.618372339302</v>
      </c>
    </row>
    <row r="486" customFormat="false" ht="15" hidden="false" customHeight="false" outlineLevel="0" collapsed="false">
      <c r="A486" s="12" t="n">
        <v>2050.092</v>
      </c>
      <c r="B486" s="13" t="n">
        <f aca="false">A486-$A$2</f>
        <v>24.211</v>
      </c>
      <c r="C486" s="14" t="n">
        <v>460.68</v>
      </c>
      <c r="D486" s="13" t="n">
        <f aca="false">C486*Config!$B$8</f>
        <v>164.373121419458</v>
      </c>
    </row>
    <row r="487" customFormat="false" ht="15" hidden="false" customHeight="false" outlineLevel="0" collapsed="false">
      <c r="A487" s="12" t="n">
        <v>2050.142</v>
      </c>
      <c r="B487" s="13" t="n">
        <f aca="false">A487-$A$2</f>
        <v>24.2609999999997</v>
      </c>
      <c r="C487" s="14" t="n">
        <v>473.51</v>
      </c>
      <c r="D487" s="13" t="n">
        <f aca="false">C487*Config!$B$8</f>
        <v>168.950934972926</v>
      </c>
    </row>
    <row r="488" customFormat="false" ht="15" hidden="false" customHeight="false" outlineLevel="0" collapsed="false">
      <c r="A488" s="12" t="n">
        <v>2050.192</v>
      </c>
      <c r="B488" s="13" t="n">
        <f aca="false">A488-$A$2</f>
        <v>24.3109999999999</v>
      </c>
      <c r="C488" s="14" t="n">
        <v>472.41</v>
      </c>
      <c r="D488" s="13" t="n">
        <f aca="false">C488*Config!$B$8</f>
        <v>168.558449009651</v>
      </c>
    </row>
    <row r="489" customFormat="false" ht="15" hidden="false" customHeight="false" outlineLevel="0" collapsed="false">
      <c r="A489" s="12" t="n">
        <v>2050.242</v>
      </c>
      <c r="B489" s="13" t="n">
        <f aca="false">A489-$A$2</f>
        <v>24.3610000000001</v>
      </c>
      <c r="C489" s="14" t="n">
        <v>459.2</v>
      </c>
      <c r="D489" s="13" t="n">
        <f aca="false">C489*Config!$B$8</f>
        <v>163.845049396143</v>
      </c>
    </row>
    <row r="490" customFormat="false" ht="15" hidden="false" customHeight="false" outlineLevel="0" collapsed="false">
      <c r="A490" s="12" t="n">
        <v>2050.292</v>
      </c>
      <c r="B490" s="13" t="n">
        <f aca="false">A490-$A$2</f>
        <v>24.4109999999998</v>
      </c>
      <c r="C490" s="14" t="n">
        <v>466.9</v>
      </c>
      <c r="D490" s="13" t="n">
        <f aca="false">C490*Config!$B$8</f>
        <v>166.592451139066</v>
      </c>
    </row>
    <row r="491" customFormat="false" ht="15" hidden="false" customHeight="false" outlineLevel="0" collapsed="false">
      <c r="A491" s="12" t="n">
        <v>2050.342</v>
      </c>
      <c r="B491" s="13" t="n">
        <f aca="false">A491-$A$2</f>
        <v>24.461</v>
      </c>
      <c r="C491" s="14" t="n">
        <v>468.27</v>
      </c>
      <c r="D491" s="13" t="n">
        <f aca="false">C491*Config!$B$8</f>
        <v>167.081274566053</v>
      </c>
    </row>
    <row r="492" customFormat="false" ht="15" hidden="false" customHeight="false" outlineLevel="0" collapsed="false">
      <c r="A492" s="12" t="n">
        <v>2050.392</v>
      </c>
      <c r="B492" s="13" t="n">
        <f aca="false">A492-$A$2</f>
        <v>24.5109999999997</v>
      </c>
      <c r="C492" s="14" t="n">
        <v>465.35</v>
      </c>
      <c r="D492" s="13" t="n">
        <f aca="false">C492*Config!$B$8</f>
        <v>166.039402736269</v>
      </c>
    </row>
    <row r="493" customFormat="false" ht="15" hidden="false" customHeight="false" outlineLevel="0" collapsed="false">
      <c r="A493" s="12" t="n">
        <v>2050.442</v>
      </c>
      <c r="B493" s="13" t="n">
        <f aca="false">A493-$A$2</f>
        <v>24.5609999999999</v>
      </c>
      <c r="C493" s="14" t="n">
        <v>468.2</v>
      </c>
      <c r="D493" s="13" t="n">
        <f aca="false">C493*Config!$B$8</f>
        <v>167.056298186572</v>
      </c>
    </row>
    <row r="494" customFormat="false" ht="15" hidden="false" customHeight="false" outlineLevel="0" collapsed="false">
      <c r="A494" s="12" t="n">
        <v>2050.492</v>
      </c>
      <c r="B494" s="13" t="n">
        <f aca="false">A494-$A$2</f>
        <v>24.6110000000001</v>
      </c>
      <c r="C494" s="14" t="n">
        <v>463.85</v>
      </c>
      <c r="D494" s="13" t="n">
        <f aca="false">C494*Config!$B$8</f>
        <v>165.504194604531</v>
      </c>
    </row>
    <row r="495" customFormat="false" ht="15" hidden="false" customHeight="false" outlineLevel="0" collapsed="false">
      <c r="A495" s="12" t="n">
        <v>2050.542</v>
      </c>
      <c r="B495" s="13" t="n">
        <f aca="false">A495-$A$2</f>
        <v>24.6609999999998</v>
      </c>
      <c r="C495" s="14" t="n">
        <v>464.63</v>
      </c>
      <c r="D495" s="13" t="n">
        <f aca="false">C495*Config!$B$8</f>
        <v>165.782502833035</v>
      </c>
    </row>
    <row r="496" customFormat="false" ht="15" hidden="false" customHeight="false" outlineLevel="0" collapsed="false">
      <c r="A496" s="12" t="n">
        <v>2050.592</v>
      </c>
      <c r="B496" s="13" t="n">
        <f aca="false">A496-$A$2</f>
        <v>24.711</v>
      </c>
      <c r="C496" s="14" t="n">
        <v>473.05</v>
      </c>
      <c r="D496" s="13" t="n">
        <f aca="false">C496*Config!$B$8</f>
        <v>168.786804479193</v>
      </c>
    </row>
    <row r="497" customFormat="false" ht="15" hidden="false" customHeight="false" outlineLevel="0" collapsed="false">
      <c r="A497" s="12" t="n">
        <v>2050.642</v>
      </c>
      <c r="B497" s="13" t="n">
        <f aca="false">A497-$A$2</f>
        <v>24.7609999999997</v>
      </c>
      <c r="C497" s="14" t="n">
        <v>459.5</v>
      </c>
      <c r="D497" s="13" t="n">
        <f aca="false">C497*Config!$B$8</f>
        <v>163.95209102249</v>
      </c>
    </row>
    <row r="498" customFormat="false" ht="15" hidden="false" customHeight="false" outlineLevel="0" collapsed="false">
      <c r="A498" s="12" t="n">
        <v>2050.692</v>
      </c>
      <c r="B498" s="13" t="n">
        <f aca="false">A498-$A$2</f>
        <v>24.8109999999999</v>
      </c>
      <c r="C498" s="14" t="n">
        <v>471.9</v>
      </c>
      <c r="D498" s="13" t="n">
        <f aca="false">C498*Config!$B$8</f>
        <v>168.37647824486</v>
      </c>
    </row>
    <row r="499" customFormat="false" ht="15" hidden="false" customHeight="false" outlineLevel="0" collapsed="false">
      <c r="A499" s="12" t="n">
        <v>2050.742</v>
      </c>
      <c r="B499" s="13" t="n">
        <f aca="false">A499-$A$2</f>
        <v>24.8610000000001</v>
      </c>
      <c r="C499" s="14" t="n">
        <v>473.98</v>
      </c>
      <c r="D499" s="13" t="n">
        <f aca="false">C499*Config!$B$8</f>
        <v>169.11863352087</v>
      </c>
    </row>
    <row r="500" customFormat="false" ht="15" hidden="false" customHeight="false" outlineLevel="0" collapsed="false">
      <c r="A500" s="12" t="n">
        <v>2050.792</v>
      </c>
      <c r="B500" s="13" t="n">
        <f aca="false">A500-$A$2</f>
        <v>24.9109999999998</v>
      </c>
      <c r="C500" s="14" t="n">
        <v>468.77</v>
      </c>
      <c r="D500" s="13" t="n">
        <f aca="false">C500*Config!$B$8</f>
        <v>167.259677276633</v>
      </c>
    </row>
    <row r="501" customFormat="false" ht="15" hidden="false" customHeight="false" outlineLevel="0" collapsed="false">
      <c r="A501" s="12" t="n">
        <v>2050.842</v>
      </c>
      <c r="B501" s="13" t="n">
        <f aca="false">A501-$A$2</f>
        <v>24.961</v>
      </c>
      <c r="C501" s="14" t="n">
        <v>465.81</v>
      </c>
      <c r="D501" s="13" t="n">
        <f aca="false">C501*Config!$B$8</f>
        <v>166.203533230003</v>
      </c>
    </row>
    <row r="502" customFormat="false" ht="15" hidden="false" customHeight="false" outlineLevel="0" collapsed="false">
      <c r="A502" s="12" t="n">
        <v>2050.892</v>
      </c>
      <c r="B502" s="13" t="n">
        <f aca="false">A502-$A$2</f>
        <v>25.0109999999997</v>
      </c>
      <c r="C502" s="14" t="n">
        <v>467.65</v>
      </c>
      <c r="D502" s="13" t="n">
        <f aca="false">C502*Config!$B$8</f>
        <v>166.860055204935</v>
      </c>
    </row>
    <row r="503" customFormat="false" ht="15" hidden="false" customHeight="false" outlineLevel="0" collapsed="false">
      <c r="A503" s="12" t="n">
        <v>2050.942</v>
      </c>
      <c r="B503" s="13" t="n">
        <f aca="false">A503-$A$2</f>
        <v>25.0609999999999</v>
      </c>
      <c r="C503" s="14" t="n">
        <v>479</v>
      </c>
      <c r="D503" s="13" t="n">
        <f aca="false">C503*Config!$B$8</f>
        <v>170.909796735088</v>
      </c>
    </row>
    <row r="504" customFormat="false" ht="15" hidden="false" customHeight="false" outlineLevel="0" collapsed="false">
      <c r="A504" s="12" t="n">
        <v>2050.992</v>
      </c>
      <c r="B504" s="13" t="n">
        <f aca="false">A504-$A$2</f>
        <v>25.1110000000001</v>
      </c>
      <c r="C504" s="14" t="n">
        <v>464.06</v>
      </c>
      <c r="D504" s="13" t="n">
        <f aca="false">C504*Config!$B$8</f>
        <v>165.579123742975</v>
      </c>
    </row>
    <row r="505" customFormat="false" ht="15" hidden="false" customHeight="false" outlineLevel="0" collapsed="false">
      <c r="A505" s="12" t="n">
        <v>2051.042</v>
      </c>
      <c r="B505" s="13" t="n">
        <f aca="false">A505-$A$2</f>
        <v>25.1609999999998</v>
      </c>
      <c r="C505" s="14" t="n">
        <v>456.93</v>
      </c>
      <c r="D505" s="13" t="n">
        <f aca="false">C505*Config!$B$8</f>
        <v>163.035101090112</v>
      </c>
    </row>
    <row r="506" customFormat="false" ht="15" hidden="false" customHeight="false" outlineLevel="0" collapsed="false">
      <c r="A506" s="12" t="n">
        <v>2051.092</v>
      </c>
      <c r="B506" s="13" t="n">
        <f aca="false">A506-$A$2</f>
        <v>25.211</v>
      </c>
      <c r="C506" s="14" t="n">
        <v>468.29</v>
      </c>
      <c r="D506" s="13" t="n">
        <f aca="false">C506*Config!$B$8</f>
        <v>167.088410674476</v>
      </c>
    </row>
    <row r="507" customFormat="false" ht="15" hidden="false" customHeight="false" outlineLevel="0" collapsed="false">
      <c r="A507" s="12" t="n">
        <v>2051.142</v>
      </c>
      <c r="B507" s="13" t="n">
        <f aca="false">A507-$A$2</f>
        <v>25.2609999999997</v>
      </c>
      <c r="C507" s="14" t="n">
        <v>467.03</v>
      </c>
      <c r="D507" s="13" t="n">
        <f aca="false">C507*Config!$B$8</f>
        <v>166.638835843816</v>
      </c>
    </row>
    <row r="508" customFormat="false" ht="15" hidden="false" customHeight="false" outlineLevel="0" collapsed="false">
      <c r="A508" s="12" t="n">
        <v>2051.192</v>
      </c>
      <c r="B508" s="13" t="n">
        <f aca="false">A508-$A$2</f>
        <v>25.3109999999999</v>
      </c>
      <c r="C508" s="14" t="n">
        <v>461.93</v>
      </c>
      <c r="D508" s="13" t="n">
        <f aca="false">C508*Config!$B$8</f>
        <v>164.819128195906</v>
      </c>
    </row>
    <row r="509" customFormat="false" ht="15" hidden="false" customHeight="false" outlineLevel="0" collapsed="false">
      <c r="A509" s="12" t="n">
        <v>2051.243</v>
      </c>
      <c r="B509" s="13" t="n">
        <f aca="false">A509-$A$2</f>
        <v>25.3619999999999</v>
      </c>
      <c r="C509" s="14" t="n">
        <v>475.34</v>
      </c>
      <c r="D509" s="13" t="n">
        <f aca="false">C509*Config!$B$8</f>
        <v>169.603888893646</v>
      </c>
    </row>
    <row r="510" customFormat="false" ht="15" hidden="false" customHeight="false" outlineLevel="0" collapsed="false">
      <c r="A510" s="12" t="n">
        <v>2051.293</v>
      </c>
      <c r="B510" s="13" t="n">
        <f aca="false">A510-$A$2</f>
        <v>25.412</v>
      </c>
      <c r="C510" s="14" t="n">
        <v>466.3</v>
      </c>
      <c r="D510" s="13" t="n">
        <f aca="false">C510*Config!$B$8</f>
        <v>166.37836788637</v>
      </c>
    </row>
    <row r="511" customFormat="false" ht="15" hidden="false" customHeight="false" outlineLevel="0" collapsed="false">
      <c r="A511" s="12" t="n">
        <v>2051.343</v>
      </c>
      <c r="B511" s="13" t="n">
        <f aca="false">A511-$A$2</f>
        <v>25.4619999999998</v>
      </c>
      <c r="C511" s="14" t="n">
        <v>479.05</v>
      </c>
      <c r="D511" s="13" t="n">
        <f aca="false">C511*Config!$B$8</f>
        <v>170.927637006146</v>
      </c>
    </row>
    <row r="512" customFormat="false" ht="15" hidden="false" customHeight="false" outlineLevel="0" collapsed="false">
      <c r="A512" s="12" t="n">
        <v>2051.393</v>
      </c>
      <c r="B512" s="13" t="n">
        <f aca="false">A512-$A$2</f>
        <v>25.5119999999999</v>
      </c>
      <c r="C512" s="14" t="n">
        <v>468.38</v>
      </c>
      <c r="D512" s="13" t="n">
        <f aca="false">C512*Config!$B$8</f>
        <v>167.120523162381</v>
      </c>
    </row>
    <row r="513" customFormat="false" ht="15" hidden="false" customHeight="false" outlineLevel="0" collapsed="false">
      <c r="A513" s="12" t="n">
        <v>2051.443</v>
      </c>
      <c r="B513" s="13" t="n">
        <f aca="false">A513-$A$2</f>
        <v>25.5620000000001</v>
      </c>
      <c r="C513" s="14" t="n">
        <v>455.2</v>
      </c>
      <c r="D513" s="13" t="n">
        <f aca="false">C513*Config!$B$8</f>
        <v>162.417827711507</v>
      </c>
    </row>
    <row r="514" customFormat="false" ht="15" hidden="false" customHeight="false" outlineLevel="0" collapsed="false">
      <c r="A514" s="12" t="n">
        <v>2051.493</v>
      </c>
      <c r="B514" s="13" t="n">
        <f aca="false">A514-$A$2</f>
        <v>25.6119999999999</v>
      </c>
      <c r="C514" s="14" t="n">
        <v>468.89</v>
      </c>
      <c r="D514" s="13" t="n">
        <f aca="false">C514*Config!$B$8</f>
        <v>167.302493927172</v>
      </c>
    </row>
    <row r="515" customFormat="false" ht="15" hidden="false" customHeight="false" outlineLevel="0" collapsed="false">
      <c r="A515" s="12" t="n">
        <v>2051.543</v>
      </c>
      <c r="B515" s="13" t="n">
        <f aca="false">A515-$A$2</f>
        <v>25.662</v>
      </c>
      <c r="C515" s="14" t="n">
        <v>474.79</v>
      </c>
      <c r="D515" s="13" t="n">
        <f aca="false">C515*Config!$B$8</f>
        <v>169.407645912009</v>
      </c>
    </row>
    <row r="516" customFormat="false" ht="15" hidden="false" customHeight="false" outlineLevel="0" collapsed="false">
      <c r="A516" s="12" t="n">
        <v>2051.593</v>
      </c>
      <c r="B516" s="13" t="n">
        <f aca="false">A516-$A$2</f>
        <v>25.7119999999998</v>
      </c>
      <c r="C516" s="14" t="n">
        <v>476.88</v>
      </c>
      <c r="D516" s="13" t="n">
        <f aca="false">C516*Config!$B$8</f>
        <v>170.153369242231</v>
      </c>
    </row>
    <row r="517" customFormat="false" ht="15" hidden="false" customHeight="false" outlineLevel="0" collapsed="false">
      <c r="A517" s="12" t="n">
        <v>2051.643</v>
      </c>
      <c r="B517" s="13" t="n">
        <f aca="false">A517-$A$2</f>
        <v>25.7619999999999</v>
      </c>
      <c r="C517" s="14" t="n">
        <v>483.17</v>
      </c>
      <c r="D517" s="13" t="n">
        <f aca="false">C517*Config!$B$8</f>
        <v>172.39767534132</v>
      </c>
    </row>
    <row r="518" customFormat="false" ht="15" hidden="false" customHeight="false" outlineLevel="0" collapsed="false">
      <c r="A518" s="12" t="n">
        <v>2051.693</v>
      </c>
      <c r="B518" s="13" t="n">
        <f aca="false">A518-$A$2</f>
        <v>25.8120000000001</v>
      </c>
      <c r="C518" s="14" t="n">
        <v>467.5</v>
      </c>
      <c r="D518" s="13" t="n">
        <f aca="false">C518*Config!$B$8</f>
        <v>166.806534391761</v>
      </c>
    </row>
    <row r="519" customFormat="false" ht="15" hidden="false" customHeight="false" outlineLevel="0" collapsed="false">
      <c r="A519" s="12" t="n">
        <v>2051.743</v>
      </c>
      <c r="B519" s="13" t="n">
        <f aca="false">A519-$A$2</f>
        <v>25.8619999999999</v>
      </c>
      <c r="C519" s="14" t="n">
        <v>467.08</v>
      </c>
      <c r="D519" s="13" t="n">
        <f aca="false">C519*Config!$B$8</f>
        <v>166.656676114874</v>
      </c>
    </row>
    <row r="520" customFormat="false" ht="15" hidden="false" customHeight="false" outlineLevel="0" collapsed="false">
      <c r="A520" s="12" t="n">
        <v>2051.793</v>
      </c>
      <c r="B520" s="13" t="n">
        <f aca="false">A520-$A$2</f>
        <v>25.912</v>
      </c>
      <c r="C520" s="14" t="n">
        <v>465.93</v>
      </c>
      <c r="D520" s="13" t="n">
        <f aca="false">C520*Config!$B$8</f>
        <v>166.246349880542</v>
      </c>
    </row>
    <row r="521" customFormat="false" ht="15" hidden="false" customHeight="false" outlineLevel="0" collapsed="false">
      <c r="A521" s="12" t="n">
        <v>2051.843</v>
      </c>
      <c r="B521" s="13" t="n">
        <f aca="false">A521-$A$2</f>
        <v>25.9619999999998</v>
      </c>
      <c r="C521" s="14" t="n">
        <v>468.39</v>
      </c>
      <c r="D521" s="13" t="n">
        <f aca="false">C521*Config!$B$8</f>
        <v>167.124091216592</v>
      </c>
    </row>
    <row r="522" customFormat="false" ht="15" hidden="false" customHeight="false" outlineLevel="0" collapsed="false">
      <c r="A522" s="12" t="n">
        <v>2051.893</v>
      </c>
      <c r="B522" s="13" t="n">
        <f aca="false">A522-$A$2</f>
        <v>26.0119999999999</v>
      </c>
      <c r="C522" s="14" t="n">
        <v>458.47</v>
      </c>
      <c r="D522" s="13" t="n">
        <f aca="false">C522*Config!$B$8</f>
        <v>163.584581438697</v>
      </c>
    </row>
    <row r="523" customFormat="false" ht="15" hidden="false" customHeight="false" outlineLevel="0" collapsed="false">
      <c r="A523" s="12" t="n">
        <v>2051.943</v>
      </c>
      <c r="B523" s="13" t="n">
        <f aca="false">A523-$A$2</f>
        <v>26.0620000000001</v>
      </c>
      <c r="C523" s="14" t="n">
        <v>460.81</v>
      </c>
      <c r="D523" s="13" t="n">
        <f aca="false">C523*Config!$B$8</f>
        <v>164.419506124208</v>
      </c>
    </row>
    <row r="524" customFormat="false" ht="15" hidden="false" customHeight="false" outlineLevel="0" collapsed="false">
      <c r="A524" s="12" t="n">
        <v>2051.993</v>
      </c>
      <c r="B524" s="13" t="n">
        <f aca="false">A524-$A$2</f>
        <v>26.1119999999999</v>
      </c>
      <c r="C524" s="14" t="n">
        <v>470.63</v>
      </c>
      <c r="D524" s="13" t="n">
        <f aca="false">C524*Config!$B$8</f>
        <v>167.923335359988</v>
      </c>
    </row>
    <row r="525" customFormat="false" ht="15" hidden="false" customHeight="false" outlineLevel="0" collapsed="false">
      <c r="A525" s="12" t="n">
        <v>2052.043</v>
      </c>
      <c r="B525" s="13" t="n">
        <f aca="false">A525-$A$2</f>
        <v>26.162</v>
      </c>
      <c r="C525" s="14" t="n">
        <v>479.68</v>
      </c>
      <c r="D525" s="13" t="n">
        <f aca="false">C525*Config!$B$8</f>
        <v>171.152424421476</v>
      </c>
    </row>
    <row r="526" customFormat="false" ht="15" hidden="false" customHeight="false" outlineLevel="0" collapsed="false">
      <c r="A526" s="12" t="n">
        <v>2052.093</v>
      </c>
      <c r="B526" s="13" t="n">
        <f aca="false">A526-$A$2</f>
        <v>26.2119999999998</v>
      </c>
      <c r="C526" s="14" t="n">
        <v>467.01</v>
      </c>
      <c r="D526" s="13" t="n">
        <f aca="false">C526*Config!$B$8</f>
        <v>166.631699735393</v>
      </c>
    </row>
    <row r="527" customFormat="false" ht="15" hidden="false" customHeight="false" outlineLevel="0" collapsed="false">
      <c r="A527" s="12" t="n">
        <v>2052.143</v>
      </c>
      <c r="B527" s="13" t="n">
        <f aca="false">A527-$A$2</f>
        <v>26.2619999999999</v>
      </c>
      <c r="C527" s="14" t="n">
        <v>461.38</v>
      </c>
      <c r="D527" s="13" t="n">
        <f aca="false">C527*Config!$B$8</f>
        <v>164.622885214269</v>
      </c>
    </row>
    <row r="528" customFormat="false" ht="15" hidden="false" customHeight="false" outlineLevel="0" collapsed="false">
      <c r="A528" s="12" t="n">
        <v>2052.193</v>
      </c>
      <c r="B528" s="13" t="n">
        <f aca="false">A528-$A$2</f>
        <v>26.3120000000001</v>
      </c>
      <c r="C528" s="14" t="n">
        <v>465.32</v>
      </c>
      <c r="D528" s="13" t="n">
        <f aca="false">C528*Config!$B$8</f>
        <v>166.028698573635</v>
      </c>
    </row>
    <row r="529" customFormat="false" ht="15" hidden="false" customHeight="false" outlineLevel="0" collapsed="false">
      <c r="A529" s="12" t="n">
        <v>2052.243</v>
      </c>
      <c r="B529" s="13" t="n">
        <f aca="false">A529-$A$2</f>
        <v>26.3619999999999</v>
      </c>
      <c r="C529" s="14" t="n">
        <v>473.18</v>
      </c>
      <c r="D529" s="13" t="n">
        <f aca="false">C529*Config!$B$8</f>
        <v>168.833189183943</v>
      </c>
    </row>
    <row r="530" customFormat="false" ht="15" hidden="false" customHeight="false" outlineLevel="0" collapsed="false">
      <c r="A530" s="12" t="n">
        <v>2052.293</v>
      </c>
      <c r="B530" s="13" t="n">
        <f aca="false">A530-$A$2</f>
        <v>26.412</v>
      </c>
      <c r="C530" s="14" t="n">
        <v>469.31</v>
      </c>
      <c r="D530" s="13" t="n">
        <f aca="false">C530*Config!$B$8</f>
        <v>167.452352204058</v>
      </c>
    </row>
    <row r="531" customFormat="false" ht="15" hidden="false" customHeight="false" outlineLevel="0" collapsed="false">
      <c r="A531" s="12" t="n">
        <v>2052.343</v>
      </c>
      <c r="B531" s="13" t="n">
        <f aca="false">A531-$A$2</f>
        <v>26.4619999999998</v>
      </c>
      <c r="C531" s="14" t="n">
        <v>468.71</v>
      </c>
      <c r="D531" s="13" t="n">
        <f aca="false">C531*Config!$B$8</f>
        <v>167.238268951363</v>
      </c>
    </row>
    <row r="532" customFormat="false" ht="15" hidden="false" customHeight="false" outlineLevel="0" collapsed="false">
      <c r="A532" s="12" t="n">
        <v>2052.393</v>
      </c>
      <c r="B532" s="13" t="n">
        <f aca="false">A532-$A$2</f>
        <v>26.5119999999999</v>
      </c>
      <c r="C532" s="14" t="n">
        <v>462.14</v>
      </c>
      <c r="D532" s="13" t="n">
        <f aca="false">C532*Config!$B$8</f>
        <v>164.89405733435</v>
      </c>
    </row>
    <row r="533" customFormat="false" ht="15" hidden="false" customHeight="false" outlineLevel="0" collapsed="false">
      <c r="A533" s="12" t="n">
        <v>2052.443</v>
      </c>
      <c r="B533" s="13" t="n">
        <f aca="false">A533-$A$2</f>
        <v>26.5620000000001</v>
      </c>
      <c r="C533" s="14" t="n">
        <v>463.95</v>
      </c>
      <c r="D533" s="13" t="n">
        <f aca="false">C533*Config!$B$8</f>
        <v>165.539875146647</v>
      </c>
    </row>
    <row r="534" customFormat="false" ht="15" hidden="false" customHeight="false" outlineLevel="0" collapsed="false">
      <c r="A534" s="12" t="n">
        <v>2052.493</v>
      </c>
      <c r="B534" s="13" t="n">
        <f aca="false">A534-$A$2</f>
        <v>26.6119999999999</v>
      </c>
      <c r="C534" s="14" t="n">
        <v>470.6</v>
      </c>
      <c r="D534" s="13" t="n">
        <f aca="false">C534*Config!$B$8</f>
        <v>167.912631197353</v>
      </c>
    </row>
    <row r="535" customFormat="false" ht="15" hidden="false" customHeight="false" outlineLevel="0" collapsed="false">
      <c r="A535" s="12" t="n">
        <v>2052.543</v>
      </c>
      <c r="B535" s="13" t="n">
        <f aca="false">A535-$A$2</f>
        <v>26.662</v>
      </c>
      <c r="C535" s="14" t="n">
        <v>458.01</v>
      </c>
      <c r="D535" s="13" t="n">
        <f aca="false">C535*Config!$B$8</f>
        <v>163.420450944964</v>
      </c>
    </row>
    <row r="536" customFormat="false" ht="15" hidden="false" customHeight="false" outlineLevel="0" collapsed="false">
      <c r="A536" s="12" t="n">
        <v>2052.593</v>
      </c>
      <c r="B536" s="13" t="n">
        <f aca="false">A536-$A$2</f>
        <v>26.7119999999998</v>
      </c>
      <c r="C536" s="14" t="n">
        <v>456.98</v>
      </c>
      <c r="D536" s="13" t="n">
        <f aca="false">C536*Config!$B$8</f>
        <v>163.05294136117</v>
      </c>
    </row>
    <row r="537" customFormat="false" ht="15" hidden="false" customHeight="false" outlineLevel="0" collapsed="false">
      <c r="A537" s="12" t="n">
        <v>2052.643</v>
      </c>
      <c r="B537" s="13" t="n">
        <f aca="false">A537-$A$2</f>
        <v>26.7619999999999</v>
      </c>
      <c r="C537" s="14" t="n">
        <v>466.59</v>
      </c>
      <c r="D537" s="13" t="n">
        <f aca="false">C537*Config!$B$8</f>
        <v>166.481841458506</v>
      </c>
    </row>
    <row r="538" customFormat="false" ht="15" hidden="false" customHeight="false" outlineLevel="0" collapsed="false">
      <c r="A538" s="12" t="n">
        <v>2052.694</v>
      </c>
      <c r="B538" s="13" t="n">
        <f aca="false">A538-$A$2</f>
        <v>26.8129999999999</v>
      </c>
      <c r="C538" s="14" t="n">
        <v>452.21</v>
      </c>
      <c r="D538" s="13" t="n">
        <f aca="false">C538*Config!$B$8</f>
        <v>161.350979502242</v>
      </c>
    </row>
    <row r="539" customFormat="false" ht="15" hidden="false" customHeight="false" outlineLevel="0" collapsed="false">
      <c r="A539" s="12" t="n">
        <v>2052.744</v>
      </c>
      <c r="B539" s="13" t="n">
        <f aca="false">A539-$A$2</f>
        <v>26.8630000000001</v>
      </c>
      <c r="C539" s="14" t="n">
        <v>472.63</v>
      </c>
      <c r="D539" s="13" t="n">
        <f aca="false">C539*Config!$B$8</f>
        <v>168.636946202306</v>
      </c>
    </row>
    <row r="540" customFormat="false" ht="15" hidden="false" customHeight="false" outlineLevel="0" collapsed="false">
      <c r="A540" s="12" t="n">
        <v>2052.794</v>
      </c>
      <c r="B540" s="13" t="n">
        <f aca="false">A540-$A$2</f>
        <v>26.9129999999998</v>
      </c>
      <c r="C540" s="14" t="n">
        <v>458.16</v>
      </c>
      <c r="D540" s="13" t="n">
        <f aca="false">C540*Config!$B$8</f>
        <v>163.473971758137</v>
      </c>
    </row>
    <row r="541" customFormat="false" ht="15" hidden="false" customHeight="false" outlineLevel="0" collapsed="false">
      <c r="A541" s="12" t="n">
        <v>2052.844</v>
      </c>
      <c r="B541" s="13" t="n">
        <f aca="false">A541-$A$2</f>
        <v>26.963</v>
      </c>
      <c r="C541" s="14" t="n">
        <v>456.92</v>
      </c>
      <c r="D541" s="13" t="n">
        <f aca="false">C541*Config!$B$8</f>
        <v>163.0315330359</v>
      </c>
    </row>
    <row r="542" customFormat="false" ht="15" hidden="false" customHeight="false" outlineLevel="0" collapsed="false">
      <c r="A542" s="12" t="n">
        <v>2052.894</v>
      </c>
      <c r="B542" s="13" t="n">
        <f aca="false">A542-$A$2</f>
        <v>27.0129999999997</v>
      </c>
      <c r="C542" s="14" t="n">
        <v>435.56</v>
      </c>
      <c r="D542" s="13" t="n">
        <f aca="false">C542*Config!$B$8</f>
        <v>155.410169239947</v>
      </c>
    </row>
    <row r="543" customFormat="false" ht="15" hidden="false" customHeight="false" outlineLevel="0" collapsed="false">
      <c r="A543" s="12" t="n">
        <v>2052.944</v>
      </c>
      <c r="B543" s="13" t="n">
        <f aca="false">A543-$A$2</f>
        <v>27.0629999999999</v>
      </c>
      <c r="C543" s="14" t="n">
        <v>450.92</v>
      </c>
      <c r="D543" s="13" t="n">
        <f aca="false">C543*Config!$B$8</f>
        <v>160.890700508947</v>
      </c>
    </row>
    <row r="544" customFormat="false" ht="15" hidden="false" customHeight="false" outlineLevel="0" collapsed="false">
      <c r="A544" s="12" t="n">
        <v>2052.994</v>
      </c>
      <c r="B544" s="13" t="n">
        <f aca="false">A544-$A$2</f>
        <v>27.1130000000001</v>
      </c>
      <c r="C544" s="14" t="n">
        <v>445.94</v>
      </c>
      <c r="D544" s="13" t="n">
        <f aca="false">C544*Config!$B$8</f>
        <v>159.113809511576</v>
      </c>
    </row>
    <row r="545" customFormat="false" ht="15" hidden="false" customHeight="false" outlineLevel="0" collapsed="false">
      <c r="A545" s="12" t="n">
        <v>2053.044</v>
      </c>
      <c r="B545" s="13" t="n">
        <f aca="false">A545-$A$2</f>
        <v>27.1629999999998</v>
      </c>
      <c r="C545" s="14" t="n">
        <v>449.51</v>
      </c>
      <c r="D545" s="13" t="n">
        <f aca="false">C545*Config!$B$8</f>
        <v>160.387604865113</v>
      </c>
    </row>
    <row r="546" customFormat="false" ht="15" hidden="false" customHeight="false" outlineLevel="0" collapsed="false">
      <c r="A546" s="12" t="n">
        <v>2053.094</v>
      </c>
      <c r="B546" s="13" t="n">
        <f aca="false">A546-$A$2</f>
        <v>27.213</v>
      </c>
      <c r="C546" s="14" t="n">
        <v>462.41</v>
      </c>
      <c r="D546" s="13" t="n">
        <f aca="false">C546*Config!$B$8</f>
        <v>164.990394798062</v>
      </c>
    </row>
    <row r="547" customFormat="false" ht="15" hidden="false" customHeight="false" outlineLevel="0" collapsed="false">
      <c r="A547" s="12" t="n">
        <v>2053.144</v>
      </c>
      <c r="B547" s="13" t="n">
        <f aca="false">A547-$A$2</f>
        <v>27.2629999999997</v>
      </c>
      <c r="C547" s="14" t="n">
        <v>450.68</v>
      </c>
      <c r="D547" s="13" t="n">
        <f aca="false">C547*Config!$B$8</f>
        <v>160.805067207869</v>
      </c>
    </row>
    <row r="548" customFormat="false" ht="15" hidden="false" customHeight="false" outlineLevel="0" collapsed="false">
      <c r="A548" s="12" t="n">
        <v>2053.194</v>
      </c>
      <c r="B548" s="13" t="n">
        <f aca="false">A548-$A$2</f>
        <v>27.3129999999999</v>
      </c>
      <c r="C548" s="14" t="n">
        <v>450.12</v>
      </c>
      <c r="D548" s="13" t="n">
        <f aca="false">C548*Config!$B$8</f>
        <v>160.60525617202</v>
      </c>
    </row>
    <row r="549" customFormat="false" ht="15" hidden="false" customHeight="false" outlineLevel="0" collapsed="false">
      <c r="A549" s="12" t="n">
        <v>2053.244</v>
      </c>
      <c r="B549" s="13" t="n">
        <f aca="false">A549-$A$2</f>
        <v>27.3630000000001</v>
      </c>
      <c r="C549" s="14" t="n">
        <v>447.7</v>
      </c>
      <c r="D549" s="13" t="n">
        <f aca="false">C549*Config!$B$8</f>
        <v>159.741787052816</v>
      </c>
    </row>
    <row r="550" customFormat="false" ht="15" hidden="false" customHeight="false" outlineLevel="0" collapsed="false">
      <c r="A550" s="12" t="n">
        <v>2053.294</v>
      </c>
      <c r="B550" s="13" t="n">
        <f aca="false">A550-$A$2</f>
        <v>27.4129999999998</v>
      </c>
      <c r="C550" s="14" t="n">
        <v>445.88</v>
      </c>
      <c r="D550" s="13" t="n">
        <f aca="false">C550*Config!$B$8</f>
        <v>159.092401186307</v>
      </c>
    </row>
    <row r="551" customFormat="false" ht="15" hidden="false" customHeight="false" outlineLevel="0" collapsed="false">
      <c r="A551" s="12" t="n">
        <v>2053.344</v>
      </c>
      <c r="B551" s="13" t="n">
        <f aca="false">A551-$A$2</f>
        <v>27.463</v>
      </c>
      <c r="C551" s="14" t="n">
        <v>449.76</v>
      </c>
      <c r="D551" s="13" t="n">
        <f aca="false">C551*Config!$B$8</f>
        <v>160.476806220403</v>
      </c>
    </row>
    <row r="552" customFormat="false" ht="15" hidden="false" customHeight="false" outlineLevel="0" collapsed="false">
      <c r="A552" s="12" t="n">
        <v>2053.394</v>
      </c>
      <c r="B552" s="13" t="n">
        <f aca="false">A552-$A$2</f>
        <v>27.5129999999997</v>
      </c>
      <c r="C552" s="14" t="n">
        <v>443.24</v>
      </c>
      <c r="D552" s="13" t="n">
        <f aca="false">C552*Config!$B$8</f>
        <v>158.150434874447</v>
      </c>
    </row>
    <row r="553" customFormat="false" ht="15" hidden="false" customHeight="false" outlineLevel="0" collapsed="false">
      <c r="A553" s="12" t="n">
        <v>2053.444</v>
      </c>
      <c r="B553" s="13" t="n">
        <f aca="false">A553-$A$2</f>
        <v>27.5629999999999</v>
      </c>
      <c r="C553" s="14" t="n">
        <v>458.03</v>
      </c>
      <c r="D553" s="13" t="n">
        <f aca="false">C553*Config!$B$8</f>
        <v>163.427587053387</v>
      </c>
    </row>
    <row r="554" customFormat="false" ht="15" hidden="false" customHeight="false" outlineLevel="0" collapsed="false">
      <c r="A554" s="12" t="n">
        <v>2053.494</v>
      </c>
      <c r="B554" s="13" t="n">
        <f aca="false">A554-$A$2</f>
        <v>27.6130000000001</v>
      </c>
      <c r="C554" s="14" t="n">
        <v>443.77</v>
      </c>
      <c r="D554" s="13" t="n">
        <f aca="false">C554*Config!$B$8</f>
        <v>158.339541747662</v>
      </c>
    </row>
    <row r="555" customFormat="false" ht="15" hidden="false" customHeight="false" outlineLevel="0" collapsed="false">
      <c r="A555" s="12" t="n">
        <v>2053.544</v>
      </c>
      <c r="B555" s="13" t="n">
        <f aca="false">A555-$A$2</f>
        <v>27.6629999999998</v>
      </c>
      <c r="C555" s="14" t="n">
        <v>443.44</v>
      </c>
      <c r="D555" s="13" t="n">
        <f aca="false">C555*Config!$B$8</f>
        <v>158.221795958679</v>
      </c>
    </row>
    <row r="556" customFormat="false" ht="15" hidden="false" customHeight="false" outlineLevel="0" collapsed="false">
      <c r="A556" s="12" t="n">
        <v>2053.594</v>
      </c>
      <c r="B556" s="13" t="n">
        <f aca="false">A556-$A$2</f>
        <v>27.713</v>
      </c>
      <c r="C556" s="14" t="n">
        <v>449.45</v>
      </c>
      <c r="D556" s="13" t="n">
        <f aca="false">C556*Config!$B$8</f>
        <v>160.366196539844</v>
      </c>
    </row>
    <row r="557" customFormat="false" ht="15" hidden="false" customHeight="false" outlineLevel="0" collapsed="false">
      <c r="A557" s="12" t="n">
        <v>2053.644</v>
      </c>
      <c r="B557" s="13" t="n">
        <f aca="false">A557-$A$2</f>
        <v>27.7629999999997</v>
      </c>
      <c r="C557" s="14" t="n">
        <v>449.5</v>
      </c>
      <c r="D557" s="13" t="n">
        <f aca="false">C557*Config!$B$8</f>
        <v>160.384036810902</v>
      </c>
    </row>
    <row r="558" customFormat="false" ht="15" hidden="false" customHeight="false" outlineLevel="0" collapsed="false">
      <c r="A558" s="12" t="n">
        <v>2053.694</v>
      </c>
      <c r="B558" s="13" t="n">
        <f aca="false">A558-$A$2</f>
        <v>27.8129999999999</v>
      </c>
      <c r="C558" s="14" t="n">
        <v>448.39</v>
      </c>
      <c r="D558" s="13" t="n">
        <f aca="false">C558*Config!$B$8</f>
        <v>159.987982793415</v>
      </c>
    </row>
    <row r="559" customFormat="false" ht="15" hidden="false" customHeight="false" outlineLevel="0" collapsed="false">
      <c r="A559" s="12" t="n">
        <v>2053.744</v>
      </c>
      <c r="B559" s="13" t="n">
        <f aca="false">A559-$A$2</f>
        <v>27.8630000000001</v>
      </c>
      <c r="C559" s="14" t="n">
        <v>453.06</v>
      </c>
      <c r="D559" s="13" t="n">
        <f aca="false">C559*Config!$B$8</f>
        <v>161.654264110227</v>
      </c>
    </row>
    <row r="560" customFormat="false" ht="15" hidden="false" customHeight="false" outlineLevel="0" collapsed="false">
      <c r="A560" s="12" t="n">
        <v>2053.794</v>
      </c>
      <c r="B560" s="13" t="n">
        <f aca="false">A560-$A$2</f>
        <v>27.9129999999998</v>
      </c>
      <c r="C560" s="14" t="n">
        <v>448.62</v>
      </c>
      <c r="D560" s="13" t="n">
        <f aca="false">C560*Config!$B$8</f>
        <v>160.070048040282</v>
      </c>
    </row>
    <row r="561" customFormat="false" ht="15" hidden="false" customHeight="false" outlineLevel="0" collapsed="false">
      <c r="A561" s="12" t="n">
        <v>2053.844</v>
      </c>
      <c r="B561" s="13" t="n">
        <f aca="false">A561-$A$2</f>
        <v>27.963</v>
      </c>
      <c r="C561" s="14" t="n">
        <v>449.1</v>
      </c>
      <c r="D561" s="13" t="n">
        <f aca="false">C561*Config!$B$8</f>
        <v>160.241314642438</v>
      </c>
    </row>
    <row r="562" customFormat="false" ht="15" hidden="false" customHeight="false" outlineLevel="0" collapsed="false">
      <c r="A562" s="12" t="n">
        <v>2053.894</v>
      </c>
      <c r="B562" s="13" t="n">
        <f aca="false">A562-$A$2</f>
        <v>28.0129999999997</v>
      </c>
      <c r="C562" s="14" t="n">
        <v>437.06</v>
      </c>
      <c r="D562" s="13" t="n">
        <f aca="false">C562*Config!$B$8</f>
        <v>155.945377371686</v>
      </c>
    </row>
    <row r="563" customFormat="false" ht="15" hidden="false" customHeight="false" outlineLevel="0" collapsed="false">
      <c r="A563" s="12" t="n">
        <v>2053.944</v>
      </c>
      <c r="B563" s="13" t="n">
        <f aca="false">A563-$A$2</f>
        <v>28.0629999999999</v>
      </c>
      <c r="C563" s="14" t="n">
        <v>448.15</v>
      </c>
      <c r="D563" s="13" t="n">
        <f aca="false">C563*Config!$B$8</f>
        <v>159.902349492337</v>
      </c>
    </row>
    <row r="564" customFormat="false" ht="15" hidden="false" customHeight="false" outlineLevel="0" collapsed="false">
      <c r="A564" s="12" t="n">
        <v>2053.994</v>
      </c>
      <c r="B564" s="13" t="n">
        <f aca="false">A564-$A$2</f>
        <v>28.1130000000001</v>
      </c>
      <c r="C564" s="14" t="n">
        <v>450.68</v>
      </c>
      <c r="D564" s="13" t="n">
        <f aca="false">C564*Config!$B$8</f>
        <v>160.805067207869</v>
      </c>
    </row>
    <row r="565" customFormat="false" ht="15" hidden="false" customHeight="false" outlineLevel="0" collapsed="false">
      <c r="A565" s="12" t="n">
        <v>2054.044</v>
      </c>
      <c r="B565" s="13" t="n">
        <f aca="false">A565-$A$2</f>
        <v>28.1629999999998</v>
      </c>
      <c r="C565" s="14" t="n">
        <v>440.71</v>
      </c>
      <c r="D565" s="13" t="n">
        <f aca="false">C565*Config!$B$8</f>
        <v>157.247717158915</v>
      </c>
    </row>
    <row r="566" customFormat="false" ht="15" hidden="false" customHeight="false" outlineLevel="0" collapsed="false">
      <c r="A566" s="12" t="n">
        <v>2054.094</v>
      </c>
      <c r="B566" s="13" t="n">
        <f aca="false">A566-$A$2</f>
        <v>28.213</v>
      </c>
      <c r="C566" s="14" t="n">
        <v>455.25</v>
      </c>
      <c r="D566" s="13" t="n">
        <f aca="false">C566*Config!$B$8</f>
        <v>162.435667982565</v>
      </c>
    </row>
    <row r="567" customFormat="false" ht="15" hidden="false" customHeight="false" outlineLevel="0" collapsed="false">
      <c r="A567" s="12" t="n">
        <v>2054.144</v>
      </c>
      <c r="B567" s="13" t="n">
        <f aca="false">A567-$A$2</f>
        <v>28.2629999999997</v>
      </c>
      <c r="C567" s="14" t="n">
        <v>444.98</v>
      </c>
      <c r="D567" s="13" t="n">
        <f aca="false">C567*Config!$B$8</f>
        <v>158.771276307264</v>
      </c>
    </row>
    <row r="568" customFormat="false" ht="15" hidden="false" customHeight="false" outlineLevel="0" collapsed="false">
      <c r="A568" s="12" t="n">
        <v>2054.194</v>
      </c>
      <c r="B568" s="13" t="n">
        <f aca="false">A568-$A$2</f>
        <v>28.3129999999999</v>
      </c>
      <c r="C568" s="14" t="n">
        <v>451.15</v>
      </c>
      <c r="D568" s="13" t="n">
        <f aca="false">C568*Config!$B$8</f>
        <v>160.972765755814</v>
      </c>
    </row>
    <row r="569" customFormat="false" ht="15" hidden="false" customHeight="false" outlineLevel="0" collapsed="false">
      <c r="A569" s="12" t="n">
        <v>2054.244</v>
      </c>
      <c r="B569" s="13" t="n">
        <f aca="false">A569-$A$2</f>
        <v>28.3630000000001</v>
      </c>
      <c r="C569" s="14" t="n">
        <v>458.63</v>
      </c>
      <c r="D569" s="13" t="n">
        <f aca="false">C569*Config!$B$8</f>
        <v>163.641670306082</v>
      </c>
    </row>
    <row r="570" customFormat="false" ht="15" hidden="false" customHeight="false" outlineLevel="0" collapsed="false">
      <c r="A570" s="12" t="n">
        <v>2054.294</v>
      </c>
      <c r="B570" s="13" t="n">
        <f aca="false">A570-$A$2</f>
        <v>28.4129999999998</v>
      </c>
      <c r="C570" s="14" t="n">
        <v>450.14</v>
      </c>
      <c r="D570" s="13" t="n">
        <f aca="false">C570*Config!$B$8</f>
        <v>160.612392280443</v>
      </c>
    </row>
    <row r="571" customFormat="false" ht="15" hidden="false" customHeight="false" outlineLevel="0" collapsed="false">
      <c r="A571" s="12" t="n">
        <v>2054.344</v>
      </c>
      <c r="B571" s="13" t="n">
        <f aca="false">A571-$A$2</f>
        <v>28.463</v>
      </c>
      <c r="C571" s="14" t="n">
        <v>454.67</v>
      </c>
      <c r="D571" s="13" t="n">
        <f aca="false">C571*Config!$B$8</f>
        <v>162.228720838293</v>
      </c>
    </row>
    <row r="572" customFormat="false" ht="15" hidden="false" customHeight="false" outlineLevel="0" collapsed="false">
      <c r="A572" s="12" t="n">
        <v>2054.394</v>
      </c>
      <c r="B572" s="13" t="n">
        <f aca="false">A572-$A$2</f>
        <v>28.5129999999997</v>
      </c>
      <c r="C572" s="14" t="n">
        <v>441.44</v>
      </c>
      <c r="D572" s="13" t="n">
        <f aca="false">C572*Config!$B$8</f>
        <v>157.508185116361</v>
      </c>
    </row>
    <row r="573" customFormat="false" ht="15" hidden="false" customHeight="false" outlineLevel="0" collapsed="false">
      <c r="A573" s="12" t="n">
        <v>2054.444</v>
      </c>
      <c r="B573" s="13" t="n">
        <f aca="false">A573-$A$2</f>
        <v>28.5629999999999</v>
      </c>
      <c r="C573" s="14" t="n">
        <v>451.53</v>
      </c>
      <c r="D573" s="13" t="n">
        <f aca="false">C573*Config!$B$8</f>
        <v>161.108351815854</v>
      </c>
    </row>
    <row r="574" customFormat="false" ht="15" hidden="false" customHeight="false" outlineLevel="0" collapsed="false">
      <c r="A574" s="12" t="n">
        <v>2054.494</v>
      </c>
      <c r="B574" s="13" t="n">
        <f aca="false">A574-$A$2</f>
        <v>28.6130000000001</v>
      </c>
      <c r="C574" s="14" t="n">
        <v>442.53</v>
      </c>
      <c r="D574" s="13" t="n">
        <f aca="false">C574*Config!$B$8</f>
        <v>157.897103025425</v>
      </c>
    </row>
    <row r="575" customFormat="false" ht="15" hidden="false" customHeight="false" outlineLevel="0" collapsed="false">
      <c r="A575" s="12" t="n">
        <v>2054.544</v>
      </c>
      <c r="B575" s="13" t="n">
        <f aca="false">A575-$A$2</f>
        <v>28.6629999999998</v>
      </c>
      <c r="C575" s="14" t="n">
        <v>449.84</v>
      </c>
      <c r="D575" s="13" t="n">
        <f aca="false">C575*Config!$B$8</f>
        <v>160.505350654096</v>
      </c>
    </row>
    <row r="576" customFormat="false" ht="15" hidden="false" customHeight="false" outlineLevel="0" collapsed="false">
      <c r="A576" s="12" t="n">
        <v>2054.594</v>
      </c>
      <c r="B576" s="13" t="n">
        <f aca="false">A576-$A$2</f>
        <v>28.713</v>
      </c>
      <c r="C576" s="14" t="n">
        <v>457.57</v>
      </c>
      <c r="D576" s="13" t="n">
        <f aca="false">C576*Config!$B$8</f>
        <v>163.263456559654</v>
      </c>
    </row>
    <row r="577" customFormat="false" ht="15" hidden="false" customHeight="false" outlineLevel="0" collapsed="false">
      <c r="A577" s="12" t="n">
        <v>2054.644</v>
      </c>
      <c r="B577" s="13" t="n">
        <f aca="false">A577-$A$2</f>
        <v>28.7629999999997</v>
      </c>
      <c r="C577" s="14" t="n">
        <v>447.45</v>
      </c>
      <c r="D577" s="13" t="n">
        <f aca="false">C577*Config!$B$8</f>
        <v>159.652585697526</v>
      </c>
    </row>
    <row r="578" customFormat="false" ht="15" hidden="false" customHeight="false" outlineLevel="0" collapsed="false">
      <c r="A578" s="12" t="n">
        <v>2054.694</v>
      </c>
      <c r="B578" s="13" t="n">
        <f aca="false">A578-$A$2</f>
        <v>28.8129999999999</v>
      </c>
      <c r="C578" s="14" t="n">
        <v>445.29</v>
      </c>
      <c r="D578" s="13" t="n">
        <f aca="false">C578*Config!$B$8</f>
        <v>158.881885987823</v>
      </c>
    </row>
    <row r="579" customFormat="false" ht="15" hidden="false" customHeight="false" outlineLevel="0" collapsed="false">
      <c r="A579" s="12" t="n">
        <v>2054.744</v>
      </c>
      <c r="B579" s="13" t="n">
        <f aca="false">A579-$A$2</f>
        <v>28.8630000000001</v>
      </c>
      <c r="C579" s="14" t="n">
        <v>457.78</v>
      </c>
      <c r="D579" s="13" t="n">
        <f aca="false">C579*Config!$B$8</f>
        <v>163.338385698097</v>
      </c>
    </row>
    <row r="580" customFormat="false" ht="15" hidden="false" customHeight="false" outlineLevel="0" collapsed="false">
      <c r="A580" s="12" t="n">
        <v>2054.794</v>
      </c>
      <c r="B580" s="13" t="n">
        <f aca="false">A580-$A$2</f>
        <v>28.9129999999998</v>
      </c>
      <c r="C580" s="14" t="n">
        <v>461.1</v>
      </c>
      <c r="D580" s="13" t="n">
        <f aca="false">C580*Config!$B$8</f>
        <v>164.522979696344</v>
      </c>
    </row>
    <row r="581" customFormat="false" ht="15" hidden="false" customHeight="false" outlineLevel="0" collapsed="false">
      <c r="A581" s="12" t="n">
        <v>2054.844</v>
      </c>
      <c r="B581" s="13" t="n">
        <f aca="false">A581-$A$2</f>
        <v>28.963</v>
      </c>
      <c r="C581" s="14" t="n">
        <v>442.58</v>
      </c>
      <c r="D581" s="13" t="n">
        <f aca="false">C581*Config!$B$8</f>
        <v>157.914943296483</v>
      </c>
    </row>
    <row r="582" customFormat="false" ht="15" hidden="false" customHeight="false" outlineLevel="0" collapsed="false">
      <c r="A582" s="12" t="n">
        <v>2054.894</v>
      </c>
      <c r="B582" s="13" t="n">
        <f aca="false">A582-$A$2</f>
        <v>29.0129999999997</v>
      </c>
      <c r="C582" s="14" t="n">
        <v>453.97</v>
      </c>
      <c r="D582" s="13" t="n">
        <f aca="false">C582*Config!$B$8</f>
        <v>161.978957043482</v>
      </c>
    </row>
    <row r="583" customFormat="false" ht="15" hidden="false" customHeight="false" outlineLevel="0" collapsed="false">
      <c r="A583" s="12" t="n">
        <v>2054.944</v>
      </c>
      <c r="B583" s="13" t="n">
        <f aca="false">A583-$A$2</f>
        <v>29.0629999999999</v>
      </c>
      <c r="C583" s="14" t="n">
        <v>464.05</v>
      </c>
      <c r="D583" s="13" t="n">
        <f aca="false">C583*Config!$B$8</f>
        <v>165.575555688763</v>
      </c>
    </row>
    <row r="584" customFormat="false" ht="15" hidden="false" customHeight="false" outlineLevel="0" collapsed="false">
      <c r="A584" s="12" t="n">
        <v>2054.994</v>
      </c>
      <c r="B584" s="13" t="n">
        <f aca="false">A584-$A$2</f>
        <v>29.1130000000001</v>
      </c>
      <c r="C584" s="14" t="n">
        <v>471.39</v>
      </c>
      <c r="D584" s="13" t="n">
        <f aca="false">C584*Config!$B$8</f>
        <v>168.194507480069</v>
      </c>
    </row>
    <row r="585" customFormat="false" ht="15" hidden="false" customHeight="false" outlineLevel="0" collapsed="false">
      <c r="A585" s="12" t="n">
        <v>2055.044</v>
      </c>
      <c r="B585" s="13" t="n">
        <f aca="false">A585-$A$2</f>
        <v>29.1629999999998</v>
      </c>
      <c r="C585" s="14" t="n">
        <v>469.85</v>
      </c>
      <c r="D585" s="13" t="n">
        <f aca="false">C585*Config!$B$8</f>
        <v>167.645027131484</v>
      </c>
    </row>
    <row r="586" customFormat="false" ht="15" hidden="false" customHeight="false" outlineLevel="0" collapsed="false">
      <c r="A586" s="12" t="n">
        <v>2055.094</v>
      </c>
      <c r="B586" s="13" t="n">
        <f aca="false">A586-$A$2</f>
        <v>29.213</v>
      </c>
      <c r="C586" s="14" t="n">
        <v>451.75</v>
      </c>
      <c r="D586" s="13" t="n">
        <f aca="false">C586*Config!$B$8</f>
        <v>161.186849008509</v>
      </c>
    </row>
    <row r="587" customFormat="false" ht="15" hidden="false" customHeight="false" outlineLevel="0" collapsed="false">
      <c r="A587" s="12" t="n">
        <v>2055.144</v>
      </c>
      <c r="B587" s="13" t="n">
        <f aca="false">A587-$A$2</f>
        <v>29.2629999999997</v>
      </c>
      <c r="C587" s="14" t="n">
        <v>455.73</v>
      </c>
      <c r="D587" s="13" t="n">
        <f aca="false">C587*Config!$B$8</f>
        <v>162.606934584721</v>
      </c>
    </row>
    <row r="588" customFormat="false" ht="15" hidden="false" customHeight="false" outlineLevel="0" collapsed="false">
      <c r="A588" s="12" t="n">
        <v>2055.194</v>
      </c>
      <c r="B588" s="13" t="n">
        <f aca="false">A588-$A$2</f>
        <v>29.3129999999999</v>
      </c>
      <c r="C588" s="14" t="n">
        <v>457.47</v>
      </c>
      <c r="D588" s="13" t="n">
        <f aca="false">C588*Config!$B$8</f>
        <v>163.227776017538</v>
      </c>
    </row>
    <row r="589" customFormat="false" ht="15" hidden="false" customHeight="false" outlineLevel="0" collapsed="false">
      <c r="A589" s="12" t="n">
        <v>2055.244</v>
      </c>
      <c r="B589" s="13" t="n">
        <f aca="false">A589-$A$2</f>
        <v>29.3630000000001</v>
      </c>
      <c r="C589" s="14" t="n">
        <v>458.74</v>
      </c>
      <c r="D589" s="13" t="n">
        <f aca="false">C589*Config!$B$8</f>
        <v>163.680918902409</v>
      </c>
    </row>
    <row r="590" customFormat="false" ht="15" hidden="false" customHeight="false" outlineLevel="0" collapsed="false">
      <c r="A590" s="12" t="n">
        <v>2055.294</v>
      </c>
      <c r="B590" s="13" t="n">
        <f aca="false">A590-$A$2</f>
        <v>29.4129999999998</v>
      </c>
      <c r="C590" s="14" t="n">
        <v>439.89</v>
      </c>
      <c r="D590" s="13" t="n">
        <f aca="false">C590*Config!$B$8</f>
        <v>156.955136713565</v>
      </c>
    </row>
    <row r="591" customFormat="false" ht="15" hidden="false" customHeight="false" outlineLevel="0" collapsed="false">
      <c r="A591" s="12" t="n">
        <v>2055.344</v>
      </c>
      <c r="B591" s="13" t="n">
        <f aca="false">A591-$A$2</f>
        <v>29.463</v>
      </c>
      <c r="C591" s="14" t="n">
        <v>442.29</v>
      </c>
      <c r="D591" s="13" t="n">
        <f aca="false">C591*Config!$B$8</f>
        <v>157.811469724346</v>
      </c>
    </row>
    <row r="592" customFormat="false" ht="15" hidden="false" customHeight="false" outlineLevel="0" collapsed="false">
      <c r="A592" s="12" t="n">
        <v>2055.394</v>
      </c>
      <c r="B592" s="13" t="n">
        <f aca="false">A592-$A$2</f>
        <v>29.5129999999997</v>
      </c>
      <c r="C592" s="14" t="n">
        <v>458.54</v>
      </c>
      <c r="D592" s="13" t="n">
        <f aca="false">C592*Config!$B$8</f>
        <v>163.609557818178</v>
      </c>
    </row>
    <row r="593" customFormat="false" ht="15" hidden="false" customHeight="false" outlineLevel="0" collapsed="false">
      <c r="A593" s="12" t="n">
        <v>2055.444</v>
      </c>
      <c r="B593" s="13" t="n">
        <f aca="false">A593-$A$2</f>
        <v>29.5629999999999</v>
      </c>
      <c r="C593" s="14" t="n">
        <v>452.16</v>
      </c>
      <c r="D593" s="13" t="n">
        <f aca="false">C593*Config!$B$8</f>
        <v>161.333139231184</v>
      </c>
    </row>
    <row r="594" customFormat="false" ht="15" hidden="false" customHeight="false" outlineLevel="0" collapsed="false">
      <c r="A594" s="12" t="n">
        <v>2055.494</v>
      </c>
      <c r="B594" s="13" t="n">
        <f aca="false">A594-$A$2</f>
        <v>29.6130000000001</v>
      </c>
      <c r="C594" s="14" t="n">
        <v>456.72</v>
      </c>
      <c r="D594" s="13" t="n">
        <f aca="false">C594*Config!$B$8</f>
        <v>162.960171951669</v>
      </c>
    </row>
    <row r="595" customFormat="false" ht="15" hidden="false" customHeight="false" outlineLevel="0" collapsed="false">
      <c r="A595" s="12" t="n">
        <v>2055.544</v>
      </c>
      <c r="B595" s="13" t="n">
        <f aca="false">A595-$A$2</f>
        <v>29.6629999999998</v>
      </c>
      <c r="C595" s="14" t="n">
        <v>450</v>
      </c>
      <c r="D595" s="13" t="n">
        <f aca="false">C595*Config!$B$8</f>
        <v>160.562439521481</v>
      </c>
    </row>
    <row r="596" customFormat="false" ht="15" hidden="false" customHeight="false" outlineLevel="0" collapsed="false">
      <c r="A596" s="12" t="n">
        <v>2055.595</v>
      </c>
      <c r="B596" s="13" t="n">
        <f aca="false">A596-$A$2</f>
        <v>29.7139999999997</v>
      </c>
      <c r="C596" s="14" t="n">
        <v>442.77</v>
      </c>
      <c r="D596" s="13" t="n">
        <f aca="false">C596*Config!$B$8</f>
        <v>157.982736326503</v>
      </c>
    </row>
    <row r="597" customFormat="false" ht="15" hidden="false" customHeight="false" outlineLevel="0" collapsed="false">
      <c r="A597" s="12" t="n">
        <v>2055.645</v>
      </c>
      <c r="B597" s="13" t="n">
        <f aca="false">A597-$A$2</f>
        <v>29.7639999999999</v>
      </c>
      <c r="C597" s="14" t="n">
        <v>453.41</v>
      </c>
      <c r="D597" s="13" t="n">
        <f aca="false">C597*Config!$B$8</f>
        <v>161.779146007633</v>
      </c>
    </row>
    <row r="598" customFormat="false" ht="15" hidden="false" customHeight="false" outlineLevel="0" collapsed="false">
      <c r="A598" s="12" t="n">
        <v>2055.695</v>
      </c>
      <c r="B598" s="13" t="n">
        <f aca="false">A598-$A$2</f>
        <v>29.8140000000001</v>
      </c>
      <c r="C598" s="14" t="n">
        <v>451.43</v>
      </c>
      <c r="D598" s="13" t="n">
        <f aca="false">C598*Config!$B$8</f>
        <v>161.072671273738</v>
      </c>
    </row>
    <row r="599" customFormat="false" ht="15" hidden="false" customHeight="false" outlineLevel="0" collapsed="false">
      <c r="A599" s="12" t="n">
        <v>2055.745</v>
      </c>
      <c r="B599" s="13" t="n">
        <f aca="false">A599-$A$2</f>
        <v>29.8639999999998</v>
      </c>
      <c r="C599" s="14" t="n">
        <v>451.82</v>
      </c>
      <c r="D599" s="13" t="n">
        <f aca="false">C599*Config!$B$8</f>
        <v>161.21182538799</v>
      </c>
    </row>
    <row r="600" customFormat="false" ht="15" hidden="false" customHeight="false" outlineLevel="0" collapsed="false">
      <c r="A600" s="12" t="n">
        <v>2055.795</v>
      </c>
      <c r="B600" s="13" t="n">
        <f aca="false">A600-$A$2</f>
        <v>29.914</v>
      </c>
      <c r="C600" s="14" t="n">
        <v>452.35</v>
      </c>
      <c r="D600" s="13" t="n">
        <f aca="false">C600*Config!$B$8</f>
        <v>161.400932261204</v>
      </c>
    </row>
    <row r="601" customFormat="false" ht="15" hidden="false" customHeight="false" outlineLevel="0" collapsed="false">
      <c r="A601" s="12" t="n">
        <v>2055.845</v>
      </c>
      <c r="B601" s="13" t="n">
        <f aca="false">A601-$A$2</f>
        <v>29.9639999999997</v>
      </c>
      <c r="C601" s="14" t="n">
        <v>451.94</v>
      </c>
      <c r="D601" s="13" t="n">
        <f aca="false">C601*Config!$B$8</f>
        <v>161.254642038529</v>
      </c>
    </row>
    <row r="602" customFormat="false" ht="15" hidden="false" customHeight="false" outlineLevel="0" collapsed="false">
      <c r="A602" s="12" t="n">
        <v>2055.895</v>
      </c>
      <c r="B602" s="13" t="n">
        <f aca="false">A602-$A$2</f>
        <v>30.0139999999999</v>
      </c>
      <c r="C602" s="14" t="n">
        <v>450.96</v>
      </c>
      <c r="D602" s="13" t="n">
        <f aca="false">C602*Config!$B$8</f>
        <v>160.904972725794</v>
      </c>
    </row>
    <row r="603" customFormat="false" ht="15" hidden="false" customHeight="false" outlineLevel="0" collapsed="false">
      <c r="A603" s="12" t="n">
        <v>2055.945</v>
      </c>
      <c r="B603" s="13" t="n">
        <f aca="false">A603-$A$2</f>
        <v>30.0640000000001</v>
      </c>
      <c r="C603" s="14" t="n">
        <v>459.24</v>
      </c>
      <c r="D603" s="13" t="n">
        <f aca="false">C603*Config!$B$8</f>
        <v>163.859321612989</v>
      </c>
    </row>
    <row r="604" customFormat="false" ht="15" hidden="false" customHeight="false" outlineLevel="0" collapsed="false">
      <c r="A604" s="12" t="n">
        <v>2055.995</v>
      </c>
      <c r="B604" s="13" t="n">
        <f aca="false">A604-$A$2</f>
        <v>30.1139999999998</v>
      </c>
      <c r="C604" s="14" t="n">
        <v>456.37</v>
      </c>
      <c r="D604" s="13" t="n">
        <f aca="false">C604*Config!$B$8</f>
        <v>162.835290054263</v>
      </c>
    </row>
    <row r="605" customFormat="false" ht="15" hidden="false" customHeight="false" outlineLevel="0" collapsed="false">
      <c r="A605" s="12" t="n">
        <v>2056.045</v>
      </c>
      <c r="B605" s="13" t="n">
        <f aca="false">A605-$A$2</f>
        <v>30.164</v>
      </c>
      <c r="C605" s="14" t="n">
        <v>449.71</v>
      </c>
      <c r="D605" s="13" t="n">
        <f aca="false">C605*Config!$B$8</f>
        <v>160.458965949345</v>
      </c>
    </row>
    <row r="606" customFormat="false" ht="15" hidden="false" customHeight="false" outlineLevel="0" collapsed="false">
      <c r="A606" s="12" t="n">
        <v>2056.095</v>
      </c>
      <c r="B606" s="13" t="n">
        <f aca="false">A606-$A$2</f>
        <v>30.2139999999997</v>
      </c>
      <c r="C606" s="14" t="n">
        <v>439.8</v>
      </c>
      <c r="D606" s="13" t="n">
        <f aca="false">C606*Config!$B$8</f>
        <v>156.923024225661</v>
      </c>
    </row>
    <row r="607" customFormat="false" ht="15" hidden="false" customHeight="false" outlineLevel="0" collapsed="false">
      <c r="A607" s="12" t="n">
        <v>2056.145</v>
      </c>
      <c r="B607" s="13" t="n">
        <f aca="false">A607-$A$2</f>
        <v>30.2639999999999</v>
      </c>
      <c r="C607" s="14" t="n">
        <v>446.85</v>
      </c>
      <c r="D607" s="13" t="n">
        <f aca="false">C607*Config!$B$8</f>
        <v>159.438502444831</v>
      </c>
    </row>
    <row r="608" customFormat="false" ht="15" hidden="false" customHeight="false" outlineLevel="0" collapsed="false">
      <c r="A608" s="12" t="n">
        <v>2056.195</v>
      </c>
      <c r="B608" s="13" t="n">
        <f aca="false">A608-$A$2</f>
        <v>30.3140000000001</v>
      </c>
      <c r="C608" s="14" t="n">
        <v>447.85</v>
      </c>
      <c r="D608" s="13" t="n">
        <f aca="false">C608*Config!$B$8</f>
        <v>159.79530786599</v>
      </c>
    </row>
    <row r="609" customFormat="false" ht="15" hidden="false" customHeight="false" outlineLevel="0" collapsed="false">
      <c r="A609" s="12" t="n">
        <v>2056.245</v>
      </c>
      <c r="B609" s="13" t="n">
        <f aca="false">A609-$A$2</f>
        <v>30.3639999999998</v>
      </c>
      <c r="C609" s="14" t="n">
        <v>462.09</v>
      </c>
      <c r="D609" s="13" t="n">
        <f aca="false">C609*Config!$B$8</f>
        <v>164.876217063292</v>
      </c>
    </row>
    <row r="610" customFormat="false" ht="15" hidden="false" customHeight="false" outlineLevel="0" collapsed="false">
      <c r="A610" s="12" t="n">
        <v>2056.295</v>
      </c>
      <c r="B610" s="13" t="n">
        <f aca="false">A610-$A$2</f>
        <v>30.414</v>
      </c>
      <c r="C610" s="14" t="n">
        <v>448.45</v>
      </c>
      <c r="D610" s="13" t="n">
        <f aca="false">C610*Config!$B$8</f>
        <v>160.009391118685</v>
      </c>
    </row>
    <row r="611" customFormat="false" ht="15" hidden="false" customHeight="false" outlineLevel="0" collapsed="false">
      <c r="A611" s="12" t="n">
        <v>2056.345</v>
      </c>
      <c r="B611" s="13" t="n">
        <f aca="false">A611-$A$2</f>
        <v>30.4639999999997</v>
      </c>
      <c r="C611" s="14" t="n">
        <v>443.07</v>
      </c>
      <c r="D611" s="13" t="n">
        <f aca="false">C611*Config!$B$8</f>
        <v>158.08977795285</v>
      </c>
    </row>
    <row r="612" customFormat="false" ht="15" hidden="false" customHeight="false" outlineLevel="0" collapsed="false">
      <c r="A612" s="12" t="n">
        <v>2056.395</v>
      </c>
      <c r="B612" s="13" t="n">
        <f aca="false">A612-$A$2</f>
        <v>30.5139999999999</v>
      </c>
      <c r="C612" s="14" t="n">
        <v>449.6</v>
      </c>
      <c r="D612" s="13" t="n">
        <f aca="false">C612*Config!$B$8</f>
        <v>160.419717353018</v>
      </c>
    </row>
    <row r="613" customFormat="false" ht="15" hidden="false" customHeight="false" outlineLevel="0" collapsed="false">
      <c r="A613" s="12" t="n">
        <v>2056.445</v>
      </c>
      <c r="B613" s="13" t="n">
        <f aca="false">A613-$A$2</f>
        <v>30.5640000000001</v>
      </c>
      <c r="C613" s="14" t="n">
        <v>430.99</v>
      </c>
      <c r="D613" s="13" t="n">
        <f aca="false">C613*Config!$B$8</f>
        <v>153.779568465252</v>
      </c>
    </row>
    <row r="614" customFormat="false" ht="15" hidden="false" customHeight="false" outlineLevel="0" collapsed="false">
      <c r="A614" s="12" t="n">
        <v>2056.495</v>
      </c>
      <c r="B614" s="13" t="n">
        <f aca="false">A614-$A$2</f>
        <v>30.6139999999998</v>
      </c>
      <c r="C614" s="14" t="n">
        <v>453.17</v>
      </c>
      <c r="D614" s="13" t="n">
        <f aca="false">C614*Config!$B$8</f>
        <v>161.693512706555</v>
      </c>
    </row>
    <row r="615" customFormat="false" ht="15" hidden="false" customHeight="false" outlineLevel="0" collapsed="false">
      <c r="A615" s="12" t="n">
        <v>2056.545</v>
      </c>
      <c r="B615" s="13" t="n">
        <f aca="false">A615-$A$2</f>
        <v>30.664</v>
      </c>
      <c r="C615" s="14" t="n">
        <v>446.94</v>
      </c>
      <c r="D615" s="13" t="n">
        <f aca="false">C615*Config!$B$8</f>
        <v>159.470614932735</v>
      </c>
    </row>
    <row r="616" customFormat="false" ht="15" hidden="false" customHeight="false" outlineLevel="0" collapsed="false">
      <c r="A616" s="12" t="n">
        <v>2056.595</v>
      </c>
      <c r="B616" s="13" t="n">
        <f aca="false">A616-$A$2</f>
        <v>30.7139999999997</v>
      </c>
      <c r="C616" s="14" t="n">
        <v>455.34</v>
      </c>
      <c r="D616" s="13" t="n">
        <f aca="false">C616*Config!$B$8</f>
        <v>162.467780470469</v>
      </c>
    </row>
    <row r="617" customFormat="false" ht="15" hidden="false" customHeight="false" outlineLevel="0" collapsed="false">
      <c r="A617" s="12" t="n">
        <v>2056.645</v>
      </c>
      <c r="B617" s="13" t="n">
        <f aca="false">A617-$A$2</f>
        <v>30.7639999999999</v>
      </c>
      <c r="C617" s="14" t="n">
        <v>452.18</v>
      </c>
      <c r="D617" s="13" t="n">
        <f aca="false">C617*Config!$B$8</f>
        <v>161.340275339607</v>
      </c>
    </row>
    <row r="618" customFormat="false" ht="15" hidden="false" customHeight="false" outlineLevel="0" collapsed="false">
      <c r="A618" s="12" t="n">
        <v>2056.695</v>
      </c>
      <c r="B618" s="13" t="n">
        <f aca="false">A618-$A$2</f>
        <v>30.8140000000001</v>
      </c>
      <c r="C618" s="14" t="n">
        <v>435.37</v>
      </c>
      <c r="D618" s="13" t="n">
        <f aca="false">C618*Config!$B$8</f>
        <v>155.342376209927</v>
      </c>
    </row>
    <row r="619" customFormat="false" ht="15" hidden="false" customHeight="false" outlineLevel="0" collapsed="false">
      <c r="A619" s="12" t="n">
        <v>2056.745</v>
      </c>
      <c r="B619" s="13" t="n">
        <f aca="false">A619-$A$2</f>
        <v>30.8639999999998</v>
      </c>
      <c r="C619" s="14" t="n">
        <v>434.61</v>
      </c>
      <c r="D619" s="13" t="n">
        <f aca="false">C619*Config!$B$8</f>
        <v>155.071204089847</v>
      </c>
    </row>
    <row r="620" customFormat="false" ht="15" hidden="false" customHeight="false" outlineLevel="0" collapsed="false">
      <c r="A620" s="12" t="n">
        <v>2056.795</v>
      </c>
      <c r="B620" s="13" t="n">
        <f aca="false">A620-$A$2</f>
        <v>30.914</v>
      </c>
      <c r="C620" s="14" t="n">
        <v>452.19</v>
      </c>
      <c r="D620" s="13" t="n">
        <f aca="false">C620*Config!$B$8</f>
        <v>161.343843393819</v>
      </c>
    </row>
    <row r="621" customFormat="false" ht="15" hidden="false" customHeight="false" outlineLevel="0" collapsed="false">
      <c r="A621" s="12" t="n">
        <v>2056.845</v>
      </c>
      <c r="B621" s="13" t="n">
        <f aca="false">A621-$A$2</f>
        <v>30.9639999999997</v>
      </c>
      <c r="C621" s="14" t="n">
        <v>445.72</v>
      </c>
      <c r="D621" s="13" t="n">
        <f aca="false">C621*Config!$B$8</f>
        <v>159.035312318921</v>
      </c>
    </row>
    <row r="622" customFormat="false" ht="15" hidden="false" customHeight="false" outlineLevel="0" collapsed="false">
      <c r="A622" s="12" t="n">
        <v>2056.895</v>
      </c>
      <c r="B622" s="13" t="n">
        <f aca="false">A622-$A$2</f>
        <v>31.0139999999999</v>
      </c>
      <c r="C622" s="14" t="n">
        <v>435.19</v>
      </c>
      <c r="D622" s="13" t="n">
        <f aca="false">C622*Config!$B$8</f>
        <v>155.278151234119</v>
      </c>
    </row>
    <row r="623" customFormat="false" ht="15" hidden="false" customHeight="false" outlineLevel="0" collapsed="false">
      <c r="A623" s="12" t="n">
        <v>2056.945</v>
      </c>
      <c r="B623" s="13" t="n">
        <f aca="false">A623-$A$2</f>
        <v>31.0640000000001</v>
      </c>
      <c r="C623" s="14" t="n">
        <v>453.95</v>
      </c>
      <c r="D623" s="13" t="n">
        <f aca="false">C623*Config!$B$8</f>
        <v>161.971820935059</v>
      </c>
    </row>
    <row r="624" customFormat="false" ht="15" hidden="false" customHeight="false" outlineLevel="0" collapsed="false">
      <c r="A624" s="12" t="n">
        <v>2056.995</v>
      </c>
      <c r="B624" s="13" t="n">
        <f aca="false">A624-$A$2</f>
        <v>31.1139999999998</v>
      </c>
      <c r="C624" s="14" t="n">
        <v>460.8</v>
      </c>
      <c r="D624" s="13" t="n">
        <f aca="false">C624*Config!$B$8</f>
        <v>164.415938069997</v>
      </c>
    </row>
    <row r="625" customFormat="false" ht="15" hidden="false" customHeight="false" outlineLevel="0" collapsed="false">
      <c r="A625" s="12" t="n">
        <v>2057.046</v>
      </c>
      <c r="B625" s="13" t="n">
        <f aca="false">A625-$A$2</f>
        <v>31.1649999999997</v>
      </c>
      <c r="C625" s="14" t="n">
        <v>433.79</v>
      </c>
      <c r="D625" s="13" t="n">
        <f aca="false">C625*Config!$B$8</f>
        <v>154.778623644496</v>
      </c>
    </row>
    <row r="626" customFormat="false" ht="15" hidden="false" customHeight="false" outlineLevel="0" collapsed="false">
      <c r="A626" s="12" t="n">
        <v>2057.096</v>
      </c>
      <c r="B626" s="13" t="n">
        <f aca="false">A626-$A$2</f>
        <v>31.2149999999999</v>
      </c>
      <c r="C626" s="14" t="n">
        <v>454.53</v>
      </c>
      <c r="D626" s="13" t="n">
        <f aca="false">C626*Config!$B$8</f>
        <v>162.178768079331</v>
      </c>
    </row>
    <row r="627" customFormat="false" ht="15" hidden="false" customHeight="false" outlineLevel="0" collapsed="false">
      <c r="A627" s="12" t="n">
        <v>2057.146</v>
      </c>
      <c r="B627" s="13" t="n">
        <f aca="false">A627-$A$2</f>
        <v>31.2650000000001</v>
      </c>
      <c r="C627" s="14" t="n">
        <v>445.12</v>
      </c>
      <c r="D627" s="13" t="n">
        <f aca="false">C627*Config!$B$8</f>
        <v>158.821229066226</v>
      </c>
    </row>
    <row r="628" customFormat="false" ht="15" hidden="false" customHeight="false" outlineLevel="0" collapsed="false">
      <c r="A628" s="12" t="n">
        <v>2057.196</v>
      </c>
      <c r="B628" s="13" t="n">
        <f aca="false">A628-$A$2</f>
        <v>31.3149999999998</v>
      </c>
      <c r="C628" s="14" t="n">
        <v>430.53</v>
      </c>
      <c r="D628" s="13" t="n">
        <f aca="false">C628*Config!$B$8</f>
        <v>153.615437971518</v>
      </c>
    </row>
    <row r="629" customFormat="false" ht="15" hidden="false" customHeight="false" outlineLevel="0" collapsed="false">
      <c r="A629" s="12" t="n">
        <v>2057.246</v>
      </c>
      <c r="B629" s="13" t="n">
        <f aca="false">A629-$A$2</f>
        <v>31.365</v>
      </c>
      <c r="C629" s="14" t="n">
        <v>431.76</v>
      </c>
      <c r="D629" s="13" t="n">
        <f aca="false">C629*Config!$B$8</f>
        <v>154.054308639544</v>
      </c>
    </row>
    <row r="630" customFormat="false" ht="15" hidden="false" customHeight="false" outlineLevel="0" collapsed="false">
      <c r="A630" s="12" t="n">
        <v>2057.296</v>
      </c>
      <c r="B630" s="13" t="n">
        <f aca="false">A630-$A$2</f>
        <v>31.4149999999997</v>
      </c>
      <c r="C630" s="14" t="n">
        <v>433.37</v>
      </c>
      <c r="D630" s="13" t="n">
        <f aca="false">C630*Config!$B$8</f>
        <v>154.62876536761</v>
      </c>
    </row>
    <row r="631" customFormat="false" ht="15" hidden="false" customHeight="false" outlineLevel="0" collapsed="false">
      <c r="A631" s="12" t="n">
        <v>2057.346</v>
      </c>
      <c r="B631" s="13" t="n">
        <f aca="false">A631-$A$2</f>
        <v>31.4649999999999</v>
      </c>
      <c r="C631" s="14" t="n">
        <v>436.39</v>
      </c>
      <c r="D631" s="13" t="n">
        <f aca="false">C631*Config!$B$8</f>
        <v>155.706317739509</v>
      </c>
    </row>
    <row r="632" customFormat="false" ht="15" hidden="false" customHeight="false" outlineLevel="0" collapsed="false">
      <c r="A632" s="12" t="n">
        <v>2057.396</v>
      </c>
      <c r="B632" s="13" t="n">
        <f aca="false">A632-$A$2</f>
        <v>31.5150000000001</v>
      </c>
      <c r="C632" s="14" t="n">
        <v>436.68</v>
      </c>
      <c r="D632" s="13" t="n">
        <f aca="false">C632*Config!$B$8</f>
        <v>155.809791311645</v>
      </c>
    </row>
    <row r="633" customFormat="false" ht="15" hidden="false" customHeight="false" outlineLevel="0" collapsed="false">
      <c r="A633" s="12" t="n">
        <v>2057.446</v>
      </c>
      <c r="B633" s="13" t="n">
        <f aca="false">A633-$A$2</f>
        <v>31.5649999999998</v>
      </c>
      <c r="C633" s="14" t="n">
        <v>448.43</v>
      </c>
      <c r="D633" s="13" t="n">
        <f aca="false">C633*Config!$B$8</f>
        <v>160.002255010262</v>
      </c>
    </row>
    <row r="634" customFormat="false" ht="15" hidden="false" customHeight="false" outlineLevel="0" collapsed="false">
      <c r="A634" s="12" t="n">
        <v>2057.496</v>
      </c>
      <c r="B634" s="13" t="n">
        <f aca="false">A634-$A$2</f>
        <v>31.615</v>
      </c>
      <c r="C634" s="14" t="n">
        <v>433.37</v>
      </c>
      <c r="D634" s="13" t="n">
        <f aca="false">C634*Config!$B$8</f>
        <v>154.62876536761</v>
      </c>
    </row>
    <row r="635" customFormat="false" ht="15" hidden="false" customHeight="false" outlineLevel="0" collapsed="false">
      <c r="A635" s="12" t="n">
        <v>2057.546</v>
      </c>
      <c r="B635" s="13" t="n">
        <f aca="false">A635-$A$2</f>
        <v>31.6649999999997</v>
      </c>
      <c r="C635" s="14" t="n">
        <v>447.09</v>
      </c>
      <c r="D635" s="13" t="n">
        <f aca="false">C635*Config!$B$8</f>
        <v>159.524135745909</v>
      </c>
    </row>
    <row r="636" customFormat="false" ht="15" hidden="false" customHeight="false" outlineLevel="0" collapsed="false">
      <c r="A636" s="12" t="n">
        <v>2057.596</v>
      </c>
      <c r="B636" s="13" t="n">
        <f aca="false">A636-$A$2</f>
        <v>31.7149999999999</v>
      </c>
      <c r="C636" s="14" t="n">
        <v>434.11</v>
      </c>
      <c r="D636" s="13" t="n">
        <f aca="false">C636*Config!$B$8</f>
        <v>154.892801379267</v>
      </c>
    </row>
    <row r="637" customFormat="false" ht="15" hidden="false" customHeight="false" outlineLevel="0" collapsed="false">
      <c r="A637" s="12" t="n">
        <v>2057.646</v>
      </c>
      <c r="B637" s="13" t="n">
        <f aca="false">A637-$A$2</f>
        <v>31.7650000000001</v>
      </c>
      <c r="C637" s="14" t="n">
        <v>431.44</v>
      </c>
      <c r="D637" s="13" t="n">
        <f aca="false">C637*Config!$B$8</f>
        <v>153.940130904773</v>
      </c>
    </row>
    <row r="638" customFormat="false" ht="15" hidden="false" customHeight="false" outlineLevel="0" collapsed="false">
      <c r="A638" s="12" t="n">
        <v>2057.696</v>
      </c>
      <c r="B638" s="13" t="n">
        <f aca="false">A638-$A$2</f>
        <v>31.8149999999998</v>
      </c>
      <c r="C638" s="14" t="n">
        <v>437.74</v>
      </c>
      <c r="D638" s="13" t="n">
        <f aca="false">C638*Config!$B$8</f>
        <v>156.188005058074</v>
      </c>
    </row>
    <row r="639" customFormat="false" ht="15" hidden="false" customHeight="false" outlineLevel="0" collapsed="false">
      <c r="A639" s="12" t="n">
        <v>2057.746</v>
      </c>
      <c r="B639" s="13" t="n">
        <f aca="false">A639-$A$2</f>
        <v>31.865</v>
      </c>
      <c r="C639" s="14" t="n">
        <v>447.33</v>
      </c>
      <c r="D639" s="13" t="n">
        <f aca="false">C639*Config!$B$8</f>
        <v>159.609769046987</v>
      </c>
    </row>
    <row r="640" customFormat="false" ht="15" hidden="false" customHeight="false" outlineLevel="0" collapsed="false">
      <c r="A640" s="12" t="n">
        <v>2057.796</v>
      </c>
      <c r="B640" s="13" t="n">
        <f aca="false">A640-$A$2</f>
        <v>31.9149999999997</v>
      </c>
      <c r="C640" s="14" t="n">
        <v>436.88</v>
      </c>
      <c r="D640" s="13" t="n">
        <f aca="false">C640*Config!$B$8</f>
        <v>155.881152395877</v>
      </c>
    </row>
    <row r="641" customFormat="false" ht="15" hidden="false" customHeight="false" outlineLevel="0" collapsed="false">
      <c r="A641" s="12" t="n">
        <v>2057.846</v>
      </c>
      <c r="B641" s="13" t="n">
        <f aca="false">A641-$A$2</f>
        <v>31.9649999999999</v>
      </c>
      <c r="C641" s="14" t="n">
        <v>442.14</v>
      </c>
      <c r="D641" s="13" t="n">
        <f aca="false">C641*Config!$B$8</f>
        <v>157.757948911173</v>
      </c>
    </row>
    <row r="642" customFormat="false" ht="15" hidden="false" customHeight="false" outlineLevel="0" collapsed="false">
      <c r="A642" s="12" t="n">
        <v>2057.896</v>
      </c>
      <c r="B642" s="13" t="n">
        <f aca="false">A642-$A$2</f>
        <v>32.0150000000001</v>
      </c>
      <c r="C642" s="14" t="n">
        <v>437.59</v>
      </c>
      <c r="D642" s="13" t="n">
        <f aca="false">C642*Config!$B$8</f>
        <v>156.1344842449</v>
      </c>
    </row>
    <row r="643" customFormat="false" ht="15" hidden="false" customHeight="false" outlineLevel="0" collapsed="false">
      <c r="A643" s="12" t="n">
        <v>2057.946</v>
      </c>
      <c r="B643" s="13" t="n">
        <f aca="false">A643-$A$2</f>
        <v>32.0649999999998</v>
      </c>
      <c r="C643" s="14" t="n">
        <v>435.13</v>
      </c>
      <c r="D643" s="13" t="n">
        <f aca="false">C643*Config!$B$8</f>
        <v>155.256742908849</v>
      </c>
    </row>
    <row r="644" customFormat="false" ht="15" hidden="false" customHeight="false" outlineLevel="0" collapsed="false">
      <c r="A644" s="12" t="n">
        <v>2057.996</v>
      </c>
      <c r="B644" s="13" t="n">
        <f aca="false">A644-$A$2</f>
        <v>32.115</v>
      </c>
      <c r="C644" s="14" t="n">
        <v>436.07</v>
      </c>
      <c r="D644" s="13" t="n">
        <f aca="false">C644*Config!$B$8</f>
        <v>155.592140004738</v>
      </c>
    </row>
    <row r="645" customFormat="false" ht="15" hidden="false" customHeight="false" outlineLevel="0" collapsed="false">
      <c r="A645" s="12" t="n">
        <v>2058.046</v>
      </c>
      <c r="B645" s="13" t="n">
        <f aca="false">A645-$A$2</f>
        <v>32.1649999999997</v>
      </c>
      <c r="C645" s="14" t="n">
        <v>442.14</v>
      </c>
      <c r="D645" s="13" t="n">
        <f aca="false">C645*Config!$B$8</f>
        <v>157.757948911173</v>
      </c>
    </row>
    <row r="646" customFormat="false" ht="15" hidden="false" customHeight="false" outlineLevel="0" collapsed="false">
      <c r="A646" s="12" t="n">
        <v>2058.096</v>
      </c>
      <c r="B646" s="13" t="n">
        <f aca="false">A646-$A$2</f>
        <v>32.2149999999999</v>
      </c>
      <c r="C646" s="14" t="n">
        <v>444.1</v>
      </c>
      <c r="D646" s="13" t="n">
        <f aca="false">C646*Config!$B$8</f>
        <v>158.457287536644</v>
      </c>
    </row>
    <row r="647" customFormat="false" ht="15" hidden="false" customHeight="false" outlineLevel="0" collapsed="false">
      <c r="A647" s="12" t="n">
        <v>2058.146</v>
      </c>
      <c r="B647" s="13" t="n">
        <f aca="false">A647-$A$2</f>
        <v>32.2650000000001</v>
      </c>
      <c r="C647" s="14" t="n">
        <v>445.22</v>
      </c>
      <c r="D647" s="13" t="n">
        <f aca="false">C647*Config!$B$8</f>
        <v>158.856909608342</v>
      </c>
    </row>
    <row r="648" customFormat="false" ht="15" hidden="false" customHeight="false" outlineLevel="0" collapsed="false">
      <c r="A648" s="12" t="n">
        <v>2058.196</v>
      </c>
      <c r="B648" s="13" t="n">
        <f aca="false">A648-$A$2</f>
        <v>32.3149999999998</v>
      </c>
      <c r="C648" s="14" t="n">
        <v>452.45</v>
      </c>
      <c r="D648" s="13" t="n">
        <f aca="false">C648*Config!$B$8</f>
        <v>161.43661280332</v>
      </c>
    </row>
    <row r="649" customFormat="false" ht="15" hidden="false" customHeight="false" outlineLevel="0" collapsed="false">
      <c r="A649" s="12" t="n">
        <v>2058.246</v>
      </c>
      <c r="B649" s="13" t="n">
        <f aca="false">A649-$A$2</f>
        <v>32.365</v>
      </c>
      <c r="C649" s="14" t="n">
        <v>437.41</v>
      </c>
      <c r="D649" s="13" t="n">
        <f aca="false">C649*Config!$B$8</f>
        <v>156.070259269091</v>
      </c>
    </row>
    <row r="650" customFormat="false" ht="15" hidden="false" customHeight="false" outlineLevel="0" collapsed="false">
      <c r="A650" s="12" t="n">
        <v>2058.296</v>
      </c>
      <c r="B650" s="13" t="n">
        <f aca="false">A650-$A$2</f>
        <v>32.4149999999997</v>
      </c>
      <c r="C650" s="14" t="n">
        <v>454.98</v>
      </c>
      <c r="D650" s="13" t="n">
        <f aca="false">C650*Config!$B$8</f>
        <v>162.339330518852</v>
      </c>
    </row>
    <row r="651" customFormat="false" ht="15" hidden="false" customHeight="false" outlineLevel="0" collapsed="false">
      <c r="A651" s="12" t="n">
        <v>2058.346</v>
      </c>
      <c r="B651" s="13" t="n">
        <f aca="false">A651-$A$2</f>
        <v>32.4649999999999</v>
      </c>
      <c r="C651" s="14" t="n">
        <v>456.82</v>
      </c>
      <c r="D651" s="13" t="n">
        <f aca="false">C651*Config!$B$8</f>
        <v>162.995852493785</v>
      </c>
    </row>
    <row r="652" customFormat="false" ht="15" hidden="false" customHeight="false" outlineLevel="0" collapsed="false">
      <c r="A652" s="12" t="n">
        <v>2058.396</v>
      </c>
      <c r="B652" s="13" t="n">
        <f aca="false">A652-$A$2</f>
        <v>32.5150000000001</v>
      </c>
      <c r="C652" s="14" t="n">
        <v>436.67</v>
      </c>
      <c r="D652" s="13" t="n">
        <f aca="false">C652*Config!$B$8</f>
        <v>155.806223257434</v>
      </c>
    </row>
    <row r="653" customFormat="false" ht="15" hidden="false" customHeight="false" outlineLevel="0" collapsed="false">
      <c r="A653" s="12" t="n">
        <v>2058.446</v>
      </c>
      <c r="B653" s="13" t="n">
        <f aca="false">A653-$A$2</f>
        <v>32.5649999999998</v>
      </c>
      <c r="C653" s="14" t="n">
        <v>476.52</v>
      </c>
      <c r="D653" s="13" t="n">
        <f aca="false">C653*Config!$B$8</f>
        <v>170.024919290614</v>
      </c>
    </row>
    <row r="654" customFormat="false" ht="15" hidden="false" customHeight="false" outlineLevel="0" collapsed="false">
      <c r="A654" s="12" t="n">
        <v>2058.496</v>
      </c>
      <c r="B654" s="13" t="n">
        <f aca="false">A654-$A$2</f>
        <v>32.615</v>
      </c>
      <c r="C654" s="14" t="n">
        <v>432.99</v>
      </c>
      <c r="D654" s="13" t="n">
        <f aca="false">C654*Config!$B$8</f>
        <v>154.493179307569</v>
      </c>
    </row>
    <row r="655" customFormat="false" ht="15" hidden="false" customHeight="false" outlineLevel="0" collapsed="false">
      <c r="A655" s="12" t="n">
        <v>2058.546</v>
      </c>
      <c r="B655" s="13" t="n">
        <f aca="false">A655-$A$2</f>
        <v>32.6649999999997</v>
      </c>
      <c r="C655" s="14" t="n">
        <v>438.72</v>
      </c>
      <c r="D655" s="13" t="n">
        <f aca="false">C655*Config!$B$8</f>
        <v>156.537674370809</v>
      </c>
    </row>
    <row r="656" customFormat="false" ht="15" hidden="false" customHeight="false" outlineLevel="0" collapsed="false">
      <c r="A656" s="12" t="n">
        <v>2058.596</v>
      </c>
      <c r="B656" s="13" t="n">
        <f aca="false">A656-$A$2</f>
        <v>32.7149999999999</v>
      </c>
      <c r="C656" s="14" t="n">
        <v>447.31</v>
      </c>
      <c r="D656" s="13" t="n">
        <f aca="false">C656*Config!$B$8</f>
        <v>159.602632938564</v>
      </c>
    </row>
    <row r="657" customFormat="false" ht="15" hidden="false" customHeight="false" outlineLevel="0" collapsed="false">
      <c r="A657" s="12" t="n">
        <v>2058.646</v>
      </c>
      <c r="B657" s="13" t="n">
        <f aca="false">A657-$A$2</f>
        <v>32.7650000000001</v>
      </c>
      <c r="C657" s="14" t="n">
        <v>441.69</v>
      </c>
      <c r="D657" s="13" t="n">
        <f aca="false">C657*Config!$B$8</f>
        <v>157.597386471651</v>
      </c>
    </row>
    <row r="658" customFormat="false" ht="15" hidden="false" customHeight="false" outlineLevel="0" collapsed="false">
      <c r="A658" s="12" t="n">
        <v>2058.696</v>
      </c>
      <c r="B658" s="13" t="n">
        <f aca="false">A658-$A$2</f>
        <v>32.8149999999998</v>
      </c>
      <c r="C658" s="14" t="n">
        <v>448.44</v>
      </c>
      <c r="D658" s="13" t="n">
        <f aca="false">C658*Config!$B$8</f>
        <v>160.005823064473</v>
      </c>
    </row>
    <row r="659" customFormat="false" ht="15" hidden="false" customHeight="false" outlineLevel="0" collapsed="false">
      <c r="A659" s="12" t="n">
        <v>2058.746</v>
      </c>
      <c r="B659" s="13" t="n">
        <f aca="false">A659-$A$2</f>
        <v>32.865</v>
      </c>
      <c r="C659" s="14" t="n">
        <v>450.31</v>
      </c>
      <c r="D659" s="13" t="n">
        <f aca="false">C659*Config!$B$8</f>
        <v>160.67304920204</v>
      </c>
    </row>
    <row r="660" customFormat="false" ht="15" hidden="false" customHeight="false" outlineLevel="0" collapsed="false">
      <c r="A660" s="12" t="n">
        <v>2058.796</v>
      </c>
      <c r="B660" s="13" t="n">
        <f aca="false">A660-$A$2</f>
        <v>32.9149999999997</v>
      </c>
      <c r="C660" s="14" t="n">
        <v>439.39</v>
      </c>
      <c r="D660" s="13" t="n">
        <f aca="false">C660*Config!$B$8</f>
        <v>156.776734002986</v>
      </c>
    </row>
    <row r="661" customFormat="false" ht="15" hidden="false" customHeight="false" outlineLevel="0" collapsed="false">
      <c r="A661" s="12" t="n">
        <v>2058.846</v>
      </c>
      <c r="B661" s="13" t="n">
        <f aca="false">A661-$A$2</f>
        <v>32.9649999999999</v>
      </c>
      <c r="C661" s="14" t="n">
        <v>448.38</v>
      </c>
      <c r="D661" s="13" t="n">
        <f aca="false">C661*Config!$B$8</f>
        <v>159.984414739204</v>
      </c>
    </row>
    <row r="662" customFormat="false" ht="15" hidden="false" customHeight="false" outlineLevel="0" collapsed="false">
      <c r="A662" s="12" t="n">
        <v>2058.896</v>
      </c>
      <c r="B662" s="13" t="n">
        <f aca="false">A662-$A$2</f>
        <v>33.0150000000001</v>
      </c>
      <c r="C662" s="14" t="n">
        <v>444.31</v>
      </c>
      <c r="D662" s="13" t="n">
        <f aca="false">C662*Config!$B$8</f>
        <v>158.532216675087</v>
      </c>
    </row>
    <row r="663" customFormat="false" ht="15" hidden="false" customHeight="false" outlineLevel="0" collapsed="false">
      <c r="A663" s="12" t="n">
        <v>2058.946</v>
      </c>
      <c r="B663" s="13" t="n">
        <f aca="false">A663-$A$2</f>
        <v>33.0649999999998</v>
      </c>
      <c r="C663" s="14" t="n">
        <v>462.49</v>
      </c>
      <c r="D663" s="13" t="n">
        <f aca="false">C663*Config!$B$8</f>
        <v>165.018939231755</v>
      </c>
    </row>
    <row r="664" customFormat="false" ht="15" hidden="false" customHeight="false" outlineLevel="0" collapsed="false">
      <c r="A664" s="12" t="n">
        <v>2058.996</v>
      </c>
      <c r="B664" s="13" t="n">
        <f aca="false">A664-$A$2</f>
        <v>33.115</v>
      </c>
      <c r="C664" s="14" t="n">
        <v>446.51</v>
      </c>
      <c r="D664" s="13" t="n">
        <f aca="false">C664*Config!$B$8</f>
        <v>159.317188601637</v>
      </c>
    </row>
    <row r="665" customFormat="false" ht="15" hidden="false" customHeight="false" outlineLevel="0" collapsed="false">
      <c r="A665" s="12" t="n">
        <v>2059.046</v>
      </c>
      <c r="B665" s="13" t="n">
        <f aca="false">A665-$A$2</f>
        <v>33.1649999999997</v>
      </c>
      <c r="C665" s="14" t="n">
        <v>459.2</v>
      </c>
      <c r="D665" s="13" t="n">
        <f aca="false">C665*Config!$B$8</f>
        <v>163.845049396143</v>
      </c>
    </row>
    <row r="666" customFormat="false" ht="15" hidden="false" customHeight="false" outlineLevel="0" collapsed="false">
      <c r="A666" s="12" t="n">
        <v>2059.096</v>
      </c>
      <c r="B666" s="13" t="n">
        <f aca="false">A666-$A$2</f>
        <v>33.2149999999999</v>
      </c>
      <c r="C666" s="14" t="n">
        <v>444.1</v>
      </c>
      <c r="D666" s="13" t="n">
        <f aca="false">C666*Config!$B$8</f>
        <v>158.457287536644</v>
      </c>
    </row>
    <row r="667" customFormat="false" ht="15" hidden="false" customHeight="false" outlineLevel="0" collapsed="false">
      <c r="A667" s="12" t="n">
        <v>2059.146</v>
      </c>
      <c r="B667" s="13" t="n">
        <f aca="false">A667-$A$2</f>
        <v>33.2650000000001</v>
      </c>
      <c r="C667" s="14" t="n">
        <v>443.85</v>
      </c>
      <c r="D667" s="13" t="n">
        <f aca="false">C667*Config!$B$8</f>
        <v>158.368086181354</v>
      </c>
    </row>
    <row r="668" customFormat="false" ht="15" hidden="false" customHeight="false" outlineLevel="0" collapsed="false">
      <c r="A668" s="12" t="n">
        <v>2059.196</v>
      </c>
      <c r="B668" s="13" t="n">
        <f aca="false">A668-$A$2</f>
        <v>33.3149999999998</v>
      </c>
      <c r="C668" s="14" t="n">
        <v>484.88</v>
      </c>
      <c r="D668" s="13" t="n">
        <f aca="false">C668*Config!$B$8</f>
        <v>173.007812611502</v>
      </c>
    </row>
    <row r="669" customFormat="false" ht="15" hidden="false" customHeight="false" outlineLevel="0" collapsed="false">
      <c r="A669" s="12" t="n">
        <v>2059.246</v>
      </c>
      <c r="B669" s="13" t="n">
        <f aca="false">A669-$A$2</f>
        <v>33.365</v>
      </c>
      <c r="C669" s="14" t="n">
        <v>429.76</v>
      </c>
      <c r="D669" s="13" t="n">
        <f aca="false">C669*Config!$B$8</f>
        <v>153.340697797226</v>
      </c>
    </row>
    <row r="670" customFormat="false" ht="15" hidden="false" customHeight="false" outlineLevel="0" collapsed="false">
      <c r="A670" s="12" t="n">
        <v>2059.296</v>
      </c>
      <c r="B670" s="13" t="n">
        <f aca="false">A670-$A$2</f>
        <v>33.4149999999997</v>
      </c>
      <c r="C670" s="14" t="n">
        <v>440.1</v>
      </c>
      <c r="D670" s="13" t="n">
        <f aca="false">C670*Config!$B$8</f>
        <v>157.030065852009</v>
      </c>
    </row>
    <row r="671" customFormat="false" ht="15" hidden="false" customHeight="false" outlineLevel="0" collapsed="false">
      <c r="A671" s="12" t="n">
        <v>2059.346</v>
      </c>
      <c r="B671" s="13" t="n">
        <f aca="false">A671-$A$2</f>
        <v>33.4649999999999</v>
      </c>
      <c r="C671" s="14" t="n">
        <v>458.72</v>
      </c>
      <c r="D671" s="13" t="n">
        <f aca="false">C671*Config!$B$8</f>
        <v>163.673782793986</v>
      </c>
    </row>
    <row r="672" customFormat="false" ht="15" hidden="false" customHeight="false" outlineLevel="0" collapsed="false">
      <c r="A672" s="12" t="n">
        <v>2059.396</v>
      </c>
      <c r="B672" s="13" t="n">
        <f aca="false">A672-$A$2</f>
        <v>33.5150000000001</v>
      </c>
      <c r="C672" s="14" t="n">
        <v>442.94</v>
      </c>
      <c r="D672" s="13" t="n">
        <f aca="false">C672*Config!$B$8</f>
        <v>158.0433932481</v>
      </c>
    </row>
    <row r="673" customFormat="false" ht="15" hidden="false" customHeight="false" outlineLevel="0" collapsed="false">
      <c r="A673" s="12" t="n">
        <v>2059.446</v>
      </c>
      <c r="B673" s="13" t="n">
        <f aca="false">A673-$A$2</f>
        <v>33.5649999999998</v>
      </c>
      <c r="C673" s="14" t="n">
        <v>441.59</v>
      </c>
      <c r="D673" s="13" t="n">
        <f aca="false">C673*Config!$B$8</f>
        <v>157.561705929535</v>
      </c>
    </row>
    <row r="674" customFormat="false" ht="15" hidden="false" customHeight="false" outlineLevel="0" collapsed="false">
      <c r="A674" s="12" t="n">
        <v>2059.496</v>
      </c>
      <c r="B674" s="13" t="n">
        <f aca="false">A674-$A$2</f>
        <v>33.615</v>
      </c>
      <c r="C674" s="14" t="n">
        <v>454.51</v>
      </c>
      <c r="D674" s="13" t="n">
        <f aca="false">C674*Config!$B$8</f>
        <v>162.171631970908</v>
      </c>
    </row>
    <row r="675" customFormat="false" ht="15" hidden="false" customHeight="false" outlineLevel="0" collapsed="false">
      <c r="A675" s="12" t="n">
        <v>2059.546</v>
      </c>
      <c r="B675" s="13" t="n">
        <f aca="false">A675-$A$2</f>
        <v>33.6649999999997</v>
      </c>
      <c r="C675" s="14" t="n">
        <v>438.23</v>
      </c>
      <c r="D675" s="13" t="n">
        <f aca="false">C675*Config!$B$8</f>
        <v>156.362839714442</v>
      </c>
    </row>
    <row r="676" customFormat="false" ht="15" hidden="false" customHeight="false" outlineLevel="0" collapsed="false">
      <c r="A676" s="12" t="n">
        <v>2059.596</v>
      </c>
      <c r="B676" s="13" t="n">
        <f aca="false">A676-$A$2</f>
        <v>33.7149999999999</v>
      </c>
      <c r="C676" s="14" t="n">
        <v>442.22</v>
      </c>
      <c r="D676" s="13" t="n">
        <f aca="false">C676*Config!$B$8</f>
        <v>157.786493344865</v>
      </c>
    </row>
    <row r="677" customFormat="false" ht="15" hidden="false" customHeight="false" outlineLevel="0" collapsed="false">
      <c r="A677" s="12" t="n">
        <v>2059.646</v>
      </c>
      <c r="B677" s="13" t="n">
        <f aca="false">A677-$A$2</f>
        <v>33.7650000000001</v>
      </c>
      <c r="C677" s="14" t="n">
        <v>447.63</v>
      </c>
      <c r="D677" s="13" t="n">
        <f aca="false">C677*Config!$B$8</f>
        <v>159.716810673335</v>
      </c>
    </row>
    <row r="678" customFormat="false" ht="15" hidden="false" customHeight="false" outlineLevel="0" collapsed="false">
      <c r="A678" s="12" t="n">
        <v>2059.696</v>
      </c>
      <c r="B678" s="13" t="n">
        <f aca="false">A678-$A$2</f>
        <v>33.8149999999998</v>
      </c>
      <c r="C678" s="14" t="n">
        <v>431.98</v>
      </c>
      <c r="D678" s="13" t="n">
        <f aca="false">C678*Config!$B$8</f>
        <v>154.132805832199</v>
      </c>
    </row>
    <row r="679" customFormat="false" ht="15" hidden="false" customHeight="false" outlineLevel="0" collapsed="false">
      <c r="A679" s="12" t="n">
        <v>2059.746</v>
      </c>
      <c r="B679" s="13" t="n">
        <f aca="false">A679-$A$2</f>
        <v>33.865</v>
      </c>
      <c r="C679" s="14" t="n">
        <v>434.65</v>
      </c>
      <c r="D679" s="13" t="n">
        <f aca="false">C679*Config!$B$8</f>
        <v>155.085476306693</v>
      </c>
    </row>
    <row r="680" customFormat="false" ht="15" hidden="false" customHeight="false" outlineLevel="0" collapsed="false">
      <c r="A680" s="12" t="n">
        <v>2059.796</v>
      </c>
      <c r="B680" s="13" t="n">
        <f aca="false">A680-$A$2</f>
        <v>33.9149999999997</v>
      </c>
      <c r="C680" s="14" t="n">
        <v>446.96</v>
      </c>
      <c r="D680" s="13" t="n">
        <f aca="false">C680*Config!$B$8</f>
        <v>159.477751041158</v>
      </c>
    </row>
    <row r="681" customFormat="false" ht="15" hidden="false" customHeight="false" outlineLevel="0" collapsed="false">
      <c r="A681" s="12" t="n">
        <v>2059.846</v>
      </c>
      <c r="B681" s="13" t="n">
        <f aca="false">A681-$A$2</f>
        <v>33.9649999999999</v>
      </c>
      <c r="C681" s="14" t="n">
        <v>436.6</v>
      </c>
      <c r="D681" s="13" t="n">
        <f aca="false">C681*Config!$B$8</f>
        <v>155.781246877953</v>
      </c>
    </row>
    <row r="682" customFormat="false" ht="15" hidden="false" customHeight="false" outlineLevel="0" collapsed="false">
      <c r="A682" s="12" t="n">
        <v>2059.896</v>
      </c>
      <c r="B682" s="13" t="n">
        <f aca="false">A682-$A$2</f>
        <v>34.0150000000001</v>
      </c>
      <c r="C682" s="14" t="n">
        <v>463.37</v>
      </c>
      <c r="D682" s="13" t="n">
        <f aca="false">C682*Config!$B$8</f>
        <v>165.332928002375</v>
      </c>
    </row>
    <row r="683" customFormat="false" ht="15" hidden="false" customHeight="false" outlineLevel="0" collapsed="false">
      <c r="A683" s="12" t="n">
        <v>2059.947</v>
      </c>
      <c r="B683" s="13" t="n">
        <f aca="false">A683-$A$2</f>
        <v>34.066</v>
      </c>
      <c r="C683" s="14" t="n">
        <v>458.16</v>
      </c>
      <c r="D683" s="13" t="n">
        <f aca="false">C683*Config!$B$8</f>
        <v>163.473971758137</v>
      </c>
    </row>
    <row r="684" customFormat="false" ht="15" hidden="false" customHeight="false" outlineLevel="0" collapsed="false">
      <c r="A684" s="12" t="n">
        <v>2059.997</v>
      </c>
      <c r="B684" s="13" t="n">
        <f aca="false">A684-$A$2</f>
        <v>34.1159999999998</v>
      </c>
      <c r="C684" s="14" t="n">
        <v>443.7</v>
      </c>
      <c r="D684" s="13" t="n">
        <f aca="false">C684*Config!$B$8</f>
        <v>158.31456536818</v>
      </c>
    </row>
    <row r="685" customFormat="false" ht="15" hidden="false" customHeight="false" outlineLevel="0" collapsed="false">
      <c r="A685" s="12" t="n">
        <v>2060.047</v>
      </c>
      <c r="B685" s="13" t="n">
        <f aca="false">A685-$A$2</f>
        <v>34.1659999999999</v>
      </c>
      <c r="C685" s="14" t="n">
        <v>448.36</v>
      </c>
      <c r="D685" s="13" t="n">
        <f aca="false">C685*Config!$B$8</f>
        <v>159.977278630781</v>
      </c>
    </row>
    <row r="686" customFormat="false" ht="15" hidden="false" customHeight="false" outlineLevel="0" collapsed="false">
      <c r="A686" s="12" t="n">
        <v>2060.097</v>
      </c>
      <c r="B686" s="13" t="n">
        <f aca="false">A686-$A$2</f>
        <v>34.2160000000001</v>
      </c>
      <c r="C686" s="14" t="n">
        <v>457.48</v>
      </c>
      <c r="D686" s="13" t="n">
        <f aca="false">C686*Config!$B$8</f>
        <v>163.231344071749</v>
      </c>
    </row>
    <row r="687" customFormat="false" ht="15" hidden="false" customHeight="false" outlineLevel="0" collapsed="false">
      <c r="A687" s="12" t="n">
        <v>2060.147</v>
      </c>
      <c r="B687" s="13" t="n">
        <f aca="false">A687-$A$2</f>
        <v>34.2659999999999</v>
      </c>
      <c r="C687" s="14" t="n">
        <v>433.22</v>
      </c>
      <c r="D687" s="13" t="n">
        <f aca="false">C687*Config!$B$8</f>
        <v>154.575244554436</v>
      </c>
    </row>
    <row r="688" customFormat="false" ht="15" hidden="false" customHeight="false" outlineLevel="0" collapsed="false">
      <c r="A688" s="12" t="n">
        <v>2060.197</v>
      </c>
      <c r="B688" s="13" t="n">
        <f aca="false">A688-$A$2</f>
        <v>34.316</v>
      </c>
      <c r="C688" s="14" t="n">
        <v>451.88</v>
      </c>
      <c r="D688" s="13" t="n">
        <f aca="false">C688*Config!$B$8</f>
        <v>161.23323371326</v>
      </c>
    </row>
    <row r="689" customFormat="false" ht="15" hidden="false" customHeight="false" outlineLevel="0" collapsed="false">
      <c r="A689" s="12" t="n">
        <v>2060.247</v>
      </c>
      <c r="B689" s="13" t="n">
        <f aca="false">A689-$A$2</f>
        <v>34.3659999999998</v>
      </c>
      <c r="C689" s="14" t="n">
        <v>443.21</v>
      </c>
      <c r="D689" s="13" t="n">
        <f aca="false">C689*Config!$B$8</f>
        <v>158.139730711813</v>
      </c>
    </row>
    <row r="690" customFormat="false" ht="15" hidden="false" customHeight="false" outlineLevel="0" collapsed="false">
      <c r="A690" s="12" t="n">
        <v>2060.297</v>
      </c>
      <c r="B690" s="13" t="n">
        <f aca="false">A690-$A$2</f>
        <v>34.4159999999999</v>
      </c>
      <c r="C690" s="14" t="n">
        <v>439.06</v>
      </c>
      <c r="D690" s="13" t="n">
        <f aca="false">C690*Config!$B$8</f>
        <v>156.658988214003</v>
      </c>
    </row>
    <row r="691" customFormat="false" ht="15" hidden="false" customHeight="false" outlineLevel="0" collapsed="false">
      <c r="A691" s="12" t="n">
        <v>2060.347</v>
      </c>
      <c r="B691" s="13" t="n">
        <f aca="false">A691-$A$2</f>
        <v>34.4660000000001</v>
      </c>
      <c r="C691" s="14" t="n">
        <v>446.95</v>
      </c>
      <c r="D691" s="13" t="n">
        <f aca="false">C691*Config!$B$8</f>
        <v>159.474182986947</v>
      </c>
    </row>
    <row r="692" customFormat="false" ht="15" hidden="false" customHeight="false" outlineLevel="0" collapsed="false">
      <c r="A692" s="12" t="n">
        <v>2060.397</v>
      </c>
      <c r="B692" s="13" t="n">
        <f aca="false">A692-$A$2</f>
        <v>34.5159999999999</v>
      </c>
      <c r="C692" s="14" t="n">
        <v>449.81</v>
      </c>
      <c r="D692" s="13" t="n">
        <f aca="false">C692*Config!$B$8</f>
        <v>160.494646491461</v>
      </c>
    </row>
    <row r="693" customFormat="false" ht="15" hidden="false" customHeight="false" outlineLevel="0" collapsed="false">
      <c r="A693" s="12" t="n">
        <v>2060.447</v>
      </c>
      <c r="B693" s="13" t="n">
        <f aca="false">A693-$A$2</f>
        <v>34.566</v>
      </c>
      <c r="C693" s="14" t="n">
        <v>446.87</v>
      </c>
      <c r="D693" s="13" t="n">
        <f aca="false">C693*Config!$B$8</f>
        <v>159.445638553254</v>
      </c>
    </row>
    <row r="694" customFormat="false" ht="15" hidden="false" customHeight="false" outlineLevel="0" collapsed="false">
      <c r="A694" s="12" t="n">
        <v>2060.497</v>
      </c>
      <c r="B694" s="13" t="n">
        <f aca="false">A694-$A$2</f>
        <v>34.6159999999998</v>
      </c>
      <c r="C694" s="14" t="n">
        <v>454.71</v>
      </c>
      <c r="D694" s="13" t="n">
        <f aca="false">C694*Config!$B$8</f>
        <v>162.242993055139</v>
      </c>
    </row>
    <row r="695" customFormat="false" ht="15" hidden="false" customHeight="false" outlineLevel="0" collapsed="false">
      <c r="A695" s="12" t="n">
        <v>2060.547</v>
      </c>
      <c r="B695" s="13" t="n">
        <f aca="false">A695-$A$2</f>
        <v>34.6659999999999</v>
      </c>
      <c r="C695" s="14" t="n">
        <v>444.71</v>
      </c>
      <c r="D695" s="13" t="n">
        <f aca="false">C695*Config!$B$8</f>
        <v>158.674938843551</v>
      </c>
    </row>
    <row r="696" customFormat="false" ht="15" hidden="false" customHeight="false" outlineLevel="0" collapsed="false">
      <c r="A696" s="12" t="n">
        <v>2060.597</v>
      </c>
      <c r="B696" s="13" t="n">
        <f aca="false">A696-$A$2</f>
        <v>34.7160000000001</v>
      </c>
      <c r="C696" s="14" t="n">
        <v>444.47</v>
      </c>
      <c r="D696" s="13" t="n">
        <f aca="false">C696*Config!$B$8</f>
        <v>158.589305542473</v>
      </c>
    </row>
    <row r="697" customFormat="false" ht="15" hidden="false" customHeight="false" outlineLevel="0" collapsed="false">
      <c r="A697" s="12" t="n">
        <v>2060.647</v>
      </c>
      <c r="B697" s="13" t="n">
        <f aca="false">A697-$A$2</f>
        <v>34.7659999999999</v>
      </c>
      <c r="C697" s="14" t="n">
        <v>449.43</v>
      </c>
      <c r="D697" s="13" t="n">
        <f aca="false">C697*Config!$B$8</f>
        <v>160.359060431421</v>
      </c>
    </row>
    <row r="698" customFormat="false" ht="15" hidden="false" customHeight="false" outlineLevel="0" collapsed="false">
      <c r="A698" s="12" t="n">
        <v>2060.697</v>
      </c>
      <c r="B698" s="13" t="n">
        <f aca="false">A698-$A$2</f>
        <v>34.816</v>
      </c>
      <c r="C698" s="14" t="n">
        <v>459.29</v>
      </c>
      <c r="D698" s="13" t="n">
        <f aca="false">C698*Config!$B$8</f>
        <v>163.877161884047</v>
      </c>
    </row>
    <row r="699" customFormat="false" ht="15" hidden="false" customHeight="false" outlineLevel="0" collapsed="false">
      <c r="A699" s="12" t="n">
        <v>2060.747</v>
      </c>
      <c r="B699" s="13" t="n">
        <f aca="false">A699-$A$2</f>
        <v>34.8659999999998</v>
      </c>
      <c r="C699" s="14" t="n">
        <v>433.31</v>
      </c>
      <c r="D699" s="13" t="n">
        <f aca="false">C699*Config!$B$8</f>
        <v>154.60735704234</v>
      </c>
    </row>
    <row r="700" customFormat="false" ht="15" hidden="false" customHeight="false" outlineLevel="0" collapsed="false">
      <c r="A700" s="12" t="n">
        <v>2060.797</v>
      </c>
      <c r="B700" s="13" t="n">
        <f aca="false">A700-$A$2</f>
        <v>34.9159999999999</v>
      </c>
      <c r="C700" s="14" t="n">
        <v>456.59</v>
      </c>
      <c r="D700" s="13" t="n">
        <f aca="false">C700*Config!$B$8</f>
        <v>162.913787246918</v>
      </c>
    </row>
    <row r="701" customFormat="false" ht="15" hidden="false" customHeight="false" outlineLevel="0" collapsed="false">
      <c r="A701" s="12" t="n">
        <v>2060.847</v>
      </c>
      <c r="B701" s="13" t="n">
        <f aca="false">A701-$A$2</f>
        <v>34.9660000000001</v>
      </c>
      <c r="C701" s="14" t="n">
        <v>442.26</v>
      </c>
      <c r="D701" s="13" t="n">
        <f aca="false">C701*Config!$B$8</f>
        <v>157.800765561712</v>
      </c>
    </row>
    <row r="702" customFormat="false" ht="15" hidden="false" customHeight="false" outlineLevel="0" collapsed="false">
      <c r="A702" s="12" t="n">
        <v>2060.897</v>
      </c>
      <c r="B702" s="13" t="n">
        <f aca="false">A702-$A$2</f>
        <v>35.0159999999999</v>
      </c>
      <c r="C702" s="14" t="n">
        <v>448.41</v>
      </c>
      <c r="D702" s="13" t="n">
        <f aca="false">C702*Config!$B$8</f>
        <v>159.995118901839</v>
      </c>
    </row>
    <row r="703" customFormat="false" ht="15" hidden="false" customHeight="false" outlineLevel="0" collapsed="false">
      <c r="A703" s="12" t="n">
        <v>2060.947</v>
      </c>
      <c r="B703" s="13" t="n">
        <f aca="false">A703-$A$2</f>
        <v>35.066</v>
      </c>
      <c r="C703" s="14" t="n">
        <v>440.76</v>
      </c>
      <c r="D703" s="13" t="n">
        <f aca="false">C703*Config!$B$8</f>
        <v>157.265557429973</v>
      </c>
    </row>
    <row r="704" customFormat="false" ht="15" hidden="false" customHeight="false" outlineLevel="0" collapsed="false">
      <c r="A704" s="12" t="n">
        <v>2060.997</v>
      </c>
      <c r="B704" s="13" t="n">
        <f aca="false">A704-$A$2</f>
        <v>35.1159999999998</v>
      </c>
      <c r="C704" s="14" t="n">
        <v>446.5</v>
      </c>
      <c r="D704" s="13" t="n">
        <f aca="false">C704*Config!$B$8</f>
        <v>159.313620547425</v>
      </c>
    </row>
    <row r="705" customFormat="false" ht="15" hidden="false" customHeight="false" outlineLevel="0" collapsed="false">
      <c r="A705" s="12" t="n">
        <v>2061.047</v>
      </c>
      <c r="B705" s="13" t="n">
        <f aca="false">A705-$A$2</f>
        <v>35.1659999999999</v>
      </c>
      <c r="C705" s="14" t="n">
        <v>456.16</v>
      </c>
      <c r="D705" s="13" t="n">
        <f aca="false">C705*Config!$B$8</f>
        <v>162.76036091582</v>
      </c>
    </row>
    <row r="706" customFormat="false" ht="15" hidden="false" customHeight="false" outlineLevel="0" collapsed="false">
      <c r="A706" s="12" t="n">
        <v>2061.097</v>
      </c>
      <c r="B706" s="13" t="n">
        <f aca="false">A706-$A$2</f>
        <v>35.2160000000001</v>
      </c>
      <c r="C706" s="14" t="n">
        <v>440.42</v>
      </c>
      <c r="D706" s="13" t="n">
        <f aca="false">C706*Config!$B$8</f>
        <v>157.144243586779</v>
      </c>
    </row>
    <row r="707" customFormat="false" ht="15" hidden="false" customHeight="false" outlineLevel="0" collapsed="false">
      <c r="A707" s="12" t="n">
        <v>2061.147</v>
      </c>
      <c r="B707" s="13" t="n">
        <f aca="false">A707-$A$2</f>
        <v>35.2659999999999</v>
      </c>
      <c r="C707" s="14" t="n">
        <v>439.37</v>
      </c>
      <c r="D707" s="13" t="n">
        <f aca="false">C707*Config!$B$8</f>
        <v>156.769597894563</v>
      </c>
    </row>
    <row r="708" customFormat="false" ht="15" hidden="false" customHeight="false" outlineLevel="0" collapsed="false">
      <c r="A708" s="12" t="n">
        <v>2061.197</v>
      </c>
      <c r="B708" s="13" t="n">
        <f aca="false">A708-$A$2</f>
        <v>35.316</v>
      </c>
      <c r="C708" s="14" t="n">
        <v>433.42</v>
      </c>
      <c r="D708" s="13" t="n">
        <f aca="false">C708*Config!$B$8</f>
        <v>154.646605638667</v>
      </c>
    </row>
    <row r="709" customFormat="false" ht="15" hidden="false" customHeight="false" outlineLevel="0" collapsed="false">
      <c r="A709" s="12" t="n">
        <v>2061.247</v>
      </c>
      <c r="B709" s="13" t="n">
        <f aca="false">A709-$A$2</f>
        <v>35.3659999999998</v>
      </c>
      <c r="C709" s="14" t="n">
        <v>450.77</v>
      </c>
      <c r="D709" s="13" t="n">
        <f aca="false">C709*Config!$B$8</f>
        <v>160.837179695773</v>
      </c>
    </row>
    <row r="710" customFormat="false" ht="15" hidden="false" customHeight="false" outlineLevel="0" collapsed="false">
      <c r="A710" s="12" t="n">
        <v>2061.297</v>
      </c>
      <c r="B710" s="13" t="n">
        <f aca="false">A710-$A$2</f>
        <v>35.4159999999999</v>
      </c>
      <c r="C710" s="14" t="n">
        <v>444.71</v>
      </c>
      <c r="D710" s="13" t="n">
        <f aca="false">C710*Config!$B$8</f>
        <v>158.674938843551</v>
      </c>
    </row>
    <row r="711" customFormat="false" ht="15" hidden="false" customHeight="false" outlineLevel="0" collapsed="false">
      <c r="A711" s="12" t="n">
        <v>2061.347</v>
      </c>
      <c r="B711" s="13" t="n">
        <f aca="false">A711-$A$2</f>
        <v>35.4660000000001</v>
      </c>
      <c r="C711" s="14" t="n">
        <v>431.57</v>
      </c>
      <c r="D711" s="13" t="n">
        <f aca="false">C711*Config!$B$8</f>
        <v>153.986515609524</v>
      </c>
    </row>
    <row r="712" customFormat="false" ht="15" hidden="false" customHeight="false" outlineLevel="0" collapsed="false">
      <c r="A712" s="12" t="n">
        <v>2061.398</v>
      </c>
      <c r="B712" s="13" t="n">
        <f aca="false">A712-$A$2</f>
        <v>35.5170000000001</v>
      </c>
      <c r="C712" s="14" t="n">
        <v>454.25</v>
      </c>
      <c r="D712" s="13" t="n">
        <f aca="false">C712*Config!$B$8</f>
        <v>162.078862561406</v>
      </c>
    </row>
    <row r="713" customFormat="false" ht="15" hidden="false" customHeight="false" outlineLevel="0" collapsed="false">
      <c r="A713" s="12" t="n">
        <v>2061.448</v>
      </c>
      <c r="B713" s="13" t="n">
        <f aca="false">A713-$A$2</f>
        <v>35.5669999999998</v>
      </c>
      <c r="C713" s="14" t="n">
        <v>464.43</v>
      </c>
      <c r="D713" s="13" t="n">
        <f aca="false">C713*Config!$B$8</f>
        <v>165.711141748803</v>
      </c>
    </row>
    <row r="714" customFormat="false" ht="15" hidden="false" customHeight="false" outlineLevel="0" collapsed="false">
      <c r="A714" s="12" t="n">
        <v>2061.498</v>
      </c>
      <c r="B714" s="13" t="n">
        <f aca="false">A714-$A$2</f>
        <v>35.617</v>
      </c>
      <c r="C714" s="14" t="n">
        <v>437.75</v>
      </c>
      <c r="D714" s="13" t="n">
        <f aca="false">C714*Config!$B$8</f>
        <v>156.191573112285</v>
      </c>
    </row>
    <row r="715" customFormat="false" ht="15" hidden="false" customHeight="false" outlineLevel="0" collapsed="false">
      <c r="A715" s="12" t="n">
        <v>2061.548</v>
      </c>
      <c r="B715" s="13" t="n">
        <f aca="false">A715-$A$2</f>
        <v>35.6669999999997</v>
      </c>
      <c r="C715" s="14" t="n">
        <v>442.75</v>
      </c>
      <c r="D715" s="13" t="n">
        <f aca="false">C715*Config!$B$8</f>
        <v>157.97560021808</v>
      </c>
    </row>
    <row r="716" customFormat="false" ht="15" hidden="false" customHeight="false" outlineLevel="0" collapsed="false">
      <c r="A716" s="12" t="n">
        <v>2061.598</v>
      </c>
      <c r="B716" s="13" t="n">
        <f aca="false">A716-$A$2</f>
        <v>35.7169999999999</v>
      </c>
      <c r="C716" s="14" t="n">
        <v>453.82</v>
      </c>
      <c r="D716" s="13" t="n">
        <f aca="false">C716*Config!$B$8</f>
        <v>161.925436230308</v>
      </c>
    </row>
    <row r="717" customFormat="false" ht="15" hidden="false" customHeight="false" outlineLevel="0" collapsed="false">
      <c r="A717" s="12" t="n">
        <v>2061.648</v>
      </c>
      <c r="B717" s="13" t="n">
        <f aca="false">A717-$A$2</f>
        <v>35.7670000000001</v>
      </c>
      <c r="C717" s="14" t="n">
        <v>456.79</v>
      </c>
      <c r="D717" s="13" t="n">
        <f aca="false">C717*Config!$B$8</f>
        <v>162.98514833115</v>
      </c>
    </row>
    <row r="718" customFormat="false" ht="15" hidden="false" customHeight="false" outlineLevel="0" collapsed="false">
      <c r="A718" s="12" t="n">
        <v>2061.698</v>
      </c>
      <c r="B718" s="13" t="n">
        <f aca="false">A718-$A$2</f>
        <v>35.8169999999998</v>
      </c>
      <c r="C718" s="14" t="n">
        <v>433.09</v>
      </c>
      <c r="D718" s="13" t="n">
        <f aca="false">C718*Config!$B$8</f>
        <v>154.528859849685</v>
      </c>
    </row>
    <row r="719" customFormat="false" ht="15" hidden="false" customHeight="false" outlineLevel="0" collapsed="false">
      <c r="A719" s="12" t="n">
        <v>2061.748</v>
      </c>
      <c r="B719" s="13" t="n">
        <f aca="false">A719-$A$2</f>
        <v>35.867</v>
      </c>
      <c r="C719" s="14" t="n">
        <v>451.63</v>
      </c>
      <c r="D719" s="13" t="n">
        <f aca="false">C719*Config!$B$8</f>
        <v>161.14403235797</v>
      </c>
    </row>
    <row r="720" customFormat="false" ht="15" hidden="false" customHeight="false" outlineLevel="0" collapsed="false">
      <c r="A720" s="12" t="n">
        <v>2061.798</v>
      </c>
      <c r="B720" s="13" t="n">
        <f aca="false">A720-$A$2</f>
        <v>35.9169999999997</v>
      </c>
      <c r="C720" s="14" t="n">
        <v>456.25</v>
      </c>
      <c r="D720" s="13" t="n">
        <f aca="false">C720*Config!$B$8</f>
        <v>162.792473403724</v>
      </c>
    </row>
    <row r="721" customFormat="false" ht="15" hidden="false" customHeight="false" outlineLevel="0" collapsed="false">
      <c r="A721" s="12" t="n">
        <v>2061.848</v>
      </c>
      <c r="B721" s="13" t="n">
        <f aca="false">A721-$A$2</f>
        <v>35.9669999999999</v>
      </c>
      <c r="C721" s="14" t="n">
        <v>444.6</v>
      </c>
      <c r="D721" s="13" t="n">
        <f aca="false">C721*Config!$B$8</f>
        <v>158.635690247223</v>
      </c>
    </row>
    <row r="722" customFormat="false" ht="15" hidden="false" customHeight="false" outlineLevel="0" collapsed="false">
      <c r="A722" s="12" t="n">
        <v>2061.898</v>
      </c>
      <c r="B722" s="13" t="n">
        <f aca="false">A722-$A$2</f>
        <v>36.0170000000001</v>
      </c>
      <c r="C722" s="14" t="n">
        <v>446.48</v>
      </c>
      <c r="D722" s="13" t="n">
        <f aca="false">C722*Config!$B$8</f>
        <v>159.306484439002</v>
      </c>
    </row>
    <row r="723" customFormat="false" ht="15" hidden="false" customHeight="false" outlineLevel="0" collapsed="false">
      <c r="A723" s="12" t="n">
        <v>2061.948</v>
      </c>
      <c r="B723" s="13" t="n">
        <f aca="false">A723-$A$2</f>
        <v>36.0669999999998</v>
      </c>
      <c r="C723" s="14" t="n">
        <v>443.55</v>
      </c>
      <c r="D723" s="13" t="n">
        <f aca="false">C723*Config!$B$8</f>
        <v>158.261044555007</v>
      </c>
    </row>
    <row r="724" customFormat="false" ht="15" hidden="false" customHeight="false" outlineLevel="0" collapsed="false">
      <c r="A724" s="12" t="n">
        <v>2061.998</v>
      </c>
      <c r="B724" s="13" t="n">
        <f aca="false">A724-$A$2</f>
        <v>36.117</v>
      </c>
      <c r="C724" s="14" t="n">
        <v>454.97</v>
      </c>
      <c r="D724" s="13" t="n">
        <f aca="false">C724*Config!$B$8</f>
        <v>162.335762464641</v>
      </c>
    </row>
    <row r="725" customFormat="false" ht="15" hidden="false" customHeight="false" outlineLevel="0" collapsed="false">
      <c r="A725" s="12" t="n">
        <v>2062.048</v>
      </c>
      <c r="B725" s="13" t="n">
        <f aca="false">A725-$A$2</f>
        <v>36.1669999999997</v>
      </c>
      <c r="C725" s="14" t="n">
        <v>443.59</v>
      </c>
      <c r="D725" s="13" t="n">
        <f aca="false">C725*Config!$B$8</f>
        <v>158.275316771853</v>
      </c>
    </row>
    <row r="726" customFormat="false" ht="15" hidden="false" customHeight="false" outlineLevel="0" collapsed="false">
      <c r="A726" s="12" t="n">
        <v>2062.098</v>
      </c>
      <c r="B726" s="13" t="n">
        <f aca="false">A726-$A$2</f>
        <v>36.2169999999999</v>
      </c>
      <c r="C726" s="14" t="n">
        <v>465.09</v>
      </c>
      <c r="D726" s="13" t="n">
        <f aca="false">C726*Config!$B$8</f>
        <v>165.946633326768</v>
      </c>
    </row>
    <row r="727" customFormat="false" ht="15" hidden="false" customHeight="false" outlineLevel="0" collapsed="false">
      <c r="A727" s="12" t="n">
        <v>2062.148</v>
      </c>
      <c r="B727" s="13" t="n">
        <f aca="false">A727-$A$2</f>
        <v>36.2670000000001</v>
      </c>
      <c r="C727" s="14" t="n">
        <v>442.53</v>
      </c>
      <c r="D727" s="13" t="n">
        <f aca="false">C727*Config!$B$8</f>
        <v>157.897103025425</v>
      </c>
    </row>
    <row r="728" customFormat="false" ht="15" hidden="false" customHeight="false" outlineLevel="0" collapsed="false">
      <c r="A728" s="12" t="n">
        <v>2062.198</v>
      </c>
      <c r="B728" s="13" t="n">
        <f aca="false">A728-$A$2</f>
        <v>36.3169999999998</v>
      </c>
      <c r="C728" s="14" t="n">
        <v>440.79</v>
      </c>
      <c r="D728" s="13" t="n">
        <f aca="false">C728*Config!$B$8</f>
        <v>157.276261592608</v>
      </c>
    </row>
    <row r="729" customFormat="false" ht="15" hidden="false" customHeight="false" outlineLevel="0" collapsed="false">
      <c r="A729" s="12" t="n">
        <v>2062.248</v>
      </c>
      <c r="B729" s="13" t="n">
        <f aca="false">A729-$A$2</f>
        <v>36.367</v>
      </c>
      <c r="C729" s="14" t="n">
        <v>463.3</v>
      </c>
      <c r="D729" s="13" t="n">
        <f aca="false">C729*Config!$B$8</f>
        <v>165.307951622894</v>
      </c>
    </row>
    <row r="730" customFormat="false" ht="15" hidden="false" customHeight="false" outlineLevel="0" collapsed="false">
      <c r="A730" s="12" t="n">
        <v>2062.298</v>
      </c>
      <c r="B730" s="13" t="n">
        <f aca="false">A730-$A$2</f>
        <v>36.4169999999997</v>
      </c>
      <c r="C730" s="14" t="n">
        <v>438.65</v>
      </c>
      <c r="D730" s="13" t="n">
        <f aca="false">C730*Config!$B$8</f>
        <v>156.512697991328</v>
      </c>
    </row>
    <row r="731" customFormat="false" ht="15" hidden="false" customHeight="false" outlineLevel="0" collapsed="false">
      <c r="A731" s="12" t="n">
        <v>2062.348</v>
      </c>
      <c r="B731" s="13" t="n">
        <f aca="false">A731-$A$2</f>
        <v>36.4669999999999</v>
      </c>
      <c r="C731" s="14" t="n">
        <v>448.95</v>
      </c>
      <c r="D731" s="13" t="n">
        <f aca="false">C731*Config!$B$8</f>
        <v>160.187793829264</v>
      </c>
    </row>
    <row r="732" customFormat="false" ht="15" hidden="false" customHeight="false" outlineLevel="0" collapsed="false">
      <c r="A732" s="12" t="n">
        <v>2062.398</v>
      </c>
      <c r="B732" s="13" t="n">
        <f aca="false">A732-$A$2</f>
        <v>36.5170000000001</v>
      </c>
      <c r="C732" s="14" t="n">
        <v>456.71</v>
      </c>
      <c r="D732" s="13" t="n">
        <f aca="false">C732*Config!$B$8</f>
        <v>162.956603897457</v>
      </c>
    </row>
    <row r="733" customFormat="false" ht="15" hidden="false" customHeight="false" outlineLevel="0" collapsed="false">
      <c r="A733" s="12" t="n">
        <v>2062.448</v>
      </c>
      <c r="B733" s="13" t="n">
        <f aca="false">A733-$A$2</f>
        <v>36.5669999999998</v>
      </c>
      <c r="C733" s="14" t="n">
        <v>457.81</v>
      </c>
      <c r="D733" s="13" t="n">
        <f aca="false">C733*Config!$B$8</f>
        <v>163.349089860732</v>
      </c>
    </row>
    <row r="734" customFormat="false" ht="15" hidden="false" customHeight="false" outlineLevel="0" collapsed="false">
      <c r="A734" s="12" t="n">
        <v>2062.498</v>
      </c>
      <c r="B734" s="13" t="n">
        <f aca="false">A734-$A$2</f>
        <v>36.617</v>
      </c>
      <c r="C734" s="14" t="n">
        <v>452.68</v>
      </c>
      <c r="D734" s="13" t="n">
        <f aca="false">C734*Config!$B$8</f>
        <v>161.518678050187</v>
      </c>
    </row>
    <row r="735" customFormat="false" ht="15" hidden="false" customHeight="false" outlineLevel="0" collapsed="false">
      <c r="A735" s="12" t="n">
        <v>2062.548</v>
      </c>
      <c r="B735" s="13" t="n">
        <f aca="false">A735-$A$2</f>
        <v>36.6669999999997</v>
      </c>
      <c r="C735" s="14" t="n">
        <v>453.47</v>
      </c>
      <c r="D735" s="13" t="n">
        <f aca="false">C735*Config!$B$8</f>
        <v>161.800554332902</v>
      </c>
    </row>
    <row r="736" customFormat="false" ht="15" hidden="false" customHeight="false" outlineLevel="0" collapsed="false">
      <c r="A736" s="12" t="n">
        <v>2062.598</v>
      </c>
      <c r="B736" s="13" t="n">
        <f aca="false">A736-$A$2</f>
        <v>36.7169999999999</v>
      </c>
      <c r="C736" s="14" t="n">
        <v>438.18</v>
      </c>
      <c r="D736" s="13" t="n">
        <f aca="false">C736*Config!$B$8</f>
        <v>156.344999443384</v>
      </c>
    </row>
    <row r="737" customFormat="false" ht="15" hidden="false" customHeight="false" outlineLevel="0" collapsed="false">
      <c r="A737" s="12" t="n">
        <v>2062.648</v>
      </c>
      <c r="B737" s="13" t="n">
        <f aca="false">A737-$A$2</f>
        <v>36.7670000000001</v>
      </c>
      <c r="C737" s="14" t="n">
        <v>457.35</v>
      </c>
      <c r="D737" s="13" t="n">
        <f aca="false">C737*Config!$B$8</f>
        <v>163.184959366999</v>
      </c>
    </row>
    <row r="738" customFormat="false" ht="15" hidden="false" customHeight="false" outlineLevel="0" collapsed="false">
      <c r="A738" s="12" t="n">
        <v>2062.698</v>
      </c>
      <c r="B738" s="13" t="n">
        <f aca="false">A738-$A$2</f>
        <v>36.8169999999998</v>
      </c>
      <c r="C738" s="14" t="n">
        <v>439.87</v>
      </c>
      <c r="D738" s="13" t="n">
        <f aca="false">C738*Config!$B$8</f>
        <v>156.948000605142</v>
      </c>
    </row>
    <row r="739" customFormat="false" ht="15" hidden="false" customHeight="false" outlineLevel="0" collapsed="false">
      <c r="A739" s="12" t="n">
        <v>2062.748</v>
      </c>
      <c r="B739" s="13" t="n">
        <f aca="false">A739-$A$2</f>
        <v>36.867</v>
      </c>
      <c r="C739" s="14" t="n">
        <v>469.18</v>
      </c>
      <c r="D739" s="13" t="n">
        <f aca="false">C739*Config!$B$8</f>
        <v>167.405967499308</v>
      </c>
    </row>
    <row r="740" customFormat="false" ht="15" hidden="false" customHeight="false" outlineLevel="0" collapsed="false">
      <c r="A740" s="12" t="n">
        <v>2062.798</v>
      </c>
      <c r="B740" s="13" t="n">
        <f aca="false">A740-$A$2</f>
        <v>36.9169999999997</v>
      </c>
      <c r="C740" s="14" t="n">
        <v>440.11</v>
      </c>
      <c r="D740" s="13" t="n">
        <f aca="false">C740*Config!$B$8</f>
        <v>157.03363390622</v>
      </c>
    </row>
    <row r="741" customFormat="false" ht="15" hidden="false" customHeight="false" outlineLevel="0" collapsed="false">
      <c r="A741" s="12" t="n">
        <v>2062.848</v>
      </c>
      <c r="B741" s="13" t="n">
        <f aca="false">A741-$A$2</f>
        <v>36.9669999999999</v>
      </c>
      <c r="C741" s="14" t="n">
        <v>447.47</v>
      </c>
      <c r="D741" s="13" t="n">
        <f aca="false">C741*Config!$B$8</f>
        <v>159.659721805949</v>
      </c>
    </row>
    <row r="742" customFormat="false" ht="15" hidden="false" customHeight="false" outlineLevel="0" collapsed="false">
      <c r="A742" s="12" t="n">
        <v>2062.898</v>
      </c>
      <c r="B742" s="13" t="n">
        <f aca="false">A742-$A$2</f>
        <v>37.0170000000001</v>
      </c>
      <c r="C742" s="14" t="n">
        <v>448.49</v>
      </c>
      <c r="D742" s="13" t="n">
        <f aca="false">C742*Config!$B$8</f>
        <v>160.023663335531</v>
      </c>
    </row>
    <row r="743" customFormat="false" ht="15" hidden="false" customHeight="false" outlineLevel="0" collapsed="false">
      <c r="A743" s="12" t="n">
        <v>2062.948</v>
      </c>
      <c r="B743" s="13" t="n">
        <f aca="false">A743-$A$2</f>
        <v>37.0669999999998</v>
      </c>
      <c r="C743" s="14" t="n">
        <v>430.8</v>
      </c>
      <c r="D743" s="13" t="n">
        <f aca="false">C743*Config!$B$8</f>
        <v>153.711775435231</v>
      </c>
    </row>
    <row r="744" customFormat="false" ht="15" hidden="false" customHeight="false" outlineLevel="0" collapsed="false">
      <c r="A744" s="12" t="n">
        <v>2062.998</v>
      </c>
      <c r="B744" s="13" t="n">
        <f aca="false">A744-$A$2</f>
        <v>37.117</v>
      </c>
      <c r="C744" s="14" t="n">
        <v>449.56</v>
      </c>
      <c r="D744" s="13" t="n">
        <f aca="false">C744*Config!$B$8</f>
        <v>160.405445136171</v>
      </c>
    </row>
    <row r="745" customFormat="false" ht="15" hidden="false" customHeight="false" outlineLevel="0" collapsed="false">
      <c r="A745" s="12" t="n">
        <v>2063.048</v>
      </c>
      <c r="B745" s="13" t="n">
        <f aca="false">A745-$A$2</f>
        <v>37.1669999999997</v>
      </c>
      <c r="C745" s="14" t="n">
        <v>431.99</v>
      </c>
      <c r="D745" s="13" t="n">
        <f aca="false">C745*Config!$B$8</f>
        <v>154.13637388641</v>
      </c>
    </row>
    <row r="746" customFormat="false" ht="15" hidden="false" customHeight="false" outlineLevel="0" collapsed="false">
      <c r="A746" s="12" t="n">
        <v>2063.098</v>
      </c>
      <c r="B746" s="13" t="n">
        <f aca="false">A746-$A$2</f>
        <v>37.2169999999999</v>
      </c>
      <c r="C746" s="14" t="n">
        <v>462.85</v>
      </c>
      <c r="D746" s="13" t="n">
        <f aca="false">C746*Config!$B$8</f>
        <v>165.147389183372</v>
      </c>
    </row>
    <row r="747" customFormat="false" ht="15" hidden="false" customHeight="false" outlineLevel="0" collapsed="false">
      <c r="A747" s="12" t="n">
        <v>2063.148</v>
      </c>
      <c r="B747" s="13" t="n">
        <f aca="false">A747-$A$2</f>
        <v>37.2670000000001</v>
      </c>
      <c r="C747" s="14" t="n">
        <v>464.43</v>
      </c>
      <c r="D747" s="13" t="n">
        <f aca="false">C747*Config!$B$8</f>
        <v>165.711141748803</v>
      </c>
    </row>
    <row r="748" customFormat="false" ht="15" hidden="false" customHeight="false" outlineLevel="0" collapsed="false">
      <c r="A748" s="12" t="n">
        <v>2063.198</v>
      </c>
      <c r="B748" s="13" t="n">
        <f aca="false">A748-$A$2</f>
        <v>37.3169999999998</v>
      </c>
      <c r="C748" s="14" t="n">
        <v>434.92</v>
      </c>
      <c r="D748" s="13" t="n">
        <f aca="false">C748*Config!$B$8</f>
        <v>155.181813770406</v>
      </c>
    </row>
    <row r="749" customFormat="false" ht="15" hidden="false" customHeight="false" outlineLevel="0" collapsed="false">
      <c r="A749" s="12" t="n">
        <v>2063.248</v>
      </c>
      <c r="B749" s="13" t="n">
        <f aca="false">A749-$A$2</f>
        <v>37.367</v>
      </c>
      <c r="C749" s="14" t="n">
        <v>443.4</v>
      </c>
      <c r="D749" s="13" t="n">
        <f aca="false">C749*Config!$B$8</f>
        <v>158.207523741833</v>
      </c>
    </row>
    <row r="750" customFormat="false" ht="15" hidden="false" customHeight="false" outlineLevel="0" collapsed="false">
      <c r="A750" s="12" t="n">
        <v>2063.298</v>
      </c>
      <c r="B750" s="13" t="n">
        <f aca="false">A750-$A$2</f>
        <v>37.4169999999997</v>
      </c>
      <c r="C750" s="14" t="n">
        <v>443.47</v>
      </c>
      <c r="D750" s="13" t="n">
        <f aca="false">C750*Config!$B$8</f>
        <v>158.232500121314</v>
      </c>
    </row>
    <row r="751" customFormat="false" ht="15" hidden="false" customHeight="false" outlineLevel="0" collapsed="false">
      <c r="A751" s="12" t="n">
        <v>2063.348</v>
      </c>
      <c r="B751" s="13" t="n">
        <f aca="false">A751-$A$2</f>
        <v>37.4669999999999</v>
      </c>
      <c r="C751" s="14" t="n">
        <v>436.41</v>
      </c>
      <c r="D751" s="13" t="n">
        <f aca="false">C751*Config!$B$8</f>
        <v>155.713453847932</v>
      </c>
    </row>
    <row r="752" customFormat="false" ht="15" hidden="false" customHeight="false" outlineLevel="0" collapsed="false">
      <c r="A752" s="12" t="n">
        <v>2063.398</v>
      </c>
      <c r="B752" s="13" t="n">
        <f aca="false">A752-$A$2</f>
        <v>37.5170000000001</v>
      </c>
      <c r="C752" s="14" t="n">
        <v>449.46</v>
      </c>
      <c r="D752" s="13" t="n">
        <f aca="false">C752*Config!$B$8</f>
        <v>160.369764594055</v>
      </c>
    </row>
    <row r="753" customFormat="false" ht="15" hidden="false" customHeight="false" outlineLevel="0" collapsed="false">
      <c r="A753" s="12" t="n">
        <v>2063.448</v>
      </c>
      <c r="B753" s="13" t="n">
        <f aca="false">A753-$A$2</f>
        <v>37.5669999999998</v>
      </c>
      <c r="C753" s="14" t="n">
        <v>435.72</v>
      </c>
      <c r="D753" s="13" t="n">
        <f aca="false">C753*Config!$B$8</f>
        <v>155.467258107333</v>
      </c>
    </row>
    <row r="754" customFormat="false" ht="15" hidden="false" customHeight="false" outlineLevel="0" collapsed="false">
      <c r="A754" s="12" t="n">
        <v>2063.498</v>
      </c>
      <c r="B754" s="13" t="n">
        <f aca="false">A754-$A$2</f>
        <v>37.617</v>
      </c>
      <c r="C754" s="14" t="n">
        <v>436.12</v>
      </c>
      <c r="D754" s="13" t="n">
        <f aca="false">C754*Config!$B$8</f>
        <v>155.609980275796</v>
      </c>
    </row>
    <row r="755" customFormat="false" ht="15" hidden="false" customHeight="false" outlineLevel="0" collapsed="false">
      <c r="A755" s="12" t="n">
        <v>2063.548</v>
      </c>
      <c r="B755" s="13" t="n">
        <f aca="false">A755-$A$2</f>
        <v>37.6669999999997</v>
      </c>
      <c r="C755" s="14" t="n">
        <v>435.45</v>
      </c>
      <c r="D755" s="13" t="n">
        <f aca="false">C755*Config!$B$8</f>
        <v>155.37092064362</v>
      </c>
    </row>
    <row r="756" customFormat="false" ht="15" hidden="false" customHeight="false" outlineLevel="0" collapsed="false">
      <c r="A756" s="12" t="n">
        <v>2063.598</v>
      </c>
      <c r="B756" s="13" t="n">
        <f aca="false">A756-$A$2</f>
        <v>37.7169999999999</v>
      </c>
      <c r="C756" s="14" t="n">
        <v>447.21</v>
      </c>
      <c r="D756" s="13" t="n">
        <f aca="false">C756*Config!$B$8</f>
        <v>159.566952396448</v>
      </c>
    </row>
    <row r="757" customFormat="false" ht="15" hidden="false" customHeight="false" outlineLevel="0" collapsed="false">
      <c r="A757" s="12" t="n">
        <v>2063.648</v>
      </c>
      <c r="B757" s="13" t="n">
        <f aca="false">A757-$A$2</f>
        <v>37.7670000000001</v>
      </c>
      <c r="C757" s="14" t="n">
        <v>447.97</v>
      </c>
      <c r="D757" s="13" t="n">
        <f aca="false">C757*Config!$B$8</f>
        <v>159.838124516529</v>
      </c>
    </row>
    <row r="758" customFormat="false" ht="15" hidden="false" customHeight="false" outlineLevel="0" collapsed="false">
      <c r="A758" s="12" t="n">
        <v>2063.698</v>
      </c>
      <c r="B758" s="13" t="n">
        <f aca="false">A758-$A$2</f>
        <v>37.8169999999998</v>
      </c>
      <c r="C758" s="14" t="n">
        <v>440.84</v>
      </c>
      <c r="D758" s="13" t="n">
        <f aca="false">C758*Config!$B$8</f>
        <v>157.294101863666</v>
      </c>
    </row>
    <row r="759" customFormat="false" ht="15" hidden="false" customHeight="false" outlineLevel="0" collapsed="false">
      <c r="A759" s="12" t="n">
        <v>2063.748</v>
      </c>
      <c r="B759" s="13" t="n">
        <f aca="false">A759-$A$2</f>
        <v>37.867</v>
      </c>
      <c r="C759" s="14" t="n">
        <v>437.48</v>
      </c>
      <c r="D759" s="13" t="n">
        <f aca="false">C759*Config!$B$8</f>
        <v>156.095235648572</v>
      </c>
    </row>
    <row r="760" customFormat="false" ht="15" hidden="false" customHeight="false" outlineLevel="0" collapsed="false">
      <c r="A760" s="12" t="n">
        <v>2063.798</v>
      </c>
      <c r="B760" s="13" t="n">
        <f aca="false">A760-$A$2</f>
        <v>37.9169999999997</v>
      </c>
      <c r="C760" s="14" t="n">
        <v>441.16</v>
      </c>
      <c r="D760" s="13" t="n">
        <f aca="false">C760*Config!$B$8</f>
        <v>157.408279598437</v>
      </c>
    </row>
    <row r="761" customFormat="false" ht="15" hidden="false" customHeight="false" outlineLevel="0" collapsed="false">
      <c r="A761" s="12" t="n">
        <v>2063.848</v>
      </c>
      <c r="B761" s="13" t="n">
        <f aca="false">A761-$A$2</f>
        <v>37.9669999999999</v>
      </c>
      <c r="C761" s="14" t="n">
        <v>444.71</v>
      </c>
      <c r="D761" s="13" t="n">
        <f aca="false">C761*Config!$B$8</f>
        <v>158.674938843551</v>
      </c>
    </row>
    <row r="762" customFormat="false" ht="15" hidden="false" customHeight="false" outlineLevel="0" collapsed="false">
      <c r="A762" s="12" t="n">
        <v>2063.898</v>
      </c>
      <c r="B762" s="13" t="n">
        <f aca="false">A762-$A$2</f>
        <v>38.0170000000001</v>
      </c>
      <c r="C762" s="14" t="n">
        <v>433.18</v>
      </c>
      <c r="D762" s="13" t="n">
        <f aca="false">C762*Config!$B$8</f>
        <v>154.560972337589</v>
      </c>
    </row>
    <row r="763" customFormat="false" ht="15" hidden="false" customHeight="false" outlineLevel="0" collapsed="false">
      <c r="A763" s="12" t="n">
        <v>2063.948</v>
      </c>
      <c r="B763" s="13" t="n">
        <f aca="false">A763-$A$2</f>
        <v>38.0669999999998</v>
      </c>
      <c r="C763" s="14" t="n">
        <v>442.15</v>
      </c>
      <c r="D763" s="13" t="n">
        <f aca="false">C763*Config!$B$8</f>
        <v>157.761516965384</v>
      </c>
    </row>
    <row r="764" customFormat="false" ht="15" hidden="false" customHeight="false" outlineLevel="0" collapsed="false">
      <c r="A764" s="12" t="n">
        <v>2063.998</v>
      </c>
      <c r="B764" s="13" t="n">
        <f aca="false">A764-$A$2</f>
        <v>38.117</v>
      </c>
      <c r="C764" s="14" t="n">
        <v>433.15</v>
      </c>
      <c r="D764" s="13" t="n">
        <f aca="false">C764*Config!$B$8</f>
        <v>154.550268174955</v>
      </c>
    </row>
    <row r="765" customFormat="false" ht="15" hidden="false" customHeight="false" outlineLevel="0" collapsed="false">
      <c r="A765" s="12" t="n">
        <v>2064.048</v>
      </c>
      <c r="B765" s="13" t="n">
        <f aca="false">A765-$A$2</f>
        <v>38.1669999999997</v>
      </c>
      <c r="C765" s="14" t="n">
        <v>440.18</v>
      </c>
      <c r="D765" s="13" t="n">
        <f aca="false">C765*Config!$B$8</f>
        <v>157.058610285701</v>
      </c>
    </row>
    <row r="766" customFormat="false" ht="15" hidden="false" customHeight="false" outlineLevel="0" collapsed="false">
      <c r="A766" s="12" t="n">
        <v>2064.098</v>
      </c>
      <c r="B766" s="13" t="n">
        <f aca="false">A766-$A$2</f>
        <v>38.2169999999999</v>
      </c>
      <c r="C766" s="14" t="n">
        <v>428.78</v>
      </c>
      <c r="D766" s="13" t="n">
        <f aca="false">C766*Config!$B$8</f>
        <v>152.99102848449</v>
      </c>
    </row>
    <row r="767" customFormat="false" ht="15" hidden="false" customHeight="false" outlineLevel="0" collapsed="false">
      <c r="A767" s="12" t="n">
        <v>2064.148</v>
      </c>
      <c r="B767" s="13" t="n">
        <f aca="false">A767-$A$2</f>
        <v>38.2670000000001</v>
      </c>
      <c r="C767" s="14" t="n">
        <v>439.83</v>
      </c>
      <c r="D767" s="13" t="n">
        <f aca="false">C767*Config!$B$8</f>
        <v>156.933728388296</v>
      </c>
    </row>
    <row r="768" customFormat="false" ht="15" hidden="false" customHeight="false" outlineLevel="0" collapsed="false">
      <c r="A768" s="12" t="n">
        <v>2064.198</v>
      </c>
      <c r="B768" s="13" t="n">
        <f aca="false">A768-$A$2</f>
        <v>38.3169999999998</v>
      </c>
      <c r="C768" s="14" t="n">
        <v>432.93</v>
      </c>
      <c r="D768" s="13" t="n">
        <f aca="false">C768*Config!$B$8</f>
        <v>154.4717709823</v>
      </c>
    </row>
    <row r="769" customFormat="false" ht="15" hidden="false" customHeight="false" outlineLevel="0" collapsed="false">
      <c r="A769" s="12" t="n">
        <v>2064.248</v>
      </c>
      <c r="B769" s="13" t="n">
        <f aca="false">A769-$A$2</f>
        <v>38.367</v>
      </c>
      <c r="C769" s="14" t="n">
        <v>452.63</v>
      </c>
      <c r="D769" s="13" t="n">
        <f aca="false">C769*Config!$B$8</f>
        <v>161.500837779129</v>
      </c>
    </row>
    <row r="770" customFormat="false" ht="15" hidden="false" customHeight="false" outlineLevel="0" collapsed="false">
      <c r="A770" s="12" t="n">
        <v>2064.299</v>
      </c>
      <c r="B770" s="13" t="n">
        <f aca="false">A770-$A$2</f>
        <v>38.4179999999999</v>
      </c>
      <c r="C770" s="14" t="n">
        <v>437.54</v>
      </c>
      <c r="D770" s="13" t="n">
        <f aca="false">C770*Config!$B$8</f>
        <v>156.116643973842</v>
      </c>
    </row>
    <row r="771" customFormat="false" ht="15" hidden="false" customHeight="false" outlineLevel="0" collapsed="false">
      <c r="A771" s="12" t="n">
        <v>2064.349</v>
      </c>
      <c r="B771" s="13" t="n">
        <f aca="false">A771-$A$2</f>
        <v>38.4680000000001</v>
      </c>
      <c r="C771" s="14" t="n">
        <v>430.21</v>
      </c>
      <c r="D771" s="13" t="n">
        <f aca="false">C771*Config!$B$8</f>
        <v>153.501260236748</v>
      </c>
    </row>
    <row r="772" customFormat="false" ht="15" hidden="false" customHeight="false" outlineLevel="0" collapsed="false">
      <c r="A772" s="12" t="n">
        <v>2064.399</v>
      </c>
      <c r="B772" s="13" t="n">
        <f aca="false">A772-$A$2</f>
        <v>38.5179999999998</v>
      </c>
      <c r="C772" s="14" t="n">
        <v>446.07</v>
      </c>
      <c r="D772" s="13" t="n">
        <f aca="false">C772*Config!$B$8</f>
        <v>159.160194216327</v>
      </c>
    </row>
    <row r="773" customFormat="false" ht="15" hidden="false" customHeight="false" outlineLevel="0" collapsed="false">
      <c r="A773" s="12" t="n">
        <v>2064.449</v>
      </c>
      <c r="B773" s="13" t="n">
        <f aca="false">A773-$A$2</f>
        <v>38.568</v>
      </c>
      <c r="C773" s="14" t="n">
        <v>431.31</v>
      </c>
      <c r="D773" s="13" t="n">
        <f aca="false">C773*Config!$B$8</f>
        <v>153.893746200022</v>
      </c>
    </row>
    <row r="774" customFormat="false" ht="15" hidden="false" customHeight="false" outlineLevel="0" collapsed="false">
      <c r="A774" s="12" t="n">
        <v>2064.499</v>
      </c>
      <c r="B774" s="13" t="n">
        <f aca="false">A774-$A$2</f>
        <v>38.6179999999997</v>
      </c>
      <c r="C774" s="14" t="n">
        <v>433.72</v>
      </c>
      <c r="D774" s="13" t="n">
        <f aca="false">C774*Config!$B$8</f>
        <v>154.753647265015</v>
      </c>
    </row>
    <row r="775" customFormat="false" ht="15" hidden="false" customHeight="false" outlineLevel="0" collapsed="false">
      <c r="A775" s="12" t="n">
        <v>2064.549</v>
      </c>
      <c r="B775" s="13" t="n">
        <f aca="false">A775-$A$2</f>
        <v>38.6679999999999</v>
      </c>
      <c r="C775" s="14" t="n">
        <v>432.39</v>
      </c>
      <c r="D775" s="13" t="n">
        <f aca="false">C775*Config!$B$8</f>
        <v>154.279096054874</v>
      </c>
    </row>
    <row r="776" customFormat="false" ht="15" hidden="false" customHeight="false" outlineLevel="0" collapsed="false">
      <c r="A776" s="12" t="n">
        <v>2064.599</v>
      </c>
      <c r="B776" s="13" t="n">
        <f aca="false">A776-$A$2</f>
        <v>38.7180000000001</v>
      </c>
      <c r="C776" s="14" t="n">
        <v>439.71</v>
      </c>
      <c r="D776" s="13" t="n">
        <f aca="false">C776*Config!$B$8</f>
        <v>156.890911737757</v>
      </c>
    </row>
    <row r="777" customFormat="false" ht="15" hidden="false" customHeight="false" outlineLevel="0" collapsed="false">
      <c r="A777" s="12" t="n">
        <v>2064.649</v>
      </c>
      <c r="B777" s="13" t="n">
        <f aca="false">A777-$A$2</f>
        <v>38.7679999999998</v>
      </c>
      <c r="C777" s="14" t="n">
        <v>434.94</v>
      </c>
      <c r="D777" s="13" t="n">
        <f aca="false">C777*Config!$B$8</f>
        <v>155.188949878829</v>
      </c>
    </row>
    <row r="778" customFormat="false" ht="15" hidden="false" customHeight="false" outlineLevel="0" collapsed="false">
      <c r="A778" s="12" t="n">
        <v>2064.699</v>
      </c>
      <c r="B778" s="13" t="n">
        <f aca="false">A778-$A$2</f>
        <v>38.818</v>
      </c>
      <c r="C778" s="14" t="n">
        <v>437.72</v>
      </c>
      <c r="D778" s="13" t="n">
        <f aca="false">C778*Config!$B$8</f>
        <v>156.180868949651</v>
      </c>
    </row>
    <row r="779" customFormat="false" ht="15" hidden="false" customHeight="false" outlineLevel="0" collapsed="false">
      <c r="A779" s="12" t="n">
        <v>2064.749</v>
      </c>
      <c r="B779" s="13" t="n">
        <f aca="false">A779-$A$2</f>
        <v>38.8679999999997</v>
      </c>
      <c r="C779" s="14" t="n">
        <v>442.12</v>
      </c>
      <c r="D779" s="13" t="n">
        <f aca="false">C779*Config!$B$8</f>
        <v>157.750812802749</v>
      </c>
    </row>
    <row r="780" customFormat="false" ht="15" hidden="false" customHeight="false" outlineLevel="0" collapsed="false">
      <c r="A780" s="12" t="n">
        <v>2064.799</v>
      </c>
      <c r="B780" s="13" t="n">
        <f aca="false">A780-$A$2</f>
        <v>38.9179999999999</v>
      </c>
      <c r="C780" s="14" t="n">
        <v>447.99</v>
      </c>
      <c r="D780" s="13" t="n">
        <f aca="false">C780*Config!$B$8</f>
        <v>159.845260624952</v>
      </c>
    </row>
    <row r="781" customFormat="false" ht="15" hidden="false" customHeight="false" outlineLevel="0" collapsed="false">
      <c r="A781" s="12" t="n">
        <v>2064.849</v>
      </c>
      <c r="B781" s="13" t="n">
        <f aca="false">A781-$A$2</f>
        <v>38.9680000000001</v>
      </c>
      <c r="C781" s="14" t="n">
        <v>463.08</v>
      </c>
      <c r="D781" s="13" t="n">
        <f aca="false">C781*Config!$B$8</f>
        <v>165.229454430239</v>
      </c>
    </row>
    <row r="782" customFormat="false" ht="15" hidden="false" customHeight="false" outlineLevel="0" collapsed="false">
      <c r="A782" s="12" t="n">
        <v>2064.899</v>
      </c>
      <c r="B782" s="13" t="n">
        <f aca="false">A782-$A$2</f>
        <v>39.0179999999998</v>
      </c>
      <c r="C782" s="14" t="n">
        <v>438.3</v>
      </c>
      <c r="D782" s="13" t="n">
        <f aca="false">C782*Config!$B$8</f>
        <v>156.387816093923</v>
      </c>
    </row>
    <row r="783" customFormat="false" ht="15" hidden="false" customHeight="false" outlineLevel="0" collapsed="false">
      <c r="A783" s="12" t="n">
        <v>2064.949</v>
      </c>
      <c r="B783" s="13" t="n">
        <f aca="false">A783-$A$2</f>
        <v>39.068</v>
      </c>
      <c r="C783" s="14" t="n">
        <v>439.67</v>
      </c>
      <c r="D783" s="13" t="n">
        <f aca="false">C783*Config!$B$8</f>
        <v>156.87663952091</v>
      </c>
    </row>
    <row r="784" customFormat="false" ht="15" hidden="false" customHeight="false" outlineLevel="0" collapsed="false">
      <c r="A784" s="12" t="n">
        <v>2064.999</v>
      </c>
      <c r="B784" s="13" t="n">
        <f aca="false">A784-$A$2</f>
        <v>39.1179999999997</v>
      </c>
      <c r="C784" s="14" t="n">
        <v>447.6</v>
      </c>
      <c r="D784" s="13" t="n">
        <f aca="false">C784*Config!$B$8</f>
        <v>159.7061065107</v>
      </c>
    </row>
    <row r="785" customFormat="false" ht="15" hidden="false" customHeight="false" outlineLevel="0" collapsed="false">
      <c r="A785" s="12" t="n">
        <v>2065.049</v>
      </c>
      <c r="B785" s="13" t="n">
        <f aca="false">A785-$A$2</f>
        <v>39.1679999999999</v>
      </c>
      <c r="C785" s="14" t="n">
        <v>451.6</v>
      </c>
      <c r="D785" s="13" t="n">
        <f aca="false">C785*Config!$B$8</f>
        <v>161.133328195335</v>
      </c>
    </row>
    <row r="786" customFormat="false" ht="15" hidden="false" customHeight="false" outlineLevel="0" collapsed="false">
      <c r="A786" s="12" t="n">
        <v>2065.099</v>
      </c>
      <c r="B786" s="13" t="n">
        <f aca="false">A786-$A$2</f>
        <v>39.2180000000001</v>
      </c>
      <c r="C786" s="14" t="n">
        <v>446.52</v>
      </c>
      <c r="D786" s="13" t="n">
        <f aca="false">C786*Config!$B$8</f>
        <v>159.320756655848</v>
      </c>
    </row>
    <row r="787" customFormat="false" ht="15" hidden="false" customHeight="false" outlineLevel="0" collapsed="false">
      <c r="A787" s="12" t="n">
        <v>2065.149</v>
      </c>
      <c r="B787" s="13" t="n">
        <f aca="false">A787-$A$2</f>
        <v>39.2679999999998</v>
      </c>
      <c r="C787" s="14" t="n">
        <v>440.81</v>
      </c>
      <c r="D787" s="13" t="n">
        <f aca="false">C787*Config!$B$8</f>
        <v>157.283397701031</v>
      </c>
    </row>
    <row r="788" customFormat="false" ht="15" hidden="false" customHeight="false" outlineLevel="0" collapsed="false">
      <c r="A788" s="12" t="n">
        <v>2065.199</v>
      </c>
      <c r="B788" s="13" t="n">
        <f aca="false">A788-$A$2</f>
        <v>39.318</v>
      </c>
      <c r="C788" s="14" t="n">
        <v>434.17</v>
      </c>
      <c r="D788" s="13" t="n">
        <f aca="false">C788*Config!$B$8</f>
        <v>154.914209704537</v>
      </c>
    </row>
    <row r="789" customFormat="false" ht="15" hidden="false" customHeight="false" outlineLevel="0" collapsed="false">
      <c r="A789" s="12" t="n">
        <v>2065.249</v>
      </c>
      <c r="B789" s="13" t="n">
        <f aca="false">A789-$A$2</f>
        <v>39.3679999999997</v>
      </c>
      <c r="C789" s="14" t="n">
        <v>449.17</v>
      </c>
      <c r="D789" s="13" t="n">
        <f aca="false">C789*Config!$B$8</f>
        <v>160.266291021919</v>
      </c>
    </row>
    <row r="790" customFormat="false" ht="15" hidden="false" customHeight="false" outlineLevel="0" collapsed="false">
      <c r="A790" s="12" t="n">
        <v>2065.299</v>
      </c>
      <c r="B790" s="13" t="n">
        <f aca="false">A790-$A$2</f>
        <v>39.4179999999999</v>
      </c>
      <c r="C790" s="14" t="n">
        <v>445.08</v>
      </c>
      <c r="D790" s="13" t="n">
        <f aca="false">C790*Config!$B$8</f>
        <v>158.80695684938</v>
      </c>
    </row>
    <row r="791" customFormat="false" ht="15" hidden="false" customHeight="false" outlineLevel="0" collapsed="false">
      <c r="A791" s="12" t="n">
        <v>2065.349</v>
      </c>
      <c r="B791" s="13" t="n">
        <f aca="false">A791-$A$2</f>
        <v>39.4680000000001</v>
      </c>
      <c r="C791" s="14" t="n">
        <v>456.66</v>
      </c>
      <c r="D791" s="13" t="n">
        <f aca="false">C791*Config!$B$8</f>
        <v>162.938763626399</v>
      </c>
    </row>
    <row r="792" customFormat="false" ht="15" hidden="false" customHeight="false" outlineLevel="0" collapsed="false">
      <c r="A792" s="12" t="n">
        <v>2065.399</v>
      </c>
      <c r="B792" s="13" t="n">
        <f aca="false">A792-$A$2</f>
        <v>39.5179999999998</v>
      </c>
      <c r="C792" s="14" t="n">
        <v>445.2</v>
      </c>
      <c r="D792" s="13" t="n">
        <f aca="false">C792*Config!$B$8</f>
        <v>158.849773499919</v>
      </c>
    </row>
    <row r="793" customFormat="false" ht="15" hidden="false" customHeight="false" outlineLevel="0" collapsed="false">
      <c r="A793" s="12" t="n">
        <v>2065.449</v>
      </c>
      <c r="B793" s="13" t="n">
        <f aca="false">A793-$A$2</f>
        <v>39.568</v>
      </c>
      <c r="C793" s="14" t="n">
        <v>455.56</v>
      </c>
      <c r="D793" s="13" t="n">
        <f aca="false">C793*Config!$B$8</f>
        <v>162.546277663124</v>
      </c>
    </row>
    <row r="794" customFormat="false" ht="15" hidden="false" customHeight="false" outlineLevel="0" collapsed="false">
      <c r="A794" s="12" t="n">
        <v>2065.499</v>
      </c>
      <c r="B794" s="13" t="n">
        <f aca="false">A794-$A$2</f>
        <v>39.6179999999997</v>
      </c>
      <c r="C794" s="14" t="n">
        <v>470.08</v>
      </c>
      <c r="D794" s="13" t="n">
        <f aca="false">C794*Config!$B$8</f>
        <v>167.727092378351</v>
      </c>
    </row>
    <row r="795" customFormat="false" ht="15" hidden="false" customHeight="false" outlineLevel="0" collapsed="false">
      <c r="A795" s="12" t="n">
        <v>2065.549</v>
      </c>
      <c r="B795" s="13" t="n">
        <f aca="false">A795-$A$2</f>
        <v>39.6679999999999</v>
      </c>
      <c r="C795" s="14" t="n">
        <v>452.65</v>
      </c>
      <c r="D795" s="13" t="n">
        <f aca="false">C795*Config!$B$8</f>
        <v>161.507973887552</v>
      </c>
    </row>
    <row r="796" customFormat="false" ht="15" hidden="false" customHeight="false" outlineLevel="0" collapsed="false">
      <c r="A796" s="12" t="n">
        <v>2065.599</v>
      </c>
      <c r="B796" s="13" t="n">
        <f aca="false">A796-$A$2</f>
        <v>39.7180000000001</v>
      </c>
      <c r="C796" s="14" t="n">
        <v>470.12</v>
      </c>
      <c r="D796" s="13" t="n">
        <f aca="false">C796*Config!$B$8</f>
        <v>167.741364595197</v>
      </c>
    </row>
    <row r="797" customFormat="false" ht="15" hidden="false" customHeight="false" outlineLevel="0" collapsed="false">
      <c r="A797" s="12" t="n">
        <v>2065.649</v>
      </c>
      <c r="B797" s="13" t="n">
        <f aca="false">A797-$A$2</f>
        <v>39.7679999999998</v>
      </c>
      <c r="C797" s="14" t="n">
        <v>451.91</v>
      </c>
      <c r="D797" s="13" t="n">
        <f aca="false">C797*Config!$B$8</f>
        <v>161.243937875895</v>
      </c>
    </row>
    <row r="798" customFormat="false" ht="15" hidden="false" customHeight="false" outlineLevel="0" collapsed="false">
      <c r="A798" s="12" t="n">
        <v>2065.699</v>
      </c>
      <c r="B798" s="13" t="n">
        <f aca="false">A798-$A$2</f>
        <v>39.818</v>
      </c>
      <c r="C798" s="14" t="n">
        <v>480.3</v>
      </c>
      <c r="D798" s="13" t="n">
        <f aca="false">C798*Config!$B$8</f>
        <v>171.373643782594</v>
      </c>
    </row>
    <row r="799" customFormat="false" ht="15" hidden="false" customHeight="false" outlineLevel="0" collapsed="false">
      <c r="A799" s="12" t="n">
        <v>2065.75</v>
      </c>
      <c r="B799" s="13" t="n">
        <f aca="false">A799-$A$2</f>
        <v>39.8689999999999</v>
      </c>
      <c r="C799" s="14" t="n">
        <v>472.91</v>
      </c>
      <c r="D799" s="13" t="n">
        <f aca="false">C799*Config!$B$8</f>
        <v>168.73685172023</v>
      </c>
    </row>
    <row r="800" customFormat="false" ht="15" hidden="false" customHeight="false" outlineLevel="0" collapsed="false">
      <c r="A800" s="12" t="n">
        <v>2065.8</v>
      </c>
      <c r="B800" s="13" t="n">
        <f aca="false">A800-$A$2</f>
        <v>39.9190000000001</v>
      </c>
      <c r="C800" s="14" t="n">
        <v>491.78</v>
      </c>
      <c r="D800" s="13" t="n">
        <f aca="false">C800*Config!$B$8</f>
        <v>175.469770017498</v>
      </c>
    </row>
    <row r="801" customFormat="false" ht="15" hidden="false" customHeight="false" outlineLevel="0" collapsed="false">
      <c r="A801" s="12" t="n">
        <v>2065.85</v>
      </c>
      <c r="B801" s="13" t="n">
        <f aca="false">A801-$A$2</f>
        <v>39.9689999999998</v>
      </c>
      <c r="C801" s="14" t="n">
        <v>445.83</v>
      </c>
      <c r="D801" s="13" t="n">
        <f aca="false">C801*Config!$B$8</f>
        <v>159.074560915249</v>
      </c>
    </row>
    <row r="802" customFormat="false" ht="15" hidden="false" customHeight="false" outlineLevel="0" collapsed="false">
      <c r="A802" s="12" t="n">
        <v>2065.9</v>
      </c>
      <c r="B802" s="13" t="n">
        <f aca="false">A802-$A$2</f>
        <v>40.019</v>
      </c>
      <c r="C802" s="14" t="n">
        <v>451.63</v>
      </c>
      <c r="D802" s="13" t="n">
        <f aca="false">C802*Config!$B$8</f>
        <v>161.14403235797</v>
      </c>
    </row>
    <row r="803" customFormat="false" ht="15" hidden="false" customHeight="false" outlineLevel="0" collapsed="false">
      <c r="A803" s="12" t="n">
        <v>2065.95</v>
      </c>
      <c r="B803" s="13" t="n">
        <f aca="false">A803-$A$2</f>
        <v>40.0689999999997</v>
      </c>
      <c r="C803" s="14" t="n">
        <v>464.21</v>
      </c>
      <c r="D803" s="13" t="n">
        <f aca="false">C803*Config!$B$8</f>
        <v>165.632644556148</v>
      </c>
    </row>
    <row r="804" customFormat="false" ht="15" hidden="false" customHeight="false" outlineLevel="0" collapsed="false">
      <c r="A804" s="12" t="n">
        <v>2066</v>
      </c>
      <c r="B804" s="13" t="n">
        <f aca="false">A804-$A$2</f>
        <v>40.1189999999999</v>
      </c>
      <c r="C804" s="14" t="n">
        <v>461.57</v>
      </c>
      <c r="D804" s="13" t="n">
        <f aca="false">C804*Config!$B$8</f>
        <v>164.690678244289</v>
      </c>
    </row>
    <row r="805" customFormat="false" ht="15" hidden="false" customHeight="false" outlineLevel="0" collapsed="false">
      <c r="A805" s="12" t="n">
        <v>2066.05</v>
      </c>
      <c r="B805" s="13" t="n">
        <f aca="false">A805-$A$2</f>
        <v>40.1690000000001</v>
      </c>
      <c r="C805" s="14" t="n">
        <v>470.51</v>
      </c>
      <c r="D805" s="13" t="n">
        <f aca="false">C805*Config!$B$8</f>
        <v>167.880518709449</v>
      </c>
    </row>
    <row r="806" customFormat="false" ht="15" hidden="false" customHeight="false" outlineLevel="0" collapsed="false">
      <c r="A806" s="12" t="n">
        <v>2066.1</v>
      </c>
      <c r="B806" s="13" t="n">
        <f aca="false">A806-$A$2</f>
        <v>40.2189999999998</v>
      </c>
      <c r="C806" s="14" t="n">
        <v>459.79</v>
      </c>
      <c r="D806" s="13" t="n">
        <f aca="false">C806*Config!$B$8</f>
        <v>164.055564594626</v>
      </c>
    </row>
    <row r="807" customFormat="false" ht="15" hidden="false" customHeight="false" outlineLevel="0" collapsed="false">
      <c r="A807" s="12" t="n">
        <v>2066.15</v>
      </c>
      <c r="B807" s="13" t="n">
        <f aca="false">A807-$A$2</f>
        <v>40.269</v>
      </c>
      <c r="C807" s="14" t="n">
        <v>464.74</v>
      </c>
      <c r="D807" s="13" t="n">
        <f aca="false">C807*Config!$B$8</f>
        <v>165.821751429363</v>
      </c>
    </row>
    <row r="808" customFormat="false" ht="15" hidden="false" customHeight="false" outlineLevel="0" collapsed="false">
      <c r="A808" s="12" t="n">
        <v>2066.2</v>
      </c>
      <c r="B808" s="13" t="n">
        <f aca="false">A808-$A$2</f>
        <v>40.3189999999997</v>
      </c>
      <c r="C808" s="14" t="n">
        <v>472.88</v>
      </c>
      <c r="D808" s="13" t="n">
        <f aca="false">C808*Config!$B$8</f>
        <v>168.726147557596</v>
      </c>
    </row>
    <row r="809" customFormat="false" ht="15" hidden="false" customHeight="false" outlineLevel="0" collapsed="false">
      <c r="A809" s="12" t="n">
        <v>2066.25</v>
      </c>
      <c r="B809" s="13" t="n">
        <f aca="false">A809-$A$2</f>
        <v>40.3689999999999</v>
      </c>
      <c r="C809" s="14" t="n">
        <v>480.48</v>
      </c>
      <c r="D809" s="13" t="n">
        <f aca="false">C809*Config!$B$8</f>
        <v>171.437868758403</v>
      </c>
    </row>
    <row r="810" customFormat="false" ht="15" hidden="false" customHeight="false" outlineLevel="0" collapsed="false">
      <c r="A810" s="12" t="n">
        <v>2066.3</v>
      </c>
      <c r="B810" s="13" t="n">
        <f aca="false">A810-$A$2</f>
        <v>40.4190000000001</v>
      </c>
      <c r="C810" s="14" t="n">
        <v>475.04</v>
      </c>
      <c r="D810" s="13" t="n">
        <f aca="false">C810*Config!$B$8</f>
        <v>169.496847267299</v>
      </c>
    </row>
    <row r="811" customFormat="false" ht="15" hidden="false" customHeight="false" outlineLevel="0" collapsed="false">
      <c r="A811" s="12" t="n">
        <v>2066.35</v>
      </c>
      <c r="B811" s="13" t="n">
        <f aca="false">A811-$A$2</f>
        <v>40.4689999999998</v>
      </c>
      <c r="C811" s="14" t="n">
        <v>468.9</v>
      </c>
      <c r="D811" s="13" t="n">
        <f aca="false">C811*Config!$B$8</f>
        <v>167.306061981383</v>
      </c>
    </row>
    <row r="812" customFormat="false" ht="15" hidden="false" customHeight="false" outlineLevel="0" collapsed="false">
      <c r="A812" s="12" t="n">
        <v>2066.4</v>
      </c>
      <c r="B812" s="13" t="n">
        <f aca="false">A812-$A$2</f>
        <v>40.519</v>
      </c>
      <c r="C812" s="14" t="n">
        <v>469.27</v>
      </c>
      <c r="D812" s="13" t="n">
        <f aca="false">C812*Config!$B$8</f>
        <v>167.438079987212</v>
      </c>
    </row>
    <row r="813" customFormat="false" ht="15" hidden="false" customHeight="false" outlineLevel="0" collapsed="false">
      <c r="A813" s="12" t="n">
        <v>2066.45</v>
      </c>
      <c r="B813" s="13" t="n">
        <f aca="false">A813-$A$2</f>
        <v>40.5689999999997</v>
      </c>
      <c r="C813" s="14" t="n">
        <v>479.22</v>
      </c>
      <c r="D813" s="13" t="n">
        <f aca="false">C813*Config!$B$8</f>
        <v>170.988293927743</v>
      </c>
    </row>
    <row r="814" customFormat="false" ht="15" hidden="false" customHeight="false" outlineLevel="0" collapsed="false">
      <c r="A814" s="12" t="n">
        <v>2066.5</v>
      </c>
      <c r="B814" s="13" t="n">
        <f aca="false">A814-$A$2</f>
        <v>40.6189999999999</v>
      </c>
      <c r="C814" s="14" t="n">
        <v>481.31</v>
      </c>
      <c r="D814" s="13" t="n">
        <f aca="false">C814*Config!$B$8</f>
        <v>171.734017257965</v>
      </c>
    </row>
    <row r="815" customFormat="false" ht="15" hidden="false" customHeight="false" outlineLevel="0" collapsed="false">
      <c r="A815" s="12" t="n">
        <v>2066.55</v>
      </c>
      <c r="B815" s="13" t="n">
        <f aca="false">A815-$A$2</f>
        <v>40.6690000000001</v>
      </c>
      <c r="C815" s="14" t="n">
        <v>480.91</v>
      </c>
      <c r="D815" s="13" t="n">
        <f aca="false">C815*Config!$B$8</f>
        <v>171.591295089501</v>
      </c>
    </row>
    <row r="816" customFormat="false" ht="15" hidden="false" customHeight="false" outlineLevel="0" collapsed="false">
      <c r="A816" s="12" t="n">
        <v>2066.6</v>
      </c>
      <c r="B816" s="13" t="n">
        <f aca="false">A816-$A$2</f>
        <v>40.7189999999998</v>
      </c>
      <c r="C816" s="14" t="n">
        <v>489</v>
      </c>
      <c r="D816" s="13" t="n">
        <f aca="false">C816*Config!$B$8</f>
        <v>174.477850946676</v>
      </c>
    </row>
    <row r="817" customFormat="false" ht="15" hidden="false" customHeight="false" outlineLevel="0" collapsed="false">
      <c r="A817" s="12" t="n">
        <v>2066.65</v>
      </c>
      <c r="B817" s="13" t="n">
        <f aca="false">A817-$A$2</f>
        <v>40.769</v>
      </c>
      <c r="C817" s="14" t="n">
        <v>474.03</v>
      </c>
      <c r="D817" s="13" t="n">
        <f aca="false">C817*Config!$B$8</f>
        <v>169.136473791928</v>
      </c>
    </row>
    <row r="818" customFormat="false" ht="15" hidden="false" customHeight="false" outlineLevel="0" collapsed="false">
      <c r="A818" s="12" t="n">
        <v>2066.7</v>
      </c>
      <c r="B818" s="13" t="n">
        <f aca="false">A818-$A$2</f>
        <v>40.8189999999997</v>
      </c>
      <c r="C818" s="14" t="n">
        <v>489.85</v>
      </c>
      <c r="D818" s="13" t="n">
        <f aca="false">C818*Config!$B$8</f>
        <v>174.781135554661</v>
      </c>
    </row>
    <row r="819" customFormat="false" ht="15" hidden="false" customHeight="false" outlineLevel="0" collapsed="false">
      <c r="A819" s="12" t="n">
        <v>2066.75</v>
      </c>
      <c r="B819" s="13" t="n">
        <f aca="false">A819-$A$2</f>
        <v>40.8689999999999</v>
      </c>
      <c r="C819" s="14" t="n">
        <v>461.53</v>
      </c>
      <c r="D819" s="13" t="n">
        <f aca="false">C819*Config!$B$8</f>
        <v>164.676406027443</v>
      </c>
    </row>
    <row r="820" customFormat="false" ht="15" hidden="false" customHeight="false" outlineLevel="0" collapsed="false">
      <c r="A820" s="12" t="n">
        <v>2066.8</v>
      </c>
      <c r="B820" s="13" t="n">
        <f aca="false">A820-$A$2</f>
        <v>40.9190000000001</v>
      </c>
      <c r="C820" s="14" t="n">
        <v>481.29</v>
      </c>
      <c r="D820" s="13" t="n">
        <f aca="false">C820*Config!$B$8</f>
        <v>171.726881149541</v>
      </c>
    </row>
    <row r="821" customFormat="false" ht="15" hidden="false" customHeight="false" outlineLevel="0" collapsed="false">
      <c r="A821" s="12" t="n">
        <v>2066.85</v>
      </c>
      <c r="B821" s="13" t="n">
        <f aca="false">A821-$A$2</f>
        <v>40.9689999999998</v>
      </c>
      <c r="C821" s="14" t="n">
        <v>489.76</v>
      </c>
      <c r="D821" s="13" t="n">
        <f aca="false">C821*Config!$B$8</f>
        <v>174.749023066757</v>
      </c>
    </row>
    <row r="822" customFormat="false" ht="15" hidden="false" customHeight="false" outlineLevel="0" collapsed="false">
      <c r="A822" s="12" t="n">
        <v>2066.9</v>
      </c>
      <c r="B822" s="13" t="n">
        <f aca="false">A822-$A$2</f>
        <v>41.019</v>
      </c>
      <c r="C822" s="14" t="n">
        <v>468.09</v>
      </c>
      <c r="D822" s="13" t="n">
        <f aca="false">C822*Config!$B$8</f>
        <v>167.017049590245</v>
      </c>
    </row>
    <row r="823" customFormat="false" ht="15" hidden="false" customHeight="false" outlineLevel="0" collapsed="false">
      <c r="A823" s="12" t="n">
        <v>2066.95</v>
      </c>
      <c r="B823" s="13" t="n">
        <f aca="false">A823-$A$2</f>
        <v>41.0689999999997</v>
      </c>
      <c r="C823" s="14" t="n">
        <v>475</v>
      </c>
      <c r="D823" s="13" t="n">
        <f aca="false">C823*Config!$B$8</f>
        <v>169.482575050452</v>
      </c>
    </row>
    <row r="824" customFormat="false" ht="15" hidden="false" customHeight="false" outlineLevel="0" collapsed="false">
      <c r="A824" s="12" t="n">
        <v>2067</v>
      </c>
      <c r="B824" s="13" t="n">
        <f aca="false">A824-$A$2</f>
        <v>41.1189999999999</v>
      </c>
      <c r="C824" s="14" t="n">
        <v>462</v>
      </c>
      <c r="D824" s="13" t="n">
        <f aca="false">C824*Config!$B$8</f>
        <v>164.844104575387</v>
      </c>
    </row>
    <row r="825" customFormat="false" ht="15" hidden="false" customHeight="false" outlineLevel="0" collapsed="false">
      <c r="A825" s="12" t="n">
        <v>2067.05</v>
      </c>
      <c r="B825" s="13" t="n">
        <f aca="false">A825-$A$2</f>
        <v>41.1690000000001</v>
      </c>
      <c r="C825" s="14" t="n">
        <v>491.1</v>
      </c>
      <c r="D825" s="13" t="n">
        <f aca="false">C825*Config!$B$8</f>
        <v>175.22714233111</v>
      </c>
    </row>
    <row r="826" customFormat="false" ht="15" hidden="false" customHeight="false" outlineLevel="0" collapsed="false">
      <c r="A826" s="12" t="n">
        <v>2067.1</v>
      </c>
      <c r="B826" s="13" t="n">
        <f aca="false">A826-$A$2</f>
        <v>41.2189999999998</v>
      </c>
      <c r="C826" s="14" t="n">
        <v>486.81</v>
      </c>
      <c r="D826" s="13" t="n">
        <f aca="false">C826*Config!$B$8</f>
        <v>173.696447074338</v>
      </c>
    </row>
    <row r="827" customFormat="false" ht="15" hidden="false" customHeight="false" outlineLevel="0" collapsed="false">
      <c r="A827" s="12" t="n">
        <v>2067.15</v>
      </c>
      <c r="B827" s="13" t="n">
        <f aca="false">A827-$A$2</f>
        <v>41.269</v>
      </c>
      <c r="C827" s="14" t="n">
        <v>470.77</v>
      </c>
      <c r="D827" s="13" t="n">
        <f aca="false">C827*Config!$B$8</f>
        <v>167.97328811895</v>
      </c>
    </row>
    <row r="828" customFormat="false" ht="15" hidden="false" customHeight="false" outlineLevel="0" collapsed="false">
      <c r="A828" s="12" t="n">
        <v>2067.2</v>
      </c>
      <c r="B828" s="13" t="n">
        <f aca="false">A828-$A$2</f>
        <v>41.3189999999997</v>
      </c>
      <c r="C828" s="14" t="n">
        <v>472.71</v>
      </c>
      <c r="D828" s="13" t="n">
        <f aca="false">C828*Config!$B$8</f>
        <v>168.665490635999</v>
      </c>
    </row>
    <row r="829" customFormat="false" ht="15" hidden="false" customHeight="false" outlineLevel="0" collapsed="false">
      <c r="A829" s="12" t="n">
        <v>2067.25</v>
      </c>
      <c r="B829" s="13" t="n">
        <f aca="false">A829-$A$2</f>
        <v>41.3689999999999</v>
      </c>
      <c r="C829" s="14" t="n">
        <v>456.15</v>
      </c>
      <c r="D829" s="13" t="n">
        <f aca="false">C829*Config!$B$8</f>
        <v>162.756792861608</v>
      </c>
    </row>
    <row r="830" customFormat="false" ht="15" hidden="false" customHeight="false" outlineLevel="0" collapsed="false">
      <c r="A830" s="12" t="n">
        <v>2067.3</v>
      </c>
      <c r="B830" s="13" t="n">
        <f aca="false">A830-$A$2</f>
        <v>41.4190000000001</v>
      </c>
      <c r="C830" s="14" t="n">
        <v>456.77</v>
      </c>
      <c r="D830" s="13" t="n">
        <f aca="false">C830*Config!$B$8</f>
        <v>162.978012222727</v>
      </c>
    </row>
    <row r="831" customFormat="false" ht="15" hidden="false" customHeight="false" outlineLevel="0" collapsed="false">
      <c r="A831" s="12" t="n">
        <v>2067.35</v>
      </c>
      <c r="B831" s="13" t="n">
        <f aca="false">A831-$A$2</f>
        <v>41.4689999999998</v>
      </c>
      <c r="C831" s="14" t="n">
        <v>447.93</v>
      </c>
      <c r="D831" s="13" t="n">
        <f aca="false">C831*Config!$B$8</f>
        <v>159.823852299682</v>
      </c>
    </row>
    <row r="832" customFormat="false" ht="15" hidden="false" customHeight="false" outlineLevel="0" collapsed="false">
      <c r="A832" s="12" t="n">
        <v>2067.4</v>
      </c>
      <c r="B832" s="13" t="n">
        <f aca="false">A832-$A$2</f>
        <v>41.519</v>
      </c>
      <c r="C832" s="14" t="n">
        <v>461.7</v>
      </c>
      <c r="D832" s="13" t="n">
        <f aca="false">C832*Config!$B$8</f>
        <v>164.73706294904</v>
      </c>
    </row>
    <row r="833" customFormat="false" ht="15" hidden="false" customHeight="false" outlineLevel="0" collapsed="false">
      <c r="A833" s="12" t="n">
        <v>2067.45</v>
      </c>
      <c r="B833" s="13" t="n">
        <f aca="false">A833-$A$2</f>
        <v>41.5689999999997</v>
      </c>
      <c r="C833" s="14" t="n">
        <v>462.92</v>
      </c>
      <c r="D833" s="13" t="n">
        <f aca="false">C833*Config!$B$8</f>
        <v>165.172365562853</v>
      </c>
    </row>
    <row r="834" customFormat="false" ht="15" hidden="false" customHeight="false" outlineLevel="0" collapsed="false">
      <c r="A834" s="12" t="n">
        <v>2067.5</v>
      </c>
      <c r="B834" s="13" t="n">
        <f aca="false">A834-$A$2</f>
        <v>41.6189999999999</v>
      </c>
      <c r="C834" s="14" t="n">
        <v>458.17</v>
      </c>
      <c r="D834" s="13" t="n">
        <f aca="false">C834*Config!$B$8</f>
        <v>163.477539812349</v>
      </c>
    </row>
    <row r="835" customFormat="false" ht="15" hidden="false" customHeight="false" outlineLevel="0" collapsed="false">
      <c r="A835" s="12" t="n">
        <v>2067.55</v>
      </c>
      <c r="B835" s="13" t="n">
        <f aca="false">A835-$A$2</f>
        <v>41.6690000000001</v>
      </c>
      <c r="C835" s="14" t="n">
        <v>453.48</v>
      </c>
      <c r="D835" s="13" t="n">
        <f aca="false">C835*Config!$B$8</f>
        <v>161.804122387114</v>
      </c>
    </row>
    <row r="836" customFormat="false" ht="15" hidden="false" customHeight="false" outlineLevel="0" collapsed="false">
      <c r="A836" s="12" t="n">
        <v>2067.6</v>
      </c>
      <c r="B836" s="13" t="n">
        <f aca="false">A836-$A$2</f>
        <v>41.7189999999998</v>
      </c>
      <c r="C836" s="14" t="n">
        <v>445.55</v>
      </c>
      <c r="D836" s="13" t="n">
        <f aca="false">C836*Config!$B$8</f>
        <v>158.974655397324</v>
      </c>
    </row>
    <row r="837" customFormat="false" ht="15" hidden="false" customHeight="false" outlineLevel="0" collapsed="false">
      <c r="A837" s="12" t="n">
        <v>2067.65</v>
      </c>
      <c r="B837" s="13" t="n">
        <f aca="false">A837-$A$2</f>
        <v>41.769</v>
      </c>
      <c r="C837" s="14" t="n">
        <v>446.89</v>
      </c>
      <c r="D837" s="13" t="n">
        <f aca="false">C837*Config!$B$8</f>
        <v>159.452774661677</v>
      </c>
    </row>
    <row r="838" customFormat="false" ht="15" hidden="false" customHeight="false" outlineLevel="0" collapsed="false">
      <c r="A838" s="12" t="n">
        <v>2067.7</v>
      </c>
      <c r="B838" s="13" t="n">
        <f aca="false">A838-$A$2</f>
        <v>41.8189999999997</v>
      </c>
      <c r="C838" s="14" t="n">
        <v>445.59</v>
      </c>
      <c r="D838" s="13" t="n">
        <f aca="false">C838*Config!$B$8</f>
        <v>158.988927614171</v>
      </c>
    </row>
    <row r="839" customFormat="false" ht="15" hidden="false" customHeight="false" outlineLevel="0" collapsed="false">
      <c r="A839" s="12" t="n">
        <v>2067.75</v>
      </c>
      <c r="B839" s="13" t="n">
        <f aca="false">A839-$A$2</f>
        <v>41.8689999999999</v>
      </c>
      <c r="C839" s="14" t="n">
        <v>437.98</v>
      </c>
      <c r="D839" s="13" t="n">
        <f aca="false">C839*Config!$B$8</f>
        <v>156.273638359152</v>
      </c>
    </row>
    <row r="840" customFormat="false" ht="15" hidden="false" customHeight="false" outlineLevel="0" collapsed="false">
      <c r="A840" s="12" t="n">
        <v>2067.8</v>
      </c>
      <c r="B840" s="13" t="n">
        <f aca="false">A840-$A$2</f>
        <v>41.9190000000001</v>
      </c>
      <c r="C840" s="14" t="n">
        <v>437.27</v>
      </c>
      <c r="D840" s="13" t="n">
        <f aca="false">C840*Config!$B$8</f>
        <v>156.020306510129</v>
      </c>
    </row>
    <row r="841" customFormat="false" ht="15" hidden="false" customHeight="false" outlineLevel="0" collapsed="false">
      <c r="A841" s="12" t="n">
        <v>2067.85</v>
      </c>
      <c r="B841" s="13" t="n">
        <f aca="false">A841-$A$2</f>
        <v>41.9689999999998</v>
      </c>
      <c r="C841" s="14" t="n">
        <v>450.32</v>
      </c>
      <c r="D841" s="13" t="n">
        <f aca="false">C841*Config!$B$8</f>
        <v>160.676617256252</v>
      </c>
    </row>
    <row r="842" customFormat="false" ht="15" hidden="false" customHeight="false" outlineLevel="0" collapsed="false">
      <c r="A842" s="12" t="n">
        <v>2067.9</v>
      </c>
      <c r="B842" s="13" t="n">
        <f aca="false">A842-$A$2</f>
        <v>42.019</v>
      </c>
      <c r="C842" s="14" t="n">
        <v>440.06</v>
      </c>
      <c r="D842" s="13" t="n">
        <f aca="false">C842*Config!$B$8</f>
        <v>157.015793635162</v>
      </c>
    </row>
    <row r="843" customFormat="false" ht="15" hidden="false" customHeight="false" outlineLevel="0" collapsed="false">
      <c r="A843" s="12" t="n">
        <v>2067.95</v>
      </c>
      <c r="B843" s="13" t="n">
        <f aca="false">A843-$A$2</f>
        <v>42.0689999999997</v>
      </c>
      <c r="C843" s="14" t="n">
        <v>432.45</v>
      </c>
      <c r="D843" s="13" t="n">
        <f aca="false">C843*Config!$B$8</f>
        <v>154.300504380143</v>
      </c>
    </row>
    <row r="844" customFormat="false" ht="15" hidden="false" customHeight="false" outlineLevel="0" collapsed="false">
      <c r="A844" s="12" t="n">
        <v>2068</v>
      </c>
      <c r="B844" s="13" t="n">
        <f aca="false">A844-$A$2</f>
        <v>42.1189999999999</v>
      </c>
      <c r="C844" s="14" t="n">
        <v>453.7</v>
      </c>
      <c r="D844" s="13" t="n">
        <f aca="false">C844*Config!$B$8</f>
        <v>161.882619579769</v>
      </c>
    </row>
    <row r="845" customFormat="false" ht="15" hidden="false" customHeight="false" outlineLevel="0" collapsed="false">
      <c r="A845" s="12" t="n">
        <v>2068.05</v>
      </c>
      <c r="B845" s="13" t="n">
        <f aca="false">A845-$A$2</f>
        <v>42.1690000000001</v>
      </c>
      <c r="C845" s="14" t="n">
        <v>455.43</v>
      </c>
      <c r="D845" s="13" t="n">
        <f aca="false">C845*Config!$B$8</f>
        <v>162.499892958374</v>
      </c>
    </row>
    <row r="846" customFormat="false" ht="15" hidden="false" customHeight="false" outlineLevel="0" collapsed="false">
      <c r="A846" s="12" t="n">
        <v>2068.1</v>
      </c>
      <c r="B846" s="13" t="n">
        <f aca="false">A846-$A$2</f>
        <v>42.2189999999998</v>
      </c>
      <c r="C846" s="14" t="n">
        <v>453.07</v>
      </c>
      <c r="D846" s="13" t="n">
        <f aca="false">C846*Config!$B$8</f>
        <v>161.657832164439</v>
      </c>
    </row>
    <row r="847" customFormat="false" ht="15" hidden="false" customHeight="false" outlineLevel="0" collapsed="false">
      <c r="A847" s="12" t="n">
        <v>2068.15</v>
      </c>
      <c r="B847" s="13" t="n">
        <f aca="false">A847-$A$2</f>
        <v>42.269</v>
      </c>
      <c r="C847" s="14" t="n">
        <v>439.23</v>
      </c>
      <c r="D847" s="13" t="n">
        <f aca="false">C847*Config!$B$8</f>
        <v>156.7196451356</v>
      </c>
    </row>
    <row r="848" customFormat="false" ht="15" hidden="false" customHeight="false" outlineLevel="0" collapsed="false">
      <c r="A848" s="12" t="n">
        <v>2068.2</v>
      </c>
      <c r="B848" s="13" t="n">
        <f aca="false">A848-$A$2</f>
        <v>42.3189999999997</v>
      </c>
      <c r="C848" s="14" t="n">
        <v>451.07</v>
      </c>
      <c r="D848" s="13" t="n">
        <f aca="false">C848*Config!$B$8</f>
        <v>160.944221322121</v>
      </c>
    </row>
    <row r="849" customFormat="false" ht="15" hidden="false" customHeight="false" outlineLevel="0" collapsed="false">
      <c r="A849" s="12" t="n">
        <v>2068.25</v>
      </c>
      <c r="B849" s="13" t="n">
        <f aca="false">A849-$A$2</f>
        <v>42.3689999999999</v>
      </c>
      <c r="C849" s="14" t="n">
        <v>466.05</v>
      </c>
      <c r="D849" s="13" t="n">
        <f aca="false">C849*Config!$B$8</f>
        <v>166.289166531081</v>
      </c>
    </row>
    <row r="850" customFormat="false" ht="15" hidden="false" customHeight="false" outlineLevel="0" collapsed="false">
      <c r="A850" s="12" t="n">
        <v>2068.3</v>
      </c>
      <c r="B850" s="13" t="n">
        <f aca="false">A850-$A$2</f>
        <v>42.4190000000001</v>
      </c>
      <c r="C850" s="14" t="n">
        <v>441.5</v>
      </c>
      <c r="D850" s="13" t="n">
        <f aca="false">C850*Config!$B$8</f>
        <v>157.529593441631</v>
      </c>
    </row>
    <row r="851" customFormat="false" ht="15" hidden="false" customHeight="false" outlineLevel="0" collapsed="false">
      <c r="A851" s="12" t="n">
        <v>2068.35</v>
      </c>
      <c r="B851" s="13" t="n">
        <f aca="false">A851-$A$2</f>
        <v>42.4689999999998</v>
      </c>
      <c r="C851" s="14" t="n">
        <v>448.18</v>
      </c>
      <c r="D851" s="13" t="n">
        <f aca="false">C851*Config!$B$8</f>
        <v>159.913053654972</v>
      </c>
    </row>
    <row r="852" customFormat="false" ht="15" hidden="false" customHeight="false" outlineLevel="0" collapsed="false">
      <c r="A852" s="12" t="n">
        <v>2068.4</v>
      </c>
      <c r="B852" s="13" t="n">
        <f aca="false">A852-$A$2</f>
        <v>42.519</v>
      </c>
      <c r="C852" s="14" t="n">
        <v>455.99</v>
      </c>
      <c r="D852" s="13" t="n">
        <f aca="false">C852*Config!$B$8</f>
        <v>162.699703994223</v>
      </c>
    </row>
    <row r="853" customFormat="false" ht="15" hidden="false" customHeight="false" outlineLevel="0" collapsed="false">
      <c r="A853" s="12" t="n">
        <v>2068.45</v>
      </c>
      <c r="B853" s="13" t="n">
        <f aca="false">A853-$A$2</f>
        <v>42.5689999999997</v>
      </c>
      <c r="C853" s="14" t="n">
        <v>439.45</v>
      </c>
      <c r="D853" s="13" t="n">
        <f aca="false">C853*Config!$B$8</f>
        <v>156.798142328255</v>
      </c>
    </row>
    <row r="854" customFormat="false" ht="15" hidden="false" customHeight="false" outlineLevel="0" collapsed="false">
      <c r="A854" s="12" t="n">
        <v>2068.5</v>
      </c>
      <c r="B854" s="13" t="n">
        <f aca="false">A854-$A$2</f>
        <v>42.6189999999999</v>
      </c>
      <c r="C854" s="14" t="n">
        <v>456.33</v>
      </c>
      <c r="D854" s="13" t="n">
        <f aca="false">C854*Config!$B$8</f>
        <v>162.821017837417</v>
      </c>
    </row>
    <row r="855" customFormat="false" ht="15" hidden="false" customHeight="false" outlineLevel="0" collapsed="false">
      <c r="A855" s="12" t="n">
        <v>2068.55</v>
      </c>
      <c r="B855" s="13" t="n">
        <f aca="false">A855-$A$2</f>
        <v>42.6690000000001</v>
      </c>
      <c r="C855" s="14" t="n">
        <v>440.31</v>
      </c>
      <c r="D855" s="13" t="n">
        <f aca="false">C855*Config!$B$8</f>
        <v>157.104994990452</v>
      </c>
    </row>
    <row r="856" customFormat="false" ht="15" hidden="false" customHeight="false" outlineLevel="0" collapsed="false">
      <c r="A856" s="12" t="n">
        <v>2068.6</v>
      </c>
      <c r="B856" s="13" t="n">
        <f aca="false">A856-$A$2</f>
        <v>42.7189999999998</v>
      </c>
      <c r="C856" s="14" t="n">
        <v>453.62</v>
      </c>
      <c r="D856" s="13" t="n">
        <f aca="false">C856*Config!$B$8</f>
        <v>161.854075146076</v>
      </c>
    </row>
    <row r="857" customFormat="false" ht="15" hidden="false" customHeight="false" outlineLevel="0" collapsed="false">
      <c r="A857" s="12" t="n">
        <v>2068.651</v>
      </c>
      <c r="B857" s="13" t="n">
        <f aca="false">A857-$A$2</f>
        <v>42.7699999999998</v>
      </c>
      <c r="C857" s="14" t="n">
        <v>447.82</v>
      </c>
      <c r="D857" s="13" t="n">
        <f aca="false">C857*Config!$B$8</f>
        <v>159.784603703355</v>
      </c>
    </row>
    <row r="858" customFormat="false" ht="15" hidden="false" customHeight="false" outlineLevel="0" collapsed="false">
      <c r="A858" s="12" t="n">
        <v>2068.701</v>
      </c>
      <c r="B858" s="13" t="n">
        <f aca="false">A858-$A$2</f>
        <v>42.8199999999999</v>
      </c>
      <c r="C858" s="14" t="n">
        <v>451.44</v>
      </c>
      <c r="D858" s="13" t="n">
        <f aca="false">C858*Config!$B$8</f>
        <v>161.07623932795</v>
      </c>
    </row>
    <row r="859" customFormat="false" ht="15" hidden="false" customHeight="false" outlineLevel="0" collapsed="false">
      <c r="A859" s="12" t="n">
        <v>2068.751</v>
      </c>
      <c r="B859" s="13" t="n">
        <f aca="false">A859-$A$2</f>
        <v>42.8700000000001</v>
      </c>
      <c r="C859" s="14" t="n">
        <v>441.63</v>
      </c>
      <c r="D859" s="13" t="n">
        <f aca="false">C859*Config!$B$8</f>
        <v>157.575978146382</v>
      </c>
    </row>
    <row r="860" customFormat="false" ht="15" hidden="false" customHeight="false" outlineLevel="0" collapsed="false">
      <c r="A860" s="12" t="n">
        <v>2068.801</v>
      </c>
      <c r="B860" s="13" t="n">
        <f aca="false">A860-$A$2</f>
        <v>42.9199999999998</v>
      </c>
      <c r="C860" s="14" t="n">
        <v>437.29</v>
      </c>
      <c r="D860" s="13" t="n">
        <f aca="false">C860*Config!$B$8</f>
        <v>156.027442618552</v>
      </c>
    </row>
    <row r="861" customFormat="false" ht="15" hidden="false" customHeight="false" outlineLevel="0" collapsed="false">
      <c r="A861" s="12" t="n">
        <v>2068.851</v>
      </c>
      <c r="B861" s="13" t="n">
        <f aca="false">A861-$A$2</f>
        <v>42.97</v>
      </c>
      <c r="C861" s="14" t="n">
        <v>438.5</v>
      </c>
      <c r="D861" s="13" t="n">
        <f aca="false">C861*Config!$B$8</f>
        <v>156.459177178154</v>
      </c>
    </row>
    <row r="862" customFormat="false" ht="15" hidden="false" customHeight="false" outlineLevel="0" collapsed="false">
      <c r="A862" s="12" t="n">
        <v>2068.901</v>
      </c>
      <c r="B862" s="13" t="n">
        <f aca="false">A862-$A$2</f>
        <v>43.0199999999998</v>
      </c>
      <c r="C862" s="14" t="n">
        <v>445.09</v>
      </c>
      <c r="D862" s="13" t="n">
        <f aca="false">C862*Config!$B$8</f>
        <v>158.810524903591</v>
      </c>
    </row>
    <row r="863" customFormat="false" ht="15" hidden="false" customHeight="false" outlineLevel="0" collapsed="false">
      <c r="A863" s="12" t="n">
        <v>2068.951</v>
      </c>
      <c r="B863" s="13" t="n">
        <f aca="false">A863-$A$2</f>
        <v>43.0699999999999</v>
      </c>
      <c r="C863" s="14" t="n">
        <v>458.71</v>
      </c>
      <c r="D863" s="13" t="n">
        <f aca="false">C863*Config!$B$8</f>
        <v>163.670214739775</v>
      </c>
    </row>
    <row r="864" customFormat="false" ht="15" hidden="false" customHeight="false" outlineLevel="0" collapsed="false">
      <c r="A864" s="12" t="n">
        <v>2069.001</v>
      </c>
      <c r="B864" s="13" t="n">
        <f aca="false">A864-$A$2</f>
        <v>43.1200000000001</v>
      </c>
      <c r="C864" s="14" t="n">
        <v>444.23</v>
      </c>
      <c r="D864" s="13" t="n">
        <f aca="false">C864*Config!$B$8</f>
        <v>158.503672241395</v>
      </c>
    </row>
    <row r="865" customFormat="false" ht="15" hidden="false" customHeight="false" outlineLevel="0" collapsed="false">
      <c r="A865" s="12" t="n">
        <v>2069.051</v>
      </c>
      <c r="B865" s="13" t="n">
        <f aca="false">A865-$A$2</f>
        <v>43.1699999999998</v>
      </c>
      <c r="C865" s="14" t="n">
        <v>440.1</v>
      </c>
      <c r="D865" s="13" t="n">
        <f aca="false">C865*Config!$B$8</f>
        <v>157.030065852009</v>
      </c>
    </row>
    <row r="866" customFormat="false" ht="15" hidden="false" customHeight="false" outlineLevel="0" collapsed="false">
      <c r="A866" s="12" t="n">
        <v>2069.101</v>
      </c>
      <c r="B866" s="13" t="n">
        <f aca="false">A866-$A$2</f>
        <v>43.22</v>
      </c>
      <c r="C866" s="14" t="n">
        <v>440.94</v>
      </c>
      <c r="D866" s="13" t="n">
        <f aca="false">C866*Config!$B$8</f>
        <v>157.329782405782</v>
      </c>
    </row>
    <row r="867" customFormat="false" ht="15" hidden="false" customHeight="false" outlineLevel="0" collapsed="false">
      <c r="A867" s="12" t="n">
        <v>2069.151</v>
      </c>
      <c r="B867" s="13" t="n">
        <f aca="false">A867-$A$2</f>
        <v>43.2699999999998</v>
      </c>
      <c r="C867" s="14" t="n">
        <v>438.44</v>
      </c>
      <c r="D867" s="13" t="n">
        <f aca="false">C867*Config!$B$8</f>
        <v>156.437768852885</v>
      </c>
    </row>
    <row r="868" customFormat="false" ht="15" hidden="false" customHeight="false" outlineLevel="0" collapsed="false">
      <c r="A868" s="12" t="n">
        <v>2069.201</v>
      </c>
      <c r="B868" s="13" t="n">
        <f aca="false">A868-$A$2</f>
        <v>43.3199999999999</v>
      </c>
      <c r="C868" s="14" t="n">
        <v>448.78</v>
      </c>
      <c r="D868" s="13" t="n">
        <f aca="false">C868*Config!$B$8</f>
        <v>160.127136907667</v>
      </c>
    </row>
    <row r="869" customFormat="false" ht="15" hidden="false" customHeight="false" outlineLevel="0" collapsed="false">
      <c r="A869" s="12" t="n">
        <v>2069.251</v>
      </c>
      <c r="B869" s="13" t="n">
        <f aca="false">A869-$A$2</f>
        <v>43.3700000000001</v>
      </c>
      <c r="C869" s="14" t="n">
        <v>447.61</v>
      </c>
      <c r="D869" s="13" t="n">
        <f aca="false">C869*Config!$B$8</f>
        <v>159.709674564912</v>
      </c>
    </row>
    <row r="870" customFormat="false" ht="15" hidden="false" customHeight="false" outlineLevel="0" collapsed="false">
      <c r="A870" s="12" t="n">
        <v>2069.301</v>
      </c>
      <c r="B870" s="13" t="n">
        <f aca="false">A870-$A$2</f>
        <v>43.4199999999998</v>
      </c>
      <c r="C870" s="14" t="n">
        <v>448.16</v>
      </c>
      <c r="D870" s="13" t="n">
        <f aca="false">C870*Config!$B$8</f>
        <v>159.905917546549</v>
      </c>
    </row>
    <row r="871" customFormat="false" ht="15" hidden="false" customHeight="false" outlineLevel="0" collapsed="false">
      <c r="A871" s="12" t="n">
        <v>2069.351</v>
      </c>
      <c r="B871" s="13" t="n">
        <f aca="false">A871-$A$2</f>
        <v>43.47</v>
      </c>
      <c r="C871" s="14" t="n">
        <v>435.89</v>
      </c>
      <c r="D871" s="13" t="n">
        <f aca="false">C871*Config!$B$8</f>
        <v>155.52791502893</v>
      </c>
    </row>
    <row r="872" customFormat="false" ht="15" hidden="false" customHeight="false" outlineLevel="0" collapsed="false">
      <c r="A872" s="12" t="n">
        <v>2069.401</v>
      </c>
      <c r="B872" s="13" t="n">
        <f aca="false">A872-$A$2</f>
        <v>43.5199999999998</v>
      </c>
      <c r="C872" s="14" t="n">
        <v>450.62</v>
      </c>
      <c r="D872" s="13" t="n">
        <f aca="false">C872*Config!$B$8</f>
        <v>160.7836588826</v>
      </c>
    </row>
    <row r="873" customFormat="false" ht="15" hidden="false" customHeight="false" outlineLevel="0" collapsed="false">
      <c r="A873" s="12" t="n">
        <v>2069.451</v>
      </c>
      <c r="B873" s="13" t="n">
        <f aca="false">A873-$A$2</f>
        <v>43.5699999999999</v>
      </c>
      <c r="C873" s="14" t="n">
        <v>436.97</v>
      </c>
      <c r="D873" s="13" t="n">
        <f aca="false">C873*Config!$B$8</f>
        <v>155.913264883781</v>
      </c>
    </row>
    <row r="874" customFormat="false" ht="15" hidden="false" customHeight="false" outlineLevel="0" collapsed="false">
      <c r="A874" s="12" t="n">
        <v>2069.501</v>
      </c>
      <c r="B874" s="13" t="n">
        <f aca="false">A874-$A$2</f>
        <v>43.6200000000001</v>
      </c>
      <c r="C874" s="14" t="n">
        <v>449.85</v>
      </c>
      <c r="D874" s="13" t="n">
        <f aca="false">C874*Config!$B$8</f>
        <v>160.508918708307</v>
      </c>
    </row>
    <row r="875" customFormat="false" ht="15" hidden="false" customHeight="false" outlineLevel="0" collapsed="false">
      <c r="A875" s="12" t="n">
        <v>2069.551</v>
      </c>
      <c r="B875" s="13" t="n">
        <f aca="false">A875-$A$2</f>
        <v>43.6699999999998</v>
      </c>
      <c r="C875" s="14" t="n">
        <v>450.04</v>
      </c>
      <c r="D875" s="13" t="n">
        <f aca="false">C875*Config!$B$8</f>
        <v>160.576711738328</v>
      </c>
    </row>
    <row r="876" customFormat="false" ht="15" hidden="false" customHeight="false" outlineLevel="0" collapsed="false">
      <c r="A876" s="12" t="n">
        <v>2069.601</v>
      </c>
      <c r="B876" s="13" t="n">
        <f aca="false">A876-$A$2</f>
        <v>43.72</v>
      </c>
      <c r="C876" s="14" t="n">
        <v>464.31</v>
      </c>
      <c r="D876" s="13" t="n">
        <f aca="false">C876*Config!$B$8</f>
        <v>165.668325098264</v>
      </c>
    </row>
    <row r="877" customFormat="false" ht="15" hidden="false" customHeight="false" outlineLevel="0" collapsed="false">
      <c r="A877" s="12" t="n">
        <v>2069.651</v>
      </c>
      <c r="B877" s="13" t="n">
        <f aca="false">A877-$A$2</f>
        <v>43.7699999999998</v>
      </c>
      <c r="C877" s="14" t="n">
        <v>453.43</v>
      </c>
      <c r="D877" s="13" t="n">
        <f aca="false">C877*Config!$B$8</f>
        <v>161.786282116056</v>
      </c>
    </row>
    <row r="878" customFormat="false" ht="15" hidden="false" customHeight="false" outlineLevel="0" collapsed="false">
      <c r="A878" s="12" t="n">
        <v>2069.701</v>
      </c>
      <c r="B878" s="13" t="n">
        <f aca="false">A878-$A$2</f>
        <v>43.8199999999999</v>
      </c>
      <c r="C878" s="14" t="n">
        <v>446.2</v>
      </c>
      <c r="D878" s="13" t="n">
        <f aca="false">C878*Config!$B$8</f>
        <v>159.206578921078</v>
      </c>
    </row>
    <row r="879" customFormat="false" ht="15" hidden="false" customHeight="false" outlineLevel="0" collapsed="false">
      <c r="A879" s="12" t="n">
        <v>2069.751</v>
      </c>
      <c r="B879" s="13" t="n">
        <f aca="false">A879-$A$2</f>
        <v>43.8700000000001</v>
      </c>
      <c r="C879" s="14" t="n">
        <v>437.27</v>
      </c>
      <c r="D879" s="13" t="n">
        <f aca="false">C879*Config!$B$8</f>
        <v>156.020306510129</v>
      </c>
    </row>
    <row r="880" customFormat="false" ht="15" hidden="false" customHeight="false" outlineLevel="0" collapsed="false">
      <c r="A880" s="12" t="n">
        <v>2069.801</v>
      </c>
      <c r="B880" s="13" t="n">
        <f aca="false">A880-$A$2</f>
        <v>43.9199999999998</v>
      </c>
      <c r="C880" s="14" t="n">
        <v>436.01</v>
      </c>
      <c r="D880" s="13" t="n">
        <f aca="false">C880*Config!$B$8</f>
        <v>155.570731679469</v>
      </c>
    </row>
    <row r="881" customFormat="false" ht="15" hidden="false" customHeight="false" outlineLevel="0" collapsed="false">
      <c r="A881" s="12" t="n">
        <v>2069.851</v>
      </c>
      <c r="B881" s="13" t="n">
        <f aca="false">A881-$A$2</f>
        <v>43.97</v>
      </c>
      <c r="C881" s="14" t="n">
        <v>437.72</v>
      </c>
      <c r="D881" s="13" t="n">
        <f aca="false">C881*Config!$B$8</f>
        <v>156.180868949651</v>
      </c>
    </row>
    <row r="882" customFormat="false" ht="15" hidden="false" customHeight="false" outlineLevel="0" collapsed="false">
      <c r="A882" s="12" t="n">
        <v>2069.901</v>
      </c>
      <c r="B882" s="13" t="n">
        <f aca="false">A882-$A$2</f>
        <v>44.0199999999998</v>
      </c>
      <c r="C882" s="14" t="n">
        <v>448.41</v>
      </c>
      <c r="D882" s="13" t="n">
        <f aca="false">C882*Config!$B$8</f>
        <v>159.995118901839</v>
      </c>
    </row>
    <row r="883" customFormat="false" ht="15" hidden="false" customHeight="false" outlineLevel="0" collapsed="false">
      <c r="A883" s="12" t="n">
        <v>2069.951</v>
      </c>
      <c r="B883" s="13" t="n">
        <f aca="false">A883-$A$2</f>
        <v>44.0699999999999</v>
      </c>
      <c r="C883" s="14" t="n">
        <v>438.78</v>
      </c>
      <c r="D883" s="13" t="n">
        <f aca="false">C883*Config!$B$8</f>
        <v>156.559082696079</v>
      </c>
    </row>
    <row r="884" customFormat="false" ht="15" hidden="false" customHeight="false" outlineLevel="0" collapsed="false">
      <c r="A884" s="12" t="n">
        <v>2070.001</v>
      </c>
      <c r="B884" s="13" t="n">
        <f aca="false">A884-$A$2</f>
        <v>44.1200000000001</v>
      </c>
      <c r="C884" s="14" t="n">
        <v>441.63</v>
      </c>
      <c r="D884" s="13" t="n">
        <f aca="false">C884*Config!$B$8</f>
        <v>157.575978146382</v>
      </c>
    </row>
    <row r="885" customFormat="false" ht="15" hidden="false" customHeight="false" outlineLevel="0" collapsed="false">
      <c r="A885" s="12" t="n">
        <v>2070.051</v>
      </c>
      <c r="B885" s="13" t="n">
        <f aca="false">A885-$A$2</f>
        <v>44.1699999999998</v>
      </c>
      <c r="C885" s="14" t="n">
        <v>458.08</v>
      </c>
      <c r="D885" s="13" t="n">
        <f aca="false">C885*Config!$B$8</f>
        <v>163.445427324445</v>
      </c>
    </row>
    <row r="886" customFormat="false" ht="15" hidden="false" customHeight="false" outlineLevel="0" collapsed="false">
      <c r="A886" s="12" t="n">
        <v>2070.102</v>
      </c>
      <c r="B886" s="13" t="n">
        <f aca="false">A886-$A$2</f>
        <v>44.2209999999998</v>
      </c>
      <c r="C886" s="14" t="n">
        <v>449.88</v>
      </c>
      <c r="D886" s="13" t="n">
        <f aca="false">C886*Config!$B$8</f>
        <v>160.519622870942</v>
      </c>
    </row>
    <row r="887" customFormat="false" ht="15" hidden="false" customHeight="false" outlineLevel="0" collapsed="false">
      <c r="A887" s="12" t="n">
        <v>2070.152</v>
      </c>
      <c r="B887" s="13" t="n">
        <f aca="false">A887-$A$2</f>
        <v>44.271</v>
      </c>
      <c r="C887" s="14" t="n">
        <v>452.71</v>
      </c>
      <c r="D887" s="13" t="n">
        <f aca="false">C887*Config!$B$8</f>
        <v>161.529382212822</v>
      </c>
    </row>
    <row r="888" customFormat="false" ht="15" hidden="false" customHeight="false" outlineLevel="0" collapsed="false">
      <c r="A888" s="12" t="n">
        <v>2070.202</v>
      </c>
      <c r="B888" s="13" t="n">
        <f aca="false">A888-$A$2</f>
        <v>44.3210000000001</v>
      </c>
      <c r="C888" s="14" t="n">
        <v>446.7</v>
      </c>
      <c r="D888" s="13" t="n">
        <f aca="false">C888*Config!$B$8</f>
        <v>159.384981631657</v>
      </c>
    </row>
    <row r="889" customFormat="false" ht="15" hidden="false" customHeight="false" outlineLevel="0" collapsed="false">
      <c r="A889" s="12" t="n">
        <v>2070.252</v>
      </c>
      <c r="B889" s="13" t="n">
        <f aca="false">A889-$A$2</f>
        <v>44.3709999999999</v>
      </c>
      <c r="C889" s="14" t="n">
        <v>430.87</v>
      </c>
      <c r="D889" s="13" t="n">
        <f aca="false">C889*Config!$B$8</f>
        <v>153.736751814712</v>
      </c>
    </row>
    <row r="890" customFormat="false" ht="15" hidden="false" customHeight="false" outlineLevel="0" collapsed="false">
      <c r="A890" s="12" t="n">
        <v>2070.302</v>
      </c>
      <c r="B890" s="13" t="n">
        <f aca="false">A890-$A$2</f>
        <v>44.4210000000001</v>
      </c>
      <c r="C890" s="14" t="n">
        <v>446.16</v>
      </c>
      <c r="D890" s="13" t="n">
        <f aca="false">C890*Config!$B$8</f>
        <v>159.192306704231</v>
      </c>
    </row>
    <row r="891" customFormat="false" ht="15" hidden="false" customHeight="false" outlineLevel="0" collapsed="false">
      <c r="A891" s="12" t="n">
        <v>2070.352</v>
      </c>
      <c r="B891" s="13" t="n">
        <f aca="false">A891-$A$2</f>
        <v>44.4709999999998</v>
      </c>
      <c r="C891" s="14" t="n">
        <v>456.25</v>
      </c>
      <c r="D891" s="13" t="n">
        <f aca="false">C891*Config!$B$8</f>
        <v>162.792473403724</v>
      </c>
    </row>
    <row r="892" customFormat="false" ht="15" hidden="false" customHeight="false" outlineLevel="0" collapsed="false">
      <c r="A892" s="12" t="n">
        <v>2070.402</v>
      </c>
      <c r="B892" s="13" t="n">
        <f aca="false">A892-$A$2</f>
        <v>44.521</v>
      </c>
      <c r="C892" s="14" t="n">
        <v>447.71</v>
      </c>
      <c r="D892" s="13" t="n">
        <f aca="false">C892*Config!$B$8</f>
        <v>159.745355107027</v>
      </c>
    </row>
    <row r="893" customFormat="false" ht="15" hidden="false" customHeight="false" outlineLevel="0" collapsed="false">
      <c r="A893" s="12" t="n">
        <v>2070.452</v>
      </c>
      <c r="B893" s="13" t="n">
        <f aca="false">A893-$A$2</f>
        <v>44.5710000000001</v>
      </c>
      <c r="C893" s="14" t="n">
        <v>442</v>
      </c>
      <c r="D893" s="13" t="n">
        <f aca="false">C893*Config!$B$8</f>
        <v>157.70799615221</v>
      </c>
    </row>
    <row r="894" customFormat="false" ht="15" hidden="false" customHeight="false" outlineLevel="0" collapsed="false">
      <c r="A894" s="12" t="n">
        <v>2070.502</v>
      </c>
      <c r="B894" s="13" t="n">
        <f aca="false">A894-$A$2</f>
        <v>44.6209999999999</v>
      </c>
      <c r="C894" s="14" t="n">
        <v>449.91</v>
      </c>
      <c r="D894" s="13" t="n">
        <f aca="false">C894*Config!$B$8</f>
        <v>160.530327033577</v>
      </c>
    </row>
    <row r="895" customFormat="false" ht="15" hidden="false" customHeight="false" outlineLevel="0" collapsed="false">
      <c r="A895" s="12" t="n">
        <v>2070.552</v>
      </c>
      <c r="B895" s="13" t="n">
        <f aca="false">A895-$A$2</f>
        <v>44.6710000000001</v>
      </c>
      <c r="C895" s="14" t="n">
        <v>435.18</v>
      </c>
      <c r="D895" s="13" t="n">
        <f aca="false">C895*Config!$B$8</f>
        <v>155.274583179907</v>
      </c>
    </row>
    <row r="896" customFormat="false" ht="15" hidden="false" customHeight="false" outlineLevel="0" collapsed="false">
      <c r="A896" s="12" t="n">
        <v>2070.602</v>
      </c>
      <c r="B896" s="13" t="n">
        <f aca="false">A896-$A$2</f>
        <v>44.7209999999998</v>
      </c>
      <c r="C896" s="14" t="n">
        <v>441.61</v>
      </c>
      <c r="D896" s="13" t="n">
        <f aca="false">C896*Config!$B$8</f>
        <v>157.568842037958</v>
      </c>
    </row>
    <row r="897" customFormat="false" ht="15" hidden="false" customHeight="false" outlineLevel="0" collapsed="false">
      <c r="A897" s="12" t="n">
        <v>2070.652</v>
      </c>
      <c r="B897" s="13" t="n">
        <f aca="false">A897-$A$2</f>
        <v>44.771</v>
      </c>
      <c r="C897" s="14" t="n">
        <v>442.78</v>
      </c>
      <c r="D897" s="13" t="n">
        <f aca="false">C897*Config!$B$8</f>
        <v>157.986304380714</v>
      </c>
    </row>
    <row r="898" customFormat="false" ht="15" hidden="false" customHeight="false" outlineLevel="0" collapsed="false">
      <c r="A898" s="12" t="n">
        <v>2070.702</v>
      </c>
      <c r="B898" s="13" t="n">
        <f aca="false">A898-$A$2</f>
        <v>44.8210000000001</v>
      </c>
      <c r="C898" s="14" t="n">
        <v>450.44</v>
      </c>
      <c r="D898" s="13" t="n">
        <f aca="false">C898*Config!$B$8</f>
        <v>160.719433906791</v>
      </c>
    </row>
    <row r="899" customFormat="false" ht="15" hidden="false" customHeight="false" outlineLevel="0" collapsed="false">
      <c r="A899" s="12" t="n">
        <v>2070.752</v>
      </c>
      <c r="B899" s="13" t="n">
        <f aca="false">A899-$A$2</f>
        <v>44.8709999999999</v>
      </c>
      <c r="C899" s="14" t="n">
        <v>446.62</v>
      </c>
      <c r="D899" s="13" t="n">
        <f aca="false">C899*Config!$B$8</f>
        <v>159.356437197964</v>
      </c>
    </row>
    <row r="900" customFormat="false" ht="15" hidden="false" customHeight="false" outlineLevel="0" collapsed="false">
      <c r="A900" s="12" t="n">
        <v>2070.802</v>
      </c>
      <c r="B900" s="13" t="n">
        <f aca="false">A900-$A$2</f>
        <v>44.9210000000001</v>
      </c>
      <c r="C900" s="14" t="n">
        <v>437.39</v>
      </c>
      <c r="D900" s="13" t="n">
        <f aca="false">C900*Config!$B$8</f>
        <v>156.063123160668</v>
      </c>
    </row>
    <row r="901" customFormat="false" ht="15" hidden="false" customHeight="false" outlineLevel="0" collapsed="false">
      <c r="A901" s="12" t="n">
        <v>2070.852</v>
      </c>
      <c r="B901" s="13" t="n">
        <f aca="false">A901-$A$2</f>
        <v>44.9709999999998</v>
      </c>
      <c r="C901" s="14" t="n">
        <v>459.85</v>
      </c>
      <c r="D901" s="13" t="n">
        <f aca="false">C901*Config!$B$8</f>
        <v>164.076972919896</v>
      </c>
    </row>
    <row r="902" customFormat="false" ht="15" hidden="false" customHeight="false" outlineLevel="0" collapsed="false">
      <c r="A902" s="12" t="n">
        <v>2070.902</v>
      </c>
      <c r="B902" s="13" t="n">
        <f aca="false">A902-$A$2</f>
        <v>45.021</v>
      </c>
      <c r="C902" s="14" t="n">
        <v>441.37</v>
      </c>
      <c r="D902" s="13" t="n">
        <f aca="false">C902*Config!$B$8</f>
        <v>157.48320873688</v>
      </c>
    </row>
    <row r="903" customFormat="false" ht="15" hidden="false" customHeight="false" outlineLevel="0" collapsed="false">
      <c r="A903" s="12" t="n">
        <v>2070.952</v>
      </c>
      <c r="B903" s="13" t="n">
        <f aca="false">A903-$A$2</f>
        <v>45.0710000000001</v>
      </c>
      <c r="C903" s="14" t="n">
        <v>444.07</v>
      </c>
      <c r="D903" s="13" t="n">
        <f aca="false">C903*Config!$B$8</f>
        <v>158.446583374009</v>
      </c>
    </row>
    <row r="904" customFormat="false" ht="15" hidden="false" customHeight="false" outlineLevel="0" collapsed="false">
      <c r="A904" s="12" t="n">
        <v>2071.002</v>
      </c>
      <c r="B904" s="13" t="n">
        <f aca="false">A904-$A$2</f>
        <v>45.1209999999999</v>
      </c>
      <c r="C904" s="14" t="n">
        <v>442.36</v>
      </c>
      <c r="D904" s="13" t="n">
        <f aca="false">C904*Config!$B$8</f>
        <v>157.836446103828</v>
      </c>
    </row>
    <row r="905" customFormat="false" ht="15" hidden="false" customHeight="false" outlineLevel="0" collapsed="false">
      <c r="A905" s="12" t="n">
        <v>2071.052</v>
      </c>
      <c r="B905" s="13" t="n">
        <f aca="false">A905-$A$2</f>
        <v>45.1710000000001</v>
      </c>
      <c r="C905" s="14" t="n">
        <v>457.63</v>
      </c>
      <c r="D905" s="13" t="n">
        <f aca="false">C905*Config!$B$8</f>
        <v>163.284864884923</v>
      </c>
    </row>
    <row r="906" customFormat="false" ht="15" hidden="false" customHeight="false" outlineLevel="0" collapsed="false">
      <c r="A906" s="12" t="n">
        <v>2071.102</v>
      </c>
      <c r="B906" s="13" t="n">
        <f aca="false">A906-$A$2</f>
        <v>45.2209999999998</v>
      </c>
      <c r="C906" s="14" t="n">
        <v>469.81</v>
      </c>
      <c r="D906" s="13" t="n">
        <f aca="false">C906*Config!$B$8</f>
        <v>167.630754914638</v>
      </c>
    </row>
    <row r="907" customFormat="false" ht="15" hidden="false" customHeight="false" outlineLevel="0" collapsed="false">
      <c r="A907" s="12" t="n">
        <v>2071.152</v>
      </c>
      <c r="B907" s="13" t="n">
        <f aca="false">A907-$A$2</f>
        <v>45.271</v>
      </c>
      <c r="C907" s="14" t="n">
        <v>431.43</v>
      </c>
      <c r="D907" s="13" t="n">
        <f aca="false">C907*Config!$B$8</f>
        <v>153.936562850561</v>
      </c>
    </row>
    <row r="908" customFormat="false" ht="15" hidden="false" customHeight="false" outlineLevel="0" collapsed="false">
      <c r="A908" s="12" t="n">
        <v>2071.202</v>
      </c>
      <c r="B908" s="13" t="n">
        <f aca="false">A908-$A$2</f>
        <v>45.3210000000001</v>
      </c>
      <c r="C908" s="14" t="n">
        <v>424.13</v>
      </c>
      <c r="D908" s="13" t="n">
        <f aca="false">C908*Config!$B$8</f>
        <v>151.331883276102</v>
      </c>
    </row>
    <row r="909" customFormat="false" ht="15" hidden="false" customHeight="false" outlineLevel="0" collapsed="false">
      <c r="A909" s="12" t="n">
        <v>2071.252</v>
      </c>
      <c r="B909" s="13" t="n">
        <f aca="false">A909-$A$2</f>
        <v>45.3709999999999</v>
      </c>
      <c r="C909" s="14" t="n">
        <v>434.2</v>
      </c>
      <c r="D909" s="13" t="n">
        <f aca="false">C909*Config!$B$8</f>
        <v>154.924913867171</v>
      </c>
    </row>
    <row r="910" customFormat="false" ht="15" hidden="false" customHeight="false" outlineLevel="0" collapsed="false">
      <c r="A910" s="12" t="n">
        <v>2071.302</v>
      </c>
      <c r="B910" s="13" t="n">
        <f aca="false">A910-$A$2</f>
        <v>45.4210000000001</v>
      </c>
      <c r="C910" s="14" t="n">
        <v>455.38</v>
      </c>
      <c r="D910" s="13" t="n">
        <f aca="false">C910*Config!$B$8</f>
        <v>162.482052687316</v>
      </c>
    </row>
    <row r="911" customFormat="false" ht="15" hidden="false" customHeight="false" outlineLevel="0" collapsed="false">
      <c r="A911" s="12" t="n">
        <v>2071.352</v>
      </c>
      <c r="B911" s="13" t="n">
        <f aca="false">A911-$A$2</f>
        <v>45.4709999999998</v>
      </c>
      <c r="C911" s="14" t="n">
        <v>436.6</v>
      </c>
      <c r="D911" s="13" t="n">
        <f aca="false">C911*Config!$B$8</f>
        <v>155.781246877953</v>
      </c>
    </row>
    <row r="912" customFormat="false" ht="15" hidden="false" customHeight="false" outlineLevel="0" collapsed="false">
      <c r="A912" s="12" t="n">
        <v>2071.402</v>
      </c>
      <c r="B912" s="13" t="n">
        <f aca="false">A912-$A$2</f>
        <v>45.521</v>
      </c>
      <c r="C912" s="14" t="n">
        <v>434.71</v>
      </c>
      <c r="D912" s="13" t="n">
        <f aca="false">C912*Config!$B$8</f>
        <v>155.106884631962</v>
      </c>
    </row>
    <row r="913" customFormat="false" ht="15" hidden="false" customHeight="false" outlineLevel="0" collapsed="false">
      <c r="A913" s="12" t="n">
        <v>2071.452</v>
      </c>
      <c r="B913" s="13" t="n">
        <f aca="false">A913-$A$2</f>
        <v>45.5710000000001</v>
      </c>
      <c r="C913" s="14" t="n">
        <v>445.99</v>
      </c>
      <c r="D913" s="13" t="n">
        <f aca="false">C913*Config!$B$8</f>
        <v>159.131649782634</v>
      </c>
    </row>
    <row r="914" customFormat="false" ht="15" hidden="false" customHeight="false" outlineLevel="0" collapsed="false">
      <c r="A914" s="12" t="n">
        <v>2071.502</v>
      </c>
      <c r="B914" s="13" t="n">
        <f aca="false">A914-$A$2</f>
        <v>45.6209999999999</v>
      </c>
      <c r="C914" s="14" t="n">
        <v>450.7</v>
      </c>
      <c r="D914" s="13" t="n">
        <f aca="false">C914*Config!$B$8</f>
        <v>160.812203316292</v>
      </c>
    </row>
    <row r="915" customFormat="false" ht="15" hidden="false" customHeight="false" outlineLevel="0" collapsed="false">
      <c r="A915" s="12" t="n">
        <v>2071.552</v>
      </c>
      <c r="B915" s="13" t="n">
        <f aca="false">A915-$A$2</f>
        <v>45.6710000000001</v>
      </c>
      <c r="C915" s="14" t="n">
        <v>447.8</v>
      </c>
      <c r="D915" s="13" t="n">
        <f aca="false">C915*Config!$B$8</f>
        <v>159.777467594932</v>
      </c>
    </row>
    <row r="916" customFormat="false" ht="15" hidden="false" customHeight="false" outlineLevel="0" collapsed="false">
      <c r="A916" s="12" t="n">
        <v>2071.602</v>
      </c>
      <c r="B916" s="13" t="n">
        <f aca="false">A916-$A$2</f>
        <v>45.7209999999998</v>
      </c>
      <c r="C916" s="14" t="n">
        <v>436.6</v>
      </c>
      <c r="D916" s="13" t="n">
        <f aca="false">C916*Config!$B$8</f>
        <v>155.781246877953</v>
      </c>
    </row>
    <row r="917" customFormat="false" ht="15" hidden="false" customHeight="false" outlineLevel="0" collapsed="false">
      <c r="A917" s="12" t="n">
        <v>2071.652</v>
      </c>
      <c r="B917" s="13" t="n">
        <f aca="false">A917-$A$2</f>
        <v>45.771</v>
      </c>
      <c r="C917" s="14" t="n">
        <v>435.86</v>
      </c>
      <c r="D917" s="13" t="n">
        <f aca="false">C917*Config!$B$8</f>
        <v>155.517210866295</v>
      </c>
    </row>
    <row r="918" customFormat="false" ht="15" hidden="false" customHeight="false" outlineLevel="0" collapsed="false">
      <c r="A918" s="12" t="n">
        <v>2071.702</v>
      </c>
      <c r="B918" s="13" t="n">
        <f aca="false">A918-$A$2</f>
        <v>45.8210000000001</v>
      </c>
      <c r="C918" s="14" t="n">
        <v>440.06</v>
      </c>
      <c r="D918" s="13" t="n">
        <f aca="false">C918*Config!$B$8</f>
        <v>157.015793635162</v>
      </c>
    </row>
    <row r="919" customFormat="false" ht="15" hidden="false" customHeight="false" outlineLevel="0" collapsed="false">
      <c r="A919" s="12" t="n">
        <v>2071.752</v>
      </c>
      <c r="B919" s="13" t="n">
        <f aca="false">A919-$A$2</f>
        <v>45.8709999999999</v>
      </c>
      <c r="C919" s="14" t="n">
        <v>445.89</v>
      </c>
      <c r="D919" s="13" t="n">
        <f aca="false">C919*Config!$B$8</f>
        <v>159.095969240518</v>
      </c>
    </row>
    <row r="920" customFormat="false" ht="15" hidden="false" customHeight="false" outlineLevel="0" collapsed="false">
      <c r="A920" s="12" t="n">
        <v>2071.802</v>
      </c>
      <c r="B920" s="13" t="n">
        <f aca="false">A920-$A$2</f>
        <v>45.9210000000001</v>
      </c>
      <c r="C920" s="14" t="n">
        <v>438.32</v>
      </c>
      <c r="D920" s="13" t="n">
        <f aca="false">C920*Config!$B$8</f>
        <v>156.394952202346</v>
      </c>
    </row>
    <row r="921" customFormat="false" ht="15" hidden="false" customHeight="false" outlineLevel="0" collapsed="false">
      <c r="A921" s="12" t="n">
        <v>2071.852</v>
      </c>
      <c r="B921" s="13" t="n">
        <f aca="false">A921-$A$2</f>
        <v>45.9709999999998</v>
      </c>
      <c r="C921" s="14" t="n">
        <v>442.32</v>
      </c>
      <c r="D921" s="13" t="n">
        <f aca="false">C921*Config!$B$8</f>
        <v>157.822173886981</v>
      </c>
    </row>
    <row r="922" customFormat="false" ht="15" hidden="false" customHeight="false" outlineLevel="0" collapsed="false">
      <c r="A922" s="12" t="n">
        <v>2071.902</v>
      </c>
      <c r="B922" s="13" t="n">
        <f aca="false">A922-$A$2</f>
        <v>46.021</v>
      </c>
      <c r="C922" s="14" t="n">
        <v>456</v>
      </c>
      <c r="D922" s="13" t="n">
        <f aca="false">C922*Config!$B$8</f>
        <v>162.703272048434</v>
      </c>
    </row>
    <row r="923" customFormat="false" ht="15" hidden="false" customHeight="false" outlineLevel="0" collapsed="false">
      <c r="A923" s="12" t="n">
        <v>2071.952</v>
      </c>
      <c r="B923" s="13" t="n">
        <f aca="false">A923-$A$2</f>
        <v>46.0710000000001</v>
      </c>
      <c r="C923" s="14" t="n">
        <v>445.57</v>
      </c>
      <c r="D923" s="13" t="n">
        <f aca="false">C923*Config!$B$8</f>
        <v>158.981791505747</v>
      </c>
    </row>
    <row r="924" customFormat="false" ht="15" hidden="false" customHeight="false" outlineLevel="0" collapsed="false">
      <c r="A924" s="12" t="n">
        <v>2072.002</v>
      </c>
      <c r="B924" s="13" t="n">
        <f aca="false">A924-$A$2</f>
        <v>46.1209999999999</v>
      </c>
      <c r="C924" s="14" t="n">
        <v>449.21</v>
      </c>
      <c r="D924" s="13" t="n">
        <f aca="false">C924*Config!$B$8</f>
        <v>160.280563238766</v>
      </c>
    </row>
    <row r="925" customFormat="false" ht="15" hidden="false" customHeight="false" outlineLevel="0" collapsed="false">
      <c r="A925" s="12" t="n">
        <v>2072.052</v>
      </c>
      <c r="B925" s="13" t="n">
        <f aca="false">A925-$A$2</f>
        <v>46.1710000000001</v>
      </c>
      <c r="C925" s="14" t="n">
        <v>451.68</v>
      </c>
      <c r="D925" s="13" t="n">
        <f aca="false">C925*Config!$B$8</f>
        <v>161.161872629028</v>
      </c>
    </row>
    <row r="926" customFormat="false" ht="15" hidden="false" customHeight="false" outlineLevel="0" collapsed="false">
      <c r="A926" s="12" t="n">
        <v>2072.102</v>
      </c>
      <c r="B926" s="13" t="n">
        <f aca="false">A926-$A$2</f>
        <v>46.2209999999998</v>
      </c>
      <c r="C926" s="14" t="n">
        <v>445.07</v>
      </c>
      <c r="D926" s="13" t="n">
        <f aca="false">C926*Config!$B$8</f>
        <v>158.803388795168</v>
      </c>
    </row>
    <row r="927" customFormat="false" ht="15" hidden="false" customHeight="false" outlineLevel="0" collapsed="false">
      <c r="A927" s="12" t="n">
        <v>2072.152</v>
      </c>
      <c r="B927" s="13" t="n">
        <f aca="false">A927-$A$2</f>
        <v>46.271</v>
      </c>
      <c r="C927" s="14" t="n">
        <v>442.69</v>
      </c>
      <c r="D927" s="13" t="n">
        <f aca="false">C927*Config!$B$8</f>
        <v>157.95419189281</v>
      </c>
    </row>
    <row r="928" customFormat="false" ht="15" hidden="false" customHeight="false" outlineLevel="0" collapsed="false">
      <c r="A928" s="12" t="n">
        <v>2072.202</v>
      </c>
      <c r="B928" s="13" t="n">
        <f aca="false">A928-$A$2</f>
        <v>46.3210000000001</v>
      </c>
      <c r="C928" s="14" t="n">
        <v>447.85</v>
      </c>
      <c r="D928" s="13" t="n">
        <f aca="false">C928*Config!$B$8</f>
        <v>159.79530786599</v>
      </c>
    </row>
    <row r="929" customFormat="false" ht="15" hidden="false" customHeight="false" outlineLevel="0" collapsed="false">
      <c r="A929" s="12" t="n">
        <v>2072.252</v>
      </c>
      <c r="B929" s="13" t="n">
        <f aca="false">A929-$A$2</f>
        <v>46.3709999999999</v>
      </c>
      <c r="C929" s="14" t="n">
        <v>441.07</v>
      </c>
      <c r="D929" s="13" t="n">
        <f aca="false">C929*Config!$B$8</f>
        <v>157.376167110533</v>
      </c>
    </row>
    <row r="930" customFormat="false" ht="15" hidden="false" customHeight="false" outlineLevel="0" collapsed="false">
      <c r="A930" s="12" t="n">
        <v>2072.302</v>
      </c>
      <c r="B930" s="13" t="n">
        <f aca="false">A930-$A$2</f>
        <v>46.4210000000001</v>
      </c>
      <c r="C930" s="14" t="n">
        <v>434.48</v>
      </c>
      <c r="D930" s="13" t="n">
        <f aca="false">C930*Config!$B$8</f>
        <v>155.024819385096</v>
      </c>
    </row>
    <row r="931" customFormat="false" ht="15" hidden="false" customHeight="false" outlineLevel="0" collapsed="false">
      <c r="A931" s="12" t="n">
        <v>2072.352</v>
      </c>
      <c r="B931" s="13" t="n">
        <f aca="false">A931-$A$2</f>
        <v>46.4709999999998</v>
      </c>
      <c r="C931" s="14" t="n">
        <v>450.48</v>
      </c>
      <c r="D931" s="13" t="n">
        <f aca="false">C931*Config!$B$8</f>
        <v>160.733706123637</v>
      </c>
    </row>
    <row r="932" customFormat="false" ht="15" hidden="false" customHeight="false" outlineLevel="0" collapsed="false">
      <c r="A932" s="12" t="n">
        <v>2072.402</v>
      </c>
      <c r="B932" s="13" t="n">
        <f aca="false">A932-$A$2</f>
        <v>46.521</v>
      </c>
      <c r="C932" s="14" t="n">
        <v>460.26</v>
      </c>
      <c r="D932" s="13" t="n">
        <f aca="false">C932*Config!$B$8</f>
        <v>164.223263142571</v>
      </c>
    </row>
    <row r="933" customFormat="false" ht="15" hidden="false" customHeight="false" outlineLevel="0" collapsed="false">
      <c r="A933" s="12" t="n">
        <v>2072.452</v>
      </c>
      <c r="B933" s="13" t="n">
        <f aca="false">A933-$A$2</f>
        <v>46.5710000000001</v>
      </c>
      <c r="C933" s="14" t="n">
        <v>443.37</v>
      </c>
      <c r="D933" s="13" t="n">
        <f aca="false">C933*Config!$B$8</f>
        <v>158.196819579198</v>
      </c>
    </row>
    <row r="934" customFormat="false" ht="15" hidden="false" customHeight="false" outlineLevel="0" collapsed="false">
      <c r="A934" s="12" t="n">
        <v>2072.502</v>
      </c>
      <c r="B934" s="13" t="n">
        <f aca="false">A934-$A$2</f>
        <v>46.6209999999999</v>
      </c>
      <c r="C934" s="14" t="n">
        <v>444.45</v>
      </c>
      <c r="D934" s="13" t="n">
        <f aca="false">C934*Config!$B$8</f>
        <v>158.58216943405</v>
      </c>
    </row>
    <row r="935" customFormat="false" ht="15" hidden="false" customHeight="false" outlineLevel="0" collapsed="false">
      <c r="A935" s="12" t="n">
        <v>2072.552</v>
      </c>
      <c r="B935" s="13" t="n">
        <f aca="false">A935-$A$2</f>
        <v>46.6710000000001</v>
      </c>
      <c r="C935" s="14" t="n">
        <v>437.84</v>
      </c>
      <c r="D935" s="13" t="n">
        <f aca="false">C935*Config!$B$8</f>
        <v>156.22368560019</v>
      </c>
    </row>
    <row r="936" customFormat="false" ht="15" hidden="false" customHeight="false" outlineLevel="0" collapsed="false">
      <c r="A936" s="12" t="n">
        <v>2072.602</v>
      </c>
      <c r="B936" s="13" t="n">
        <f aca="false">A936-$A$2</f>
        <v>46.7209999999998</v>
      </c>
      <c r="C936" s="14" t="n">
        <v>454.07</v>
      </c>
      <c r="D936" s="13" t="n">
        <f aca="false">C936*Config!$B$8</f>
        <v>162.014637585598</v>
      </c>
    </row>
    <row r="937" customFormat="false" ht="15" hidden="false" customHeight="false" outlineLevel="0" collapsed="false">
      <c r="A937" s="12" t="n">
        <v>2072.652</v>
      </c>
      <c r="B937" s="13" t="n">
        <f aca="false">A937-$A$2</f>
        <v>46.771</v>
      </c>
      <c r="C937" s="14" t="n">
        <v>438.78</v>
      </c>
      <c r="D937" s="13" t="n">
        <f aca="false">C937*Config!$B$8</f>
        <v>156.559082696079</v>
      </c>
    </row>
    <row r="938" customFormat="false" ht="15" hidden="false" customHeight="false" outlineLevel="0" collapsed="false">
      <c r="A938" s="12" t="n">
        <v>2072.702</v>
      </c>
      <c r="B938" s="13" t="n">
        <f aca="false">A938-$A$2</f>
        <v>46.8210000000001</v>
      </c>
      <c r="C938" s="14" t="n">
        <v>442.85</v>
      </c>
      <c r="D938" s="13" t="n">
        <f aca="false">C938*Config!$B$8</f>
        <v>158.011280760195</v>
      </c>
    </row>
    <row r="939" customFormat="false" ht="15" hidden="false" customHeight="false" outlineLevel="0" collapsed="false">
      <c r="A939" s="12" t="n">
        <v>2072.752</v>
      </c>
      <c r="B939" s="13" t="n">
        <f aca="false">A939-$A$2</f>
        <v>46.8709999999999</v>
      </c>
      <c r="C939" s="14" t="n">
        <v>438.88</v>
      </c>
      <c r="D939" s="13" t="n">
        <f aca="false">C939*Config!$B$8</f>
        <v>156.594763238195</v>
      </c>
    </row>
    <row r="940" customFormat="false" ht="15" hidden="false" customHeight="false" outlineLevel="0" collapsed="false">
      <c r="A940" s="12" t="n">
        <v>2072.802</v>
      </c>
      <c r="B940" s="13" t="n">
        <f aca="false">A940-$A$2</f>
        <v>46.9210000000001</v>
      </c>
      <c r="C940" s="14" t="n">
        <v>440.03</v>
      </c>
      <c r="D940" s="13" t="n">
        <f aca="false">C940*Config!$B$8</f>
        <v>157.005089472527</v>
      </c>
    </row>
    <row r="941" customFormat="false" ht="15" hidden="false" customHeight="false" outlineLevel="0" collapsed="false">
      <c r="A941" s="12" t="n">
        <v>2072.852</v>
      </c>
      <c r="B941" s="13" t="n">
        <f aca="false">A941-$A$2</f>
        <v>46.9709999999998</v>
      </c>
      <c r="C941" s="14" t="n">
        <v>450.9</v>
      </c>
      <c r="D941" s="13" t="n">
        <f aca="false">C941*Config!$B$8</f>
        <v>160.883564400524</v>
      </c>
    </row>
    <row r="942" customFormat="false" ht="15" hidden="false" customHeight="false" outlineLevel="0" collapsed="false">
      <c r="A942" s="12" t="n">
        <v>2072.902</v>
      </c>
      <c r="B942" s="13" t="n">
        <f aca="false">A942-$A$2</f>
        <v>47.021</v>
      </c>
      <c r="C942" s="14" t="n">
        <v>451.21</v>
      </c>
      <c r="D942" s="13" t="n">
        <f aca="false">C942*Config!$B$8</f>
        <v>160.994174081083</v>
      </c>
    </row>
    <row r="943" customFormat="false" ht="15" hidden="false" customHeight="false" outlineLevel="0" collapsed="false">
      <c r="A943" s="12" t="n">
        <v>2072.952</v>
      </c>
      <c r="B943" s="13" t="n">
        <f aca="false">A943-$A$2</f>
        <v>47.0710000000001</v>
      </c>
      <c r="C943" s="14" t="n">
        <v>449.96</v>
      </c>
      <c r="D943" s="13" t="n">
        <f aca="false">C943*Config!$B$8</f>
        <v>160.548167304635</v>
      </c>
    </row>
    <row r="944" customFormat="false" ht="15" hidden="false" customHeight="false" outlineLevel="0" collapsed="false">
      <c r="A944" s="12" t="n">
        <v>2073.003</v>
      </c>
      <c r="B944" s="13" t="n">
        <f aca="false">A944-$A$2</f>
        <v>47.1220000000001</v>
      </c>
      <c r="C944" s="14" t="n">
        <v>449.11</v>
      </c>
      <c r="D944" s="13" t="n">
        <f aca="false">C944*Config!$B$8</f>
        <v>160.24488269665</v>
      </c>
    </row>
    <row r="945" customFormat="false" ht="15" hidden="false" customHeight="false" outlineLevel="0" collapsed="false">
      <c r="A945" s="12" t="n">
        <v>2073.053</v>
      </c>
      <c r="B945" s="13" t="n">
        <f aca="false">A945-$A$2</f>
        <v>47.1719999999998</v>
      </c>
      <c r="C945" s="14" t="n">
        <v>448.45</v>
      </c>
      <c r="D945" s="13" t="n">
        <f aca="false">C945*Config!$B$8</f>
        <v>160.009391118685</v>
      </c>
    </row>
    <row r="946" customFormat="false" ht="15" hidden="false" customHeight="false" outlineLevel="0" collapsed="false">
      <c r="A946" s="12" t="n">
        <v>2073.103</v>
      </c>
      <c r="B946" s="13" t="n">
        <f aca="false">A946-$A$2</f>
        <v>47.222</v>
      </c>
      <c r="C946" s="14" t="n">
        <v>452.57</v>
      </c>
      <c r="D946" s="13" t="n">
        <f aca="false">C946*Config!$B$8</f>
        <v>161.479429453859</v>
      </c>
    </row>
    <row r="947" customFormat="false" ht="15" hidden="false" customHeight="false" outlineLevel="0" collapsed="false">
      <c r="A947" s="12" t="n">
        <v>2073.153</v>
      </c>
      <c r="B947" s="13" t="n">
        <f aca="false">A947-$A$2</f>
        <v>47.2719999999997</v>
      </c>
      <c r="C947" s="14" t="n">
        <v>460.94</v>
      </c>
      <c r="D947" s="13" t="n">
        <f aca="false">C947*Config!$B$8</f>
        <v>164.465890828959</v>
      </c>
    </row>
    <row r="948" customFormat="false" ht="15" hidden="false" customHeight="false" outlineLevel="0" collapsed="false">
      <c r="A948" s="12" t="n">
        <v>2073.203</v>
      </c>
      <c r="B948" s="13" t="n">
        <f aca="false">A948-$A$2</f>
        <v>47.3219999999999</v>
      </c>
      <c r="C948" s="14" t="n">
        <v>445.59</v>
      </c>
      <c r="D948" s="13" t="n">
        <f aca="false">C948*Config!$B$8</f>
        <v>158.988927614171</v>
      </c>
    </row>
    <row r="949" customFormat="false" ht="15" hidden="false" customHeight="false" outlineLevel="0" collapsed="false">
      <c r="A949" s="12" t="n">
        <v>2073.253</v>
      </c>
      <c r="B949" s="13" t="n">
        <f aca="false">A949-$A$2</f>
        <v>47.3720000000001</v>
      </c>
      <c r="C949" s="14" t="n">
        <v>461.01</v>
      </c>
      <c r="D949" s="13" t="n">
        <f aca="false">C949*Config!$B$8</f>
        <v>164.49086720844</v>
      </c>
    </row>
    <row r="950" customFormat="false" ht="15" hidden="false" customHeight="false" outlineLevel="0" collapsed="false">
      <c r="A950" s="12" t="n">
        <v>2073.303</v>
      </c>
      <c r="B950" s="13" t="n">
        <f aca="false">A950-$A$2</f>
        <v>47.4219999999998</v>
      </c>
      <c r="C950" s="14" t="n">
        <v>443.57</v>
      </c>
      <c r="D950" s="13" t="n">
        <f aca="false">C950*Config!$B$8</f>
        <v>158.26818066343</v>
      </c>
    </row>
    <row r="951" customFormat="false" ht="15" hidden="false" customHeight="false" outlineLevel="0" collapsed="false">
      <c r="A951" s="12" t="n">
        <v>2073.353</v>
      </c>
      <c r="B951" s="13" t="n">
        <f aca="false">A951-$A$2</f>
        <v>47.472</v>
      </c>
      <c r="C951" s="14" t="n">
        <v>451.01</v>
      </c>
      <c r="D951" s="13" t="n">
        <f aca="false">C951*Config!$B$8</f>
        <v>160.922812996852</v>
      </c>
    </row>
    <row r="952" customFormat="false" ht="15" hidden="false" customHeight="false" outlineLevel="0" collapsed="false">
      <c r="A952" s="12" t="n">
        <v>2073.403</v>
      </c>
      <c r="B952" s="13" t="n">
        <f aca="false">A952-$A$2</f>
        <v>47.5219999999997</v>
      </c>
      <c r="C952" s="14" t="n">
        <v>462.94</v>
      </c>
      <c r="D952" s="13" t="n">
        <f aca="false">C952*Config!$B$8</f>
        <v>165.179501671277</v>
      </c>
    </row>
    <row r="953" customFormat="false" ht="15" hidden="false" customHeight="false" outlineLevel="0" collapsed="false">
      <c r="A953" s="12" t="n">
        <v>2073.453</v>
      </c>
      <c r="B953" s="13" t="n">
        <f aca="false">A953-$A$2</f>
        <v>47.5719999999999</v>
      </c>
      <c r="C953" s="14" t="n">
        <v>444.8</v>
      </c>
      <c r="D953" s="13" t="n">
        <f aca="false">C953*Config!$B$8</f>
        <v>158.707051331455</v>
      </c>
    </row>
    <row r="954" customFormat="false" ht="15" hidden="false" customHeight="false" outlineLevel="0" collapsed="false">
      <c r="A954" s="12" t="n">
        <v>2073.503</v>
      </c>
      <c r="B954" s="13" t="n">
        <f aca="false">A954-$A$2</f>
        <v>47.6220000000001</v>
      </c>
      <c r="C954" s="14" t="n">
        <v>445.19</v>
      </c>
      <c r="D954" s="13" t="n">
        <f aca="false">C954*Config!$B$8</f>
        <v>158.846205445707</v>
      </c>
    </row>
    <row r="955" customFormat="false" ht="15" hidden="false" customHeight="false" outlineLevel="0" collapsed="false">
      <c r="A955" s="12" t="n">
        <v>2073.553</v>
      </c>
      <c r="B955" s="13" t="n">
        <f aca="false">A955-$A$2</f>
        <v>47.6719999999998</v>
      </c>
      <c r="C955" s="14" t="n">
        <v>457.16</v>
      </c>
      <c r="D955" s="13" t="n">
        <f aca="false">C955*Config!$B$8</f>
        <v>163.117166336979</v>
      </c>
    </row>
    <row r="956" customFormat="false" ht="15" hidden="false" customHeight="false" outlineLevel="0" collapsed="false">
      <c r="A956" s="12" t="n">
        <v>2073.603</v>
      </c>
      <c r="B956" s="13" t="n">
        <f aca="false">A956-$A$2</f>
        <v>47.722</v>
      </c>
      <c r="C956" s="14" t="n">
        <v>457.29</v>
      </c>
      <c r="D956" s="13" t="n">
        <f aca="false">C956*Config!$B$8</f>
        <v>163.163551041729</v>
      </c>
    </row>
    <row r="957" customFormat="false" ht="15" hidden="false" customHeight="false" outlineLevel="0" collapsed="false">
      <c r="A957" s="12" t="n">
        <v>2073.653</v>
      </c>
      <c r="B957" s="13" t="n">
        <f aca="false">A957-$A$2</f>
        <v>47.7719999999997</v>
      </c>
      <c r="C957" s="14" t="n">
        <v>452.86</v>
      </c>
      <c r="D957" s="13" t="n">
        <f aca="false">C957*Config!$B$8</f>
        <v>161.582903025995</v>
      </c>
    </row>
    <row r="958" customFormat="false" ht="15" hidden="false" customHeight="false" outlineLevel="0" collapsed="false">
      <c r="A958" s="12" t="n">
        <v>2073.703</v>
      </c>
      <c r="B958" s="13" t="n">
        <f aca="false">A958-$A$2</f>
        <v>47.8219999999999</v>
      </c>
      <c r="C958" s="14" t="n">
        <v>459.98</v>
      </c>
      <c r="D958" s="13" t="n">
        <f aca="false">C958*Config!$B$8</f>
        <v>164.123357624646</v>
      </c>
    </row>
    <row r="959" customFormat="false" ht="15" hidden="false" customHeight="false" outlineLevel="0" collapsed="false">
      <c r="A959" s="12" t="n">
        <v>2073.753</v>
      </c>
      <c r="B959" s="13" t="n">
        <f aca="false">A959-$A$2</f>
        <v>47.8720000000001</v>
      </c>
      <c r="C959" s="14" t="n">
        <v>443.91</v>
      </c>
      <c r="D959" s="13" t="n">
        <f aca="false">C959*Config!$B$8</f>
        <v>158.389494506624</v>
      </c>
    </row>
    <row r="960" customFormat="false" ht="15" hidden="false" customHeight="false" outlineLevel="0" collapsed="false">
      <c r="A960" s="12" t="n">
        <v>2073.803</v>
      </c>
      <c r="B960" s="13" t="n">
        <f aca="false">A960-$A$2</f>
        <v>47.9219999999998</v>
      </c>
      <c r="C960" s="14" t="n">
        <v>447.67</v>
      </c>
      <c r="D960" s="13" t="n">
        <f aca="false">C960*Config!$B$8</f>
        <v>159.731082890181</v>
      </c>
    </row>
    <row r="961" customFormat="false" ht="15" hidden="false" customHeight="false" outlineLevel="0" collapsed="false">
      <c r="A961" s="12" t="n">
        <v>2073.853</v>
      </c>
      <c r="B961" s="13" t="n">
        <f aca="false">A961-$A$2</f>
        <v>47.972</v>
      </c>
      <c r="C961" s="14" t="n">
        <v>443.53</v>
      </c>
      <c r="D961" s="13" t="n">
        <f aca="false">C961*Config!$B$8</f>
        <v>158.253908446583</v>
      </c>
    </row>
    <row r="962" customFormat="false" ht="15" hidden="false" customHeight="false" outlineLevel="0" collapsed="false">
      <c r="A962" s="12" t="n">
        <v>2073.903</v>
      </c>
      <c r="B962" s="13" t="n">
        <f aca="false">A962-$A$2</f>
        <v>48.0219999999997</v>
      </c>
      <c r="C962" s="14" t="n">
        <v>441.62</v>
      </c>
      <c r="D962" s="13" t="n">
        <f aca="false">C962*Config!$B$8</f>
        <v>157.57241009217</v>
      </c>
    </row>
    <row r="963" customFormat="false" ht="15" hidden="false" customHeight="false" outlineLevel="0" collapsed="false">
      <c r="A963" s="12" t="n">
        <v>2073.953</v>
      </c>
      <c r="B963" s="13" t="n">
        <f aca="false">A963-$A$2</f>
        <v>48.0719999999999</v>
      </c>
      <c r="C963" s="14" t="n">
        <v>448.43</v>
      </c>
      <c r="D963" s="13" t="n">
        <f aca="false">C963*Config!$B$8</f>
        <v>160.002255010262</v>
      </c>
    </row>
    <row r="964" customFormat="false" ht="15" hidden="false" customHeight="false" outlineLevel="0" collapsed="false">
      <c r="A964" s="12" t="n">
        <v>2074.003</v>
      </c>
      <c r="B964" s="13" t="n">
        <f aca="false">A964-$A$2</f>
        <v>48.1220000000001</v>
      </c>
      <c r="C964" s="14" t="n">
        <v>456.05</v>
      </c>
      <c r="D964" s="13" t="n">
        <f aca="false">C964*Config!$B$8</f>
        <v>162.721112319492</v>
      </c>
    </row>
    <row r="965" customFormat="false" ht="15" hidden="false" customHeight="false" outlineLevel="0" collapsed="false">
      <c r="A965" s="12" t="n">
        <v>2074.053</v>
      </c>
      <c r="B965" s="13" t="n">
        <f aca="false">A965-$A$2</f>
        <v>48.1719999999998</v>
      </c>
      <c r="C965" s="14" t="n">
        <v>441.3</v>
      </c>
      <c r="D965" s="13" t="n">
        <f aca="false">C965*Config!$B$8</f>
        <v>157.458232357399</v>
      </c>
    </row>
    <row r="966" customFormat="false" ht="15" hidden="false" customHeight="false" outlineLevel="0" collapsed="false">
      <c r="A966" s="12" t="n">
        <v>2074.103</v>
      </c>
      <c r="B966" s="13" t="n">
        <f aca="false">A966-$A$2</f>
        <v>48.222</v>
      </c>
      <c r="C966" s="14" t="n">
        <v>451.51</v>
      </c>
      <c r="D966" s="13" t="n">
        <f aca="false">C966*Config!$B$8</f>
        <v>161.101215707431</v>
      </c>
    </row>
    <row r="967" customFormat="false" ht="15" hidden="false" customHeight="false" outlineLevel="0" collapsed="false">
      <c r="A967" s="12" t="n">
        <v>2074.153</v>
      </c>
      <c r="B967" s="13" t="n">
        <f aca="false">A967-$A$2</f>
        <v>48.2719999999997</v>
      </c>
      <c r="C967" s="14" t="n">
        <v>461.9</v>
      </c>
      <c r="D967" s="13" t="n">
        <f aca="false">C967*Config!$B$8</f>
        <v>164.808424033271</v>
      </c>
    </row>
    <row r="968" customFormat="false" ht="15" hidden="false" customHeight="false" outlineLevel="0" collapsed="false">
      <c r="A968" s="12" t="n">
        <v>2074.203</v>
      </c>
      <c r="B968" s="13" t="n">
        <f aca="false">A968-$A$2</f>
        <v>48.3219999999999</v>
      </c>
      <c r="C968" s="14" t="n">
        <v>454.01</v>
      </c>
      <c r="D968" s="13" t="n">
        <f aca="false">C968*Config!$B$8</f>
        <v>161.993229260328</v>
      </c>
    </row>
    <row r="969" customFormat="false" ht="15" hidden="false" customHeight="false" outlineLevel="0" collapsed="false">
      <c r="A969" s="12" t="n">
        <v>2074.253</v>
      </c>
      <c r="B969" s="13" t="n">
        <f aca="false">A969-$A$2</f>
        <v>48.3720000000001</v>
      </c>
      <c r="C969" s="14" t="n">
        <v>456.77</v>
      </c>
      <c r="D969" s="13" t="n">
        <f aca="false">C969*Config!$B$8</f>
        <v>162.978012222727</v>
      </c>
    </row>
    <row r="970" customFormat="false" ht="15" hidden="false" customHeight="false" outlineLevel="0" collapsed="false">
      <c r="A970" s="12" t="n">
        <v>2074.303</v>
      </c>
      <c r="B970" s="13" t="n">
        <f aca="false">A970-$A$2</f>
        <v>48.4219999999998</v>
      </c>
      <c r="C970" s="14" t="n">
        <v>475.82</v>
      </c>
      <c r="D970" s="13" t="n">
        <f aca="false">C970*Config!$B$8</f>
        <v>169.775155495803</v>
      </c>
    </row>
    <row r="971" customFormat="false" ht="15" hidden="false" customHeight="false" outlineLevel="0" collapsed="false">
      <c r="A971" s="12" t="n">
        <v>2074.353</v>
      </c>
      <c r="B971" s="13" t="n">
        <f aca="false">A971-$A$2</f>
        <v>48.472</v>
      </c>
      <c r="C971" s="14" t="n">
        <v>446.03</v>
      </c>
      <c r="D971" s="13" t="n">
        <f aca="false">C971*Config!$B$8</f>
        <v>159.145921999481</v>
      </c>
    </row>
    <row r="972" customFormat="false" ht="15" hidden="false" customHeight="false" outlineLevel="0" collapsed="false">
      <c r="A972" s="12" t="n">
        <v>2074.403</v>
      </c>
      <c r="B972" s="13" t="n">
        <f aca="false">A972-$A$2</f>
        <v>48.5219999999997</v>
      </c>
      <c r="C972" s="14" t="n">
        <v>450.82</v>
      </c>
      <c r="D972" s="13" t="n">
        <f aca="false">C972*Config!$B$8</f>
        <v>160.855019966831</v>
      </c>
    </row>
    <row r="973" customFormat="false" ht="15" hidden="false" customHeight="false" outlineLevel="0" collapsed="false">
      <c r="A973" s="12" t="n">
        <v>2074.454</v>
      </c>
      <c r="B973" s="13" t="n">
        <f aca="false">A973-$A$2</f>
        <v>48.5730000000001</v>
      </c>
      <c r="C973" s="14" t="n">
        <v>472.82</v>
      </c>
      <c r="D973" s="13" t="n">
        <f aca="false">C973*Config!$B$8</f>
        <v>168.704739232326</v>
      </c>
    </row>
    <row r="974" customFormat="false" ht="15" hidden="false" customHeight="false" outlineLevel="0" collapsed="false">
      <c r="A974" s="12" t="n">
        <v>2074.504</v>
      </c>
      <c r="B974" s="13" t="n">
        <f aca="false">A974-$A$2</f>
        <v>48.6229999999998</v>
      </c>
      <c r="C974" s="14" t="n">
        <v>453.67</v>
      </c>
      <c r="D974" s="13" t="n">
        <f aca="false">C974*Config!$B$8</f>
        <v>161.871915417134</v>
      </c>
    </row>
    <row r="975" customFormat="false" ht="15" hidden="false" customHeight="false" outlineLevel="0" collapsed="false">
      <c r="A975" s="12" t="n">
        <v>2074.554</v>
      </c>
      <c r="B975" s="13" t="n">
        <f aca="false">A975-$A$2</f>
        <v>48.673</v>
      </c>
      <c r="C975" s="14" t="n">
        <v>485.85</v>
      </c>
      <c r="D975" s="13" t="n">
        <f aca="false">C975*Config!$B$8</f>
        <v>173.353913870026</v>
      </c>
    </row>
    <row r="976" customFormat="false" ht="15" hidden="false" customHeight="false" outlineLevel="0" collapsed="false">
      <c r="A976" s="12" t="n">
        <v>2074.604</v>
      </c>
      <c r="B976" s="13" t="n">
        <f aca="false">A976-$A$2</f>
        <v>48.7229999999997</v>
      </c>
      <c r="C976" s="14" t="n">
        <v>465.05</v>
      </c>
      <c r="D976" s="13" t="n">
        <f aca="false">C976*Config!$B$8</f>
        <v>165.932361109922</v>
      </c>
    </row>
    <row r="977" customFormat="false" ht="15" hidden="false" customHeight="false" outlineLevel="0" collapsed="false">
      <c r="A977" s="12" t="n">
        <v>2074.654</v>
      </c>
      <c r="B977" s="13" t="n">
        <f aca="false">A977-$A$2</f>
        <v>48.7729999999999</v>
      </c>
      <c r="C977" s="14" t="n">
        <v>463.85</v>
      </c>
      <c r="D977" s="13" t="n">
        <f aca="false">C977*Config!$B$8</f>
        <v>165.504194604531</v>
      </c>
    </row>
    <row r="978" customFormat="false" ht="15" hidden="false" customHeight="false" outlineLevel="0" collapsed="false">
      <c r="A978" s="12" t="n">
        <v>2074.704</v>
      </c>
      <c r="B978" s="13" t="n">
        <f aca="false">A978-$A$2</f>
        <v>48.8230000000001</v>
      </c>
      <c r="C978" s="14" t="n">
        <v>454.45</v>
      </c>
      <c r="D978" s="13" t="n">
        <f aca="false">C978*Config!$B$8</f>
        <v>162.150223645638</v>
      </c>
    </row>
    <row r="979" customFormat="false" ht="15" hidden="false" customHeight="false" outlineLevel="0" collapsed="false">
      <c r="A979" s="12" t="n">
        <v>2074.754</v>
      </c>
      <c r="B979" s="13" t="n">
        <f aca="false">A979-$A$2</f>
        <v>48.8729999999998</v>
      </c>
      <c r="C979" s="14" t="n">
        <v>469.68</v>
      </c>
      <c r="D979" s="13" t="n">
        <f aca="false">C979*Config!$B$8</f>
        <v>167.584370209887</v>
      </c>
    </row>
    <row r="980" customFormat="false" ht="15" hidden="false" customHeight="false" outlineLevel="0" collapsed="false">
      <c r="A980" s="12" t="n">
        <v>2074.804</v>
      </c>
      <c r="B980" s="13" t="n">
        <f aca="false">A980-$A$2</f>
        <v>48.923</v>
      </c>
      <c r="C980" s="14" t="n">
        <v>461.73</v>
      </c>
      <c r="D980" s="13" t="n">
        <f aca="false">C980*Config!$B$8</f>
        <v>164.747767111674</v>
      </c>
    </row>
    <row r="981" customFormat="false" ht="15" hidden="false" customHeight="false" outlineLevel="0" collapsed="false">
      <c r="A981" s="12" t="n">
        <v>2074.854</v>
      </c>
      <c r="B981" s="13" t="n">
        <f aca="false">A981-$A$2</f>
        <v>48.9729999999997</v>
      </c>
      <c r="C981" s="14" t="n">
        <v>485.34</v>
      </c>
      <c r="D981" s="13" t="n">
        <f aca="false">C981*Config!$B$8</f>
        <v>173.171943105235</v>
      </c>
    </row>
    <row r="982" customFormat="false" ht="15" hidden="false" customHeight="false" outlineLevel="0" collapsed="false">
      <c r="A982" s="12" t="n">
        <v>2074.904</v>
      </c>
      <c r="B982" s="13" t="n">
        <f aca="false">A982-$A$2</f>
        <v>49.0229999999999</v>
      </c>
      <c r="C982" s="14" t="n">
        <v>457.41</v>
      </c>
      <c r="D982" s="13" t="n">
        <f aca="false">C982*Config!$B$8</f>
        <v>163.206367692268</v>
      </c>
    </row>
    <row r="983" customFormat="false" ht="15" hidden="false" customHeight="false" outlineLevel="0" collapsed="false">
      <c r="A983" s="12" t="n">
        <v>2074.954</v>
      </c>
      <c r="B983" s="13" t="n">
        <f aca="false">A983-$A$2</f>
        <v>49.0730000000001</v>
      </c>
      <c r="C983" s="14" t="n">
        <v>465.11</v>
      </c>
      <c r="D983" s="13" t="n">
        <f aca="false">C983*Config!$B$8</f>
        <v>165.953769435191</v>
      </c>
    </row>
    <row r="984" customFormat="false" ht="15" hidden="false" customHeight="false" outlineLevel="0" collapsed="false">
      <c r="A984" s="12" t="n">
        <v>2075.004</v>
      </c>
      <c r="B984" s="13" t="n">
        <f aca="false">A984-$A$2</f>
        <v>49.1229999999998</v>
      </c>
      <c r="C984" s="14" t="n">
        <v>462.65</v>
      </c>
      <c r="D984" s="13" t="n">
        <f aca="false">C984*Config!$B$8</f>
        <v>165.076028099141</v>
      </c>
    </row>
    <row r="985" customFormat="false" ht="15" hidden="false" customHeight="false" outlineLevel="0" collapsed="false">
      <c r="A985" s="12" t="n">
        <v>2075.054</v>
      </c>
      <c r="B985" s="13" t="n">
        <f aca="false">A985-$A$2</f>
        <v>49.173</v>
      </c>
      <c r="C985" s="14" t="n">
        <v>460.65</v>
      </c>
      <c r="D985" s="13" t="n">
        <f aca="false">C985*Config!$B$8</f>
        <v>164.362417256823</v>
      </c>
    </row>
    <row r="986" customFormat="false" ht="15" hidden="false" customHeight="false" outlineLevel="0" collapsed="false">
      <c r="A986" s="12" t="n">
        <v>2075.104</v>
      </c>
      <c r="B986" s="13" t="n">
        <f aca="false">A986-$A$2</f>
        <v>49.2229999999997</v>
      </c>
      <c r="C986" s="14" t="n">
        <v>487.54</v>
      </c>
      <c r="D986" s="13" t="n">
        <f aca="false">C986*Config!$B$8</f>
        <v>173.956915031784</v>
      </c>
    </row>
    <row r="987" customFormat="false" ht="15" hidden="false" customHeight="false" outlineLevel="0" collapsed="false">
      <c r="A987" s="12" t="n">
        <v>2075.154</v>
      </c>
      <c r="B987" s="13" t="n">
        <f aca="false">A987-$A$2</f>
        <v>49.2729999999999</v>
      </c>
      <c r="C987" s="14" t="n">
        <v>491.74</v>
      </c>
      <c r="D987" s="13" t="n">
        <f aca="false">C987*Config!$B$8</f>
        <v>175.455497800651</v>
      </c>
    </row>
    <row r="988" customFormat="false" ht="15" hidden="false" customHeight="false" outlineLevel="0" collapsed="false">
      <c r="A988" s="12" t="n">
        <v>2075.204</v>
      </c>
      <c r="B988" s="13" t="n">
        <f aca="false">A988-$A$2</f>
        <v>49.3230000000001</v>
      </c>
      <c r="C988" s="14" t="n">
        <v>479.55</v>
      </c>
      <c r="D988" s="13" t="n">
        <f aca="false">C988*Config!$B$8</f>
        <v>171.106039716725</v>
      </c>
    </row>
    <row r="989" customFormat="false" ht="15" hidden="false" customHeight="false" outlineLevel="0" collapsed="false">
      <c r="A989" s="12" t="n">
        <v>2075.254</v>
      </c>
      <c r="B989" s="13" t="n">
        <f aca="false">A989-$A$2</f>
        <v>49.3729999999998</v>
      </c>
      <c r="C989" s="14" t="n">
        <v>495.44</v>
      </c>
      <c r="D989" s="13" t="n">
        <f aca="false">C989*Config!$B$8</f>
        <v>176.775677858939</v>
      </c>
    </row>
    <row r="990" customFormat="false" ht="15" hidden="false" customHeight="false" outlineLevel="0" collapsed="false">
      <c r="A990" s="12" t="n">
        <v>2075.304</v>
      </c>
      <c r="B990" s="13" t="n">
        <f aca="false">A990-$A$2</f>
        <v>49.423</v>
      </c>
      <c r="C990" s="14" t="n">
        <v>475.88</v>
      </c>
      <c r="D990" s="13" t="n">
        <f aca="false">C990*Config!$B$8</f>
        <v>169.796563821072</v>
      </c>
    </row>
    <row r="991" customFormat="false" ht="15" hidden="false" customHeight="false" outlineLevel="0" collapsed="false">
      <c r="A991" s="12" t="n">
        <v>2075.354</v>
      </c>
      <c r="B991" s="13" t="n">
        <f aca="false">A991-$A$2</f>
        <v>49.4729999999997</v>
      </c>
      <c r="C991" s="14" t="n">
        <v>451.58</v>
      </c>
      <c r="D991" s="13" t="n">
        <f aca="false">C991*Config!$B$8</f>
        <v>161.126192086912</v>
      </c>
    </row>
    <row r="992" customFormat="false" ht="15" hidden="false" customHeight="false" outlineLevel="0" collapsed="false">
      <c r="A992" s="12" t="n">
        <v>2075.404</v>
      </c>
      <c r="B992" s="13" t="n">
        <f aca="false">A992-$A$2</f>
        <v>49.5229999999999</v>
      </c>
      <c r="C992" s="14" t="n">
        <v>489.8</v>
      </c>
      <c r="D992" s="13" t="n">
        <f aca="false">C992*Config!$B$8</f>
        <v>174.763295283603</v>
      </c>
    </row>
    <row r="993" customFormat="false" ht="15" hidden="false" customHeight="false" outlineLevel="0" collapsed="false">
      <c r="A993" s="12" t="n">
        <v>2075.454</v>
      </c>
      <c r="B993" s="13" t="n">
        <f aca="false">A993-$A$2</f>
        <v>49.5730000000001</v>
      </c>
      <c r="C993" s="14" t="n">
        <v>489.23</v>
      </c>
      <c r="D993" s="13" t="n">
        <f aca="false">C993*Config!$B$8</f>
        <v>174.559916193543</v>
      </c>
    </row>
    <row r="994" customFormat="false" ht="15" hidden="false" customHeight="false" outlineLevel="0" collapsed="false">
      <c r="A994" s="12" t="n">
        <v>2075.504</v>
      </c>
      <c r="B994" s="13" t="n">
        <f aca="false">A994-$A$2</f>
        <v>49.6229999999998</v>
      </c>
      <c r="C994" s="14" t="n">
        <v>493.09</v>
      </c>
      <c r="D994" s="13" t="n">
        <f aca="false">C994*Config!$B$8</f>
        <v>175.937185119216</v>
      </c>
    </row>
    <row r="995" customFormat="false" ht="15" hidden="false" customHeight="false" outlineLevel="0" collapsed="false">
      <c r="A995" s="12" t="n">
        <v>2075.554</v>
      </c>
      <c r="B995" s="13" t="n">
        <f aca="false">A995-$A$2</f>
        <v>49.673</v>
      </c>
      <c r="C995" s="14" t="n">
        <v>467.7</v>
      </c>
      <c r="D995" s="13" t="n">
        <f aca="false">C995*Config!$B$8</f>
        <v>166.877895475993</v>
      </c>
    </row>
    <row r="996" customFormat="false" ht="15" hidden="false" customHeight="false" outlineLevel="0" collapsed="false">
      <c r="A996" s="12" t="n">
        <v>2075.604</v>
      </c>
      <c r="B996" s="13" t="n">
        <f aca="false">A996-$A$2</f>
        <v>49.7229999999997</v>
      </c>
      <c r="C996" s="14" t="n">
        <v>484.34</v>
      </c>
      <c r="D996" s="13" t="n">
        <f aca="false">C996*Config!$B$8</f>
        <v>172.815137684076</v>
      </c>
    </row>
    <row r="997" customFormat="false" ht="15" hidden="false" customHeight="false" outlineLevel="0" collapsed="false">
      <c r="A997" s="12" t="n">
        <v>2075.654</v>
      </c>
      <c r="B997" s="13" t="n">
        <f aca="false">A997-$A$2</f>
        <v>49.7729999999999</v>
      </c>
      <c r="C997" s="14" t="n">
        <v>473.71</v>
      </c>
      <c r="D997" s="13" t="n">
        <f aca="false">C997*Config!$B$8</f>
        <v>169.022296057157</v>
      </c>
    </row>
    <row r="998" customFormat="false" ht="15" hidden="false" customHeight="false" outlineLevel="0" collapsed="false">
      <c r="A998" s="12" t="n">
        <v>2075.704</v>
      </c>
      <c r="B998" s="13" t="n">
        <f aca="false">A998-$A$2</f>
        <v>49.8230000000001</v>
      </c>
      <c r="C998" s="14" t="n">
        <v>481.31</v>
      </c>
      <c r="D998" s="13" t="n">
        <f aca="false">C998*Config!$B$8</f>
        <v>171.734017257965</v>
      </c>
    </row>
    <row r="999" customFormat="false" ht="15" hidden="false" customHeight="false" outlineLevel="0" collapsed="false">
      <c r="A999" s="12" t="n">
        <v>2075.754</v>
      </c>
      <c r="B999" s="13" t="n">
        <f aca="false">A999-$A$2</f>
        <v>49.8729999999998</v>
      </c>
      <c r="C999" s="14" t="n">
        <v>485.8</v>
      </c>
      <c r="D999" s="13" t="n">
        <f aca="false">C999*Config!$B$8</f>
        <v>173.336073598968</v>
      </c>
    </row>
    <row r="1000" customFormat="false" ht="15" hidden="false" customHeight="false" outlineLevel="0" collapsed="false">
      <c r="A1000" s="12" t="n">
        <v>2075.804</v>
      </c>
      <c r="B1000" s="13" t="n">
        <f aca="false">A1000-$A$2</f>
        <v>49.923</v>
      </c>
      <c r="C1000" s="14" t="n">
        <v>459.23</v>
      </c>
      <c r="D1000" s="13" t="n">
        <f aca="false">C1000*Config!$B$8</f>
        <v>163.855753558777</v>
      </c>
    </row>
    <row r="1001" customFormat="false" ht="15" hidden="false" customHeight="false" outlineLevel="0" collapsed="false">
      <c r="A1001" s="12" t="n">
        <v>2075.854</v>
      </c>
      <c r="B1001" s="13" t="n">
        <f aca="false">A1001-$A$2</f>
        <v>49.9729999999997</v>
      </c>
      <c r="C1001" s="14" t="n">
        <v>491.66</v>
      </c>
      <c r="D1001" s="13" t="n">
        <f aca="false">C1001*Config!$B$8</f>
        <v>175.426953366959</v>
      </c>
    </row>
    <row r="1002" customFormat="false" ht="15" hidden="false" customHeight="false" outlineLevel="0" collapsed="false">
      <c r="A1002" s="12" t="n">
        <v>2075.904</v>
      </c>
      <c r="B1002" s="13" t="n">
        <f aca="false">A1002-$A$2</f>
        <v>50.0229999999999</v>
      </c>
      <c r="C1002" s="14" t="n">
        <v>498.24</v>
      </c>
      <c r="D1002" s="13" t="n">
        <f aca="false">C1002*Config!$B$8</f>
        <v>177.774733038184</v>
      </c>
    </row>
    <row r="1003" customFormat="false" ht="15" hidden="false" customHeight="false" outlineLevel="0" collapsed="false">
      <c r="A1003" s="12" t="n">
        <v>2075.954</v>
      </c>
      <c r="B1003" s="13" t="n">
        <f aca="false">A1003-$A$2</f>
        <v>50.0730000000001</v>
      </c>
      <c r="C1003" s="14" t="n">
        <v>495.09</v>
      </c>
      <c r="D1003" s="13" t="n">
        <f aca="false">C1003*Config!$B$8</f>
        <v>176.650795961534</v>
      </c>
    </row>
    <row r="1004" customFormat="false" ht="15" hidden="false" customHeight="false" outlineLevel="0" collapsed="false">
      <c r="A1004" s="12" t="n">
        <v>2076.004</v>
      </c>
      <c r="B1004" s="13" t="n">
        <f aca="false">A1004-$A$2</f>
        <v>50.1229999999998</v>
      </c>
      <c r="C1004" s="14" t="n">
        <v>481.54</v>
      </c>
      <c r="D1004" s="13" t="n">
        <f aca="false">C1004*Config!$B$8</f>
        <v>171.816082504831</v>
      </c>
    </row>
    <row r="1005" customFormat="false" ht="15" hidden="false" customHeight="false" outlineLevel="0" collapsed="false">
      <c r="A1005" s="12" t="n">
        <v>2076.054</v>
      </c>
      <c r="B1005" s="13" t="n">
        <f aca="false">A1005-$A$2</f>
        <v>50.173</v>
      </c>
      <c r="C1005" s="14" t="n">
        <v>481.83</v>
      </c>
      <c r="D1005" s="13" t="n">
        <f aca="false">C1005*Config!$B$8</f>
        <v>171.919556076967</v>
      </c>
    </row>
    <row r="1006" customFormat="false" ht="15" hidden="false" customHeight="false" outlineLevel="0" collapsed="false">
      <c r="A1006" s="12" t="n">
        <v>2076.104</v>
      </c>
      <c r="B1006" s="13" t="n">
        <f aca="false">A1006-$A$2</f>
        <v>50.2229999999997</v>
      </c>
      <c r="C1006" s="14" t="n">
        <v>471.65</v>
      </c>
      <c r="D1006" s="13" t="n">
        <f aca="false">C1006*Config!$B$8</f>
        <v>168.28727688957</v>
      </c>
    </row>
    <row r="1007" customFormat="false" ht="15" hidden="false" customHeight="false" outlineLevel="0" collapsed="false">
      <c r="A1007" s="12" t="n">
        <v>2076.154</v>
      </c>
      <c r="B1007" s="13" t="n">
        <f aca="false">A1007-$A$2</f>
        <v>50.2729999999999</v>
      </c>
      <c r="C1007" s="14" t="n">
        <v>473.93</v>
      </c>
      <c r="D1007" s="13" t="n">
        <f aca="false">C1007*Config!$B$8</f>
        <v>169.100793249812</v>
      </c>
    </row>
    <row r="1008" customFormat="false" ht="15" hidden="false" customHeight="false" outlineLevel="0" collapsed="false">
      <c r="A1008" s="12" t="n">
        <v>2076.204</v>
      </c>
      <c r="B1008" s="13" t="n">
        <f aca="false">A1008-$A$2</f>
        <v>50.3230000000001</v>
      </c>
      <c r="C1008" s="14" t="n">
        <v>477.61</v>
      </c>
      <c r="D1008" s="13" t="n">
        <f aca="false">C1008*Config!$B$8</f>
        <v>170.413837199677</v>
      </c>
    </row>
    <row r="1009" customFormat="false" ht="15" hidden="false" customHeight="false" outlineLevel="0" collapsed="false">
      <c r="A1009" s="12" t="n">
        <v>2076.254</v>
      </c>
      <c r="B1009" s="13" t="n">
        <f aca="false">A1009-$A$2</f>
        <v>50.3729999999998</v>
      </c>
      <c r="C1009" s="14" t="n">
        <v>476.38</v>
      </c>
      <c r="D1009" s="13" t="n">
        <f aca="false">C1009*Config!$B$8</f>
        <v>169.974966531652</v>
      </c>
    </row>
    <row r="1010" customFormat="false" ht="15" hidden="false" customHeight="false" outlineLevel="0" collapsed="false">
      <c r="A1010" s="12" t="n">
        <v>2076.304</v>
      </c>
      <c r="B1010" s="13" t="n">
        <f aca="false">A1010-$A$2</f>
        <v>50.423</v>
      </c>
      <c r="C1010" s="14" t="n">
        <v>490.2</v>
      </c>
      <c r="D1010" s="13" t="n">
        <f aca="false">C1010*Config!$B$8</f>
        <v>174.906017452067</v>
      </c>
    </row>
    <row r="1011" customFormat="false" ht="15" hidden="false" customHeight="false" outlineLevel="0" collapsed="false">
      <c r="A1011" s="12" t="n">
        <v>2076.354</v>
      </c>
      <c r="B1011" s="13" t="n">
        <f aca="false">A1011-$A$2</f>
        <v>50.4729999999997</v>
      </c>
      <c r="C1011" s="14" t="n">
        <v>486.83</v>
      </c>
      <c r="D1011" s="13" t="n">
        <f aca="false">C1011*Config!$B$8</f>
        <v>173.703583182762</v>
      </c>
    </row>
    <row r="1012" customFormat="false" ht="15" hidden="false" customHeight="false" outlineLevel="0" collapsed="false">
      <c r="A1012" s="12" t="n">
        <v>2076.404</v>
      </c>
      <c r="B1012" s="13" t="n">
        <f aca="false">A1012-$A$2</f>
        <v>50.5229999999999</v>
      </c>
      <c r="C1012" s="14" t="n">
        <v>467.45</v>
      </c>
      <c r="D1012" s="13" t="n">
        <f aca="false">C1012*Config!$B$8</f>
        <v>166.788694120703</v>
      </c>
    </row>
    <row r="1013" customFormat="false" ht="15" hidden="false" customHeight="false" outlineLevel="0" collapsed="false">
      <c r="A1013" s="12" t="n">
        <v>2076.454</v>
      </c>
      <c r="B1013" s="13" t="n">
        <f aca="false">A1013-$A$2</f>
        <v>50.5730000000001</v>
      </c>
      <c r="C1013" s="14" t="n">
        <v>482.07</v>
      </c>
      <c r="D1013" s="13" t="n">
        <f aca="false">C1013*Config!$B$8</f>
        <v>172.005189378045</v>
      </c>
    </row>
    <row r="1014" customFormat="false" ht="15" hidden="false" customHeight="false" outlineLevel="0" collapsed="false">
      <c r="A1014" s="12" t="n">
        <v>2076.504</v>
      </c>
      <c r="B1014" s="13" t="n">
        <f aca="false">A1014-$A$2</f>
        <v>50.6229999999998</v>
      </c>
      <c r="C1014" s="14" t="n">
        <v>472.91</v>
      </c>
      <c r="D1014" s="13" t="n">
        <f aca="false">C1014*Config!$B$8</f>
        <v>168.73685172023</v>
      </c>
    </row>
    <row r="1015" customFormat="false" ht="15" hidden="false" customHeight="false" outlineLevel="0" collapsed="false">
      <c r="A1015" s="12" t="n">
        <v>2076.554</v>
      </c>
      <c r="B1015" s="13" t="n">
        <f aca="false">A1015-$A$2</f>
        <v>50.673</v>
      </c>
      <c r="C1015" s="14" t="n">
        <v>494.86</v>
      </c>
      <c r="D1015" s="13" t="n">
        <f aca="false">C1015*Config!$B$8</f>
        <v>176.568730714667</v>
      </c>
    </row>
    <row r="1016" customFormat="false" ht="15" hidden="false" customHeight="false" outlineLevel="0" collapsed="false">
      <c r="A1016" s="12" t="n">
        <v>2076.604</v>
      </c>
      <c r="B1016" s="13" t="n">
        <f aca="false">A1016-$A$2</f>
        <v>50.7229999999997</v>
      </c>
      <c r="C1016" s="14" t="n">
        <v>493.22</v>
      </c>
      <c r="D1016" s="13" t="n">
        <f aca="false">C1016*Config!$B$8</f>
        <v>175.983569823967</v>
      </c>
    </row>
    <row r="1017" customFormat="false" ht="15" hidden="false" customHeight="false" outlineLevel="0" collapsed="false">
      <c r="A1017" s="12" t="n">
        <v>2076.654</v>
      </c>
      <c r="B1017" s="13" t="n">
        <f aca="false">A1017-$A$2</f>
        <v>50.7729999999999</v>
      </c>
      <c r="C1017" s="14" t="n">
        <v>470.76</v>
      </c>
      <c r="D1017" s="13" t="n">
        <f aca="false">C1017*Config!$B$8</f>
        <v>167.969720064739</v>
      </c>
    </row>
    <row r="1018" customFormat="false" ht="15" hidden="false" customHeight="false" outlineLevel="0" collapsed="false">
      <c r="A1018" s="12" t="n">
        <v>2076.704</v>
      </c>
      <c r="B1018" s="13" t="n">
        <f aca="false">A1018-$A$2</f>
        <v>50.8230000000001</v>
      </c>
      <c r="C1018" s="14" t="n">
        <v>470.92</v>
      </c>
      <c r="D1018" s="13" t="n">
        <f aca="false">C1018*Config!$B$8</f>
        <v>168.026808932124</v>
      </c>
    </row>
    <row r="1019" customFormat="false" ht="15" hidden="false" customHeight="false" outlineLevel="0" collapsed="false">
      <c r="A1019" s="12" t="n">
        <v>2076.754</v>
      </c>
      <c r="B1019" s="13" t="n">
        <f aca="false">A1019-$A$2</f>
        <v>50.8729999999998</v>
      </c>
      <c r="C1019" s="14" t="n">
        <v>476.59</v>
      </c>
      <c r="D1019" s="13" t="n">
        <f aca="false">C1019*Config!$B$8</f>
        <v>170.049895670095</v>
      </c>
    </row>
    <row r="1020" customFormat="false" ht="15" hidden="false" customHeight="false" outlineLevel="0" collapsed="false">
      <c r="A1020" s="12" t="n">
        <v>2076.804</v>
      </c>
      <c r="B1020" s="13" t="n">
        <f aca="false">A1020-$A$2</f>
        <v>50.923</v>
      </c>
      <c r="C1020" s="14" t="n">
        <v>483.46</v>
      </c>
      <c r="D1020" s="13" t="n">
        <f aca="false">C1020*Config!$B$8</f>
        <v>172.501148913456</v>
      </c>
    </row>
    <row r="1021" customFormat="false" ht="15" hidden="false" customHeight="false" outlineLevel="0" collapsed="false">
      <c r="A1021" s="12" t="n">
        <v>2076.854</v>
      </c>
      <c r="B1021" s="13" t="n">
        <f aca="false">A1021-$A$2</f>
        <v>50.9729999999997</v>
      </c>
      <c r="C1021" s="14" t="n">
        <v>479.3</v>
      </c>
      <c r="D1021" s="13" t="n">
        <f aca="false">C1021*Config!$B$8</f>
        <v>171.016838361435</v>
      </c>
    </row>
    <row r="1022" customFormat="false" ht="15" hidden="false" customHeight="false" outlineLevel="0" collapsed="false">
      <c r="A1022" s="12" t="n">
        <v>2076.904</v>
      </c>
      <c r="B1022" s="13" t="n">
        <f aca="false">A1022-$A$2</f>
        <v>51.0229999999999</v>
      </c>
      <c r="C1022" s="14" t="n">
        <v>471.83</v>
      </c>
      <c r="D1022" s="13" t="n">
        <f aca="false">C1022*Config!$B$8</f>
        <v>168.351501865379</v>
      </c>
    </row>
    <row r="1023" customFormat="false" ht="15" hidden="false" customHeight="false" outlineLevel="0" collapsed="false">
      <c r="A1023" s="12" t="n">
        <v>2076.954</v>
      </c>
      <c r="B1023" s="13" t="n">
        <f aca="false">A1023-$A$2</f>
        <v>51.0730000000001</v>
      </c>
      <c r="C1023" s="14" t="n">
        <v>484.54</v>
      </c>
      <c r="D1023" s="13" t="n">
        <f aca="false">C1023*Config!$B$8</f>
        <v>172.886498768308</v>
      </c>
    </row>
    <row r="1024" customFormat="false" ht="15" hidden="false" customHeight="false" outlineLevel="0" collapsed="false">
      <c r="A1024" s="12" t="n">
        <v>2077.004</v>
      </c>
      <c r="B1024" s="13" t="n">
        <f aca="false">A1024-$A$2</f>
        <v>51.1229999999998</v>
      </c>
      <c r="C1024" s="14" t="n">
        <v>473.17</v>
      </c>
      <c r="D1024" s="13" t="n">
        <f aca="false">C1024*Config!$B$8</f>
        <v>168.829621129732</v>
      </c>
    </row>
    <row r="1025" customFormat="false" ht="15" hidden="false" customHeight="false" outlineLevel="0" collapsed="false">
      <c r="A1025" s="12" t="n">
        <v>2077.054</v>
      </c>
      <c r="B1025" s="13" t="n">
        <f aca="false">A1025-$A$2</f>
        <v>51.173</v>
      </c>
      <c r="C1025" s="14" t="n">
        <v>469.98</v>
      </c>
      <c r="D1025" s="13" t="n">
        <f aca="false">C1025*Config!$B$8</f>
        <v>167.691411836235</v>
      </c>
    </row>
    <row r="1026" customFormat="false" ht="15" hidden="false" customHeight="false" outlineLevel="0" collapsed="false">
      <c r="A1026" s="12" t="n">
        <v>2077.104</v>
      </c>
      <c r="B1026" s="13" t="n">
        <f aca="false">A1026-$A$2</f>
        <v>51.2229999999997</v>
      </c>
      <c r="C1026" s="14" t="n">
        <v>489.99</v>
      </c>
      <c r="D1026" s="13" t="n">
        <f aca="false">C1026*Config!$B$8</f>
        <v>174.831088313623</v>
      </c>
    </row>
    <row r="1027" customFormat="false" ht="15" hidden="false" customHeight="false" outlineLevel="0" collapsed="false">
      <c r="A1027" s="12" t="n">
        <v>2077.154</v>
      </c>
      <c r="B1027" s="13" t="n">
        <f aca="false">A1027-$A$2</f>
        <v>51.2729999999999</v>
      </c>
      <c r="C1027" s="14" t="n">
        <v>475.87</v>
      </c>
      <c r="D1027" s="13" t="n">
        <f aca="false">C1027*Config!$B$8</f>
        <v>169.792995766861</v>
      </c>
    </row>
    <row r="1028" customFormat="false" ht="15" hidden="false" customHeight="false" outlineLevel="0" collapsed="false">
      <c r="A1028" s="12" t="n">
        <v>2077.204</v>
      </c>
      <c r="B1028" s="13" t="n">
        <f aca="false">A1028-$A$2</f>
        <v>51.3230000000001</v>
      </c>
      <c r="C1028" s="14" t="n">
        <v>478.63</v>
      </c>
      <c r="D1028" s="13" t="n">
        <f aca="false">C1028*Config!$B$8</f>
        <v>170.777778729259</v>
      </c>
    </row>
    <row r="1029" customFormat="false" ht="15" hidden="false" customHeight="false" outlineLevel="0" collapsed="false">
      <c r="A1029" s="12" t="n">
        <v>2077.254</v>
      </c>
      <c r="B1029" s="13" t="n">
        <f aca="false">A1029-$A$2</f>
        <v>51.3729999999998</v>
      </c>
      <c r="C1029" s="14" t="n">
        <v>459.06</v>
      </c>
      <c r="D1029" s="13" t="n">
        <f aca="false">C1029*Config!$B$8</f>
        <v>163.79509663718</v>
      </c>
    </row>
    <row r="1030" customFormat="false" ht="15" hidden="false" customHeight="false" outlineLevel="0" collapsed="false">
      <c r="A1030" s="12" t="n">
        <v>2077.304</v>
      </c>
      <c r="B1030" s="13" t="n">
        <f aca="false">A1030-$A$2</f>
        <v>51.423</v>
      </c>
      <c r="C1030" s="14" t="n">
        <v>449.55</v>
      </c>
      <c r="D1030" s="13" t="n">
        <f aca="false">C1030*Config!$B$8</f>
        <v>160.40187708196</v>
      </c>
    </row>
    <row r="1031" customFormat="false" ht="15" hidden="false" customHeight="false" outlineLevel="0" collapsed="false">
      <c r="A1031" s="12" t="n">
        <v>2077.355</v>
      </c>
      <c r="B1031" s="13" t="n">
        <f aca="false">A1031-$A$2</f>
        <v>51.4739999999999</v>
      </c>
      <c r="C1031" s="14" t="n">
        <v>481.99</v>
      </c>
      <c r="D1031" s="13" t="n">
        <f aca="false">C1031*Config!$B$8</f>
        <v>171.976644944353</v>
      </c>
    </row>
    <row r="1032" customFormat="false" ht="15" hidden="false" customHeight="false" outlineLevel="0" collapsed="false">
      <c r="A1032" s="12" t="n">
        <v>2077.405</v>
      </c>
      <c r="B1032" s="13" t="n">
        <f aca="false">A1032-$A$2</f>
        <v>51.5240000000001</v>
      </c>
      <c r="C1032" s="14" t="n">
        <v>468.84</v>
      </c>
      <c r="D1032" s="13" t="n">
        <f aca="false">C1032*Config!$B$8</f>
        <v>167.284653656114</v>
      </c>
    </row>
    <row r="1033" customFormat="false" ht="15" hidden="false" customHeight="false" outlineLevel="0" collapsed="false">
      <c r="A1033" s="12" t="n">
        <v>2077.455</v>
      </c>
      <c r="B1033" s="13" t="n">
        <f aca="false">A1033-$A$2</f>
        <v>51.5739999999998</v>
      </c>
      <c r="C1033" s="14" t="n">
        <v>453.16</v>
      </c>
      <c r="D1033" s="13" t="n">
        <f aca="false">C1033*Config!$B$8</f>
        <v>161.689944652343</v>
      </c>
    </row>
    <row r="1034" customFormat="false" ht="15" hidden="false" customHeight="false" outlineLevel="0" collapsed="false">
      <c r="A1034" s="12" t="n">
        <v>2077.505</v>
      </c>
      <c r="B1034" s="13" t="n">
        <f aca="false">A1034-$A$2</f>
        <v>51.624</v>
      </c>
      <c r="C1034" s="14" t="n">
        <v>474.25</v>
      </c>
      <c r="D1034" s="13" t="n">
        <f aca="false">C1034*Config!$B$8</f>
        <v>169.214970984583</v>
      </c>
    </row>
    <row r="1035" customFormat="false" ht="15" hidden="false" customHeight="false" outlineLevel="0" collapsed="false">
      <c r="A1035" s="12" t="n">
        <v>2077.555</v>
      </c>
      <c r="B1035" s="13" t="n">
        <f aca="false">A1035-$A$2</f>
        <v>51.6739999999998</v>
      </c>
      <c r="C1035" s="14" t="n">
        <v>448.57</v>
      </c>
      <c r="D1035" s="13" t="n">
        <f aca="false">C1035*Config!$B$8</f>
        <v>160.052207769224</v>
      </c>
    </row>
    <row r="1036" customFormat="false" ht="15" hidden="false" customHeight="false" outlineLevel="0" collapsed="false">
      <c r="A1036" s="12" t="n">
        <v>2077.605</v>
      </c>
      <c r="B1036" s="13" t="n">
        <f aca="false">A1036-$A$2</f>
        <v>51.7239999999999</v>
      </c>
      <c r="C1036" s="14" t="n">
        <v>470.01</v>
      </c>
      <c r="D1036" s="13" t="n">
        <f aca="false">C1036*Config!$B$8</f>
        <v>167.70211599887</v>
      </c>
    </row>
    <row r="1037" customFormat="false" ht="15" hidden="false" customHeight="false" outlineLevel="0" collapsed="false">
      <c r="A1037" s="12" t="n">
        <v>2077.655</v>
      </c>
      <c r="B1037" s="13" t="n">
        <f aca="false">A1037-$A$2</f>
        <v>51.7740000000001</v>
      </c>
      <c r="C1037" s="14" t="n">
        <v>474.57</v>
      </c>
      <c r="D1037" s="13" t="n">
        <f aca="false">C1037*Config!$B$8</f>
        <v>169.329148719354</v>
      </c>
    </row>
    <row r="1038" customFormat="false" ht="15" hidden="false" customHeight="false" outlineLevel="0" collapsed="false">
      <c r="A1038" s="12" t="n">
        <v>2077.705</v>
      </c>
      <c r="B1038" s="13" t="n">
        <f aca="false">A1038-$A$2</f>
        <v>51.8239999999998</v>
      </c>
      <c r="C1038" s="14" t="n">
        <v>466.8</v>
      </c>
      <c r="D1038" s="13" t="n">
        <f aca="false">C1038*Config!$B$8</f>
        <v>166.55677059695</v>
      </c>
    </row>
    <row r="1039" customFormat="false" ht="15" hidden="false" customHeight="false" outlineLevel="0" collapsed="false">
      <c r="A1039" s="12" t="n">
        <v>2077.755</v>
      </c>
      <c r="B1039" s="13" t="n">
        <f aca="false">A1039-$A$2</f>
        <v>51.874</v>
      </c>
      <c r="C1039" s="14" t="n">
        <v>459.06</v>
      </c>
      <c r="D1039" s="13" t="n">
        <f aca="false">C1039*Config!$B$8</f>
        <v>163.79509663718</v>
      </c>
    </row>
    <row r="1040" customFormat="false" ht="15" hidden="false" customHeight="false" outlineLevel="0" collapsed="false">
      <c r="A1040" s="12" t="n">
        <v>2077.805</v>
      </c>
      <c r="B1040" s="13" t="n">
        <f aca="false">A1040-$A$2</f>
        <v>51.9239999999998</v>
      </c>
      <c r="C1040" s="14" t="n">
        <v>472.17</v>
      </c>
      <c r="D1040" s="13" t="n">
        <f aca="false">C1040*Config!$B$8</f>
        <v>168.472815708573</v>
      </c>
    </row>
    <row r="1041" customFormat="false" ht="15" hidden="false" customHeight="false" outlineLevel="0" collapsed="false">
      <c r="A1041" s="12" t="n">
        <v>2077.855</v>
      </c>
      <c r="B1041" s="13" t="n">
        <f aca="false">A1041-$A$2</f>
        <v>51.9739999999999</v>
      </c>
      <c r="C1041" s="14" t="n">
        <v>458.6</v>
      </c>
      <c r="D1041" s="13" t="n">
        <f aca="false">C1041*Config!$B$8</f>
        <v>163.630966143447</v>
      </c>
    </row>
    <row r="1042" customFormat="false" ht="15" hidden="false" customHeight="false" outlineLevel="0" collapsed="false">
      <c r="A1042" s="12" t="n">
        <v>2077.905</v>
      </c>
      <c r="B1042" s="13" t="n">
        <f aca="false">A1042-$A$2</f>
        <v>52.0240000000001</v>
      </c>
      <c r="C1042" s="14" t="n">
        <v>463.29</v>
      </c>
      <c r="D1042" s="13" t="n">
        <f aca="false">C1042*Config!$B$8</f>
        <v>165.304383568682</v>
      </c>
    </row>
    <row r="1043" customFormat="false" ht="15" hidden="false" customHeight="false" outlineLevel="0" collapsed="false">
      <c r="A1043" s="12" t="n">
        <v>2077.955</v>
      </c>
      <c r="B1043" s="13" t="n">
        <f aca="false">A1043-$A$2</f>
        <v>52.0739999999998</v>
      </c>
      <c r="C1043" s="14" t="n">
        <v>469.4</v>
      </c>
      <c r="D1043" s="13" t="n">
        <f aca="false">C1043*Config!$B$8</f>
        <v>167.484464691963</v>
      </c>
    </row>
    <row r="1044" customFormat="false" ht="15" hidden="false" customHeight="false" outlineLevel="0" collapsed="false">
      <c r="A1044" s="12" t="n">
        <v>2078.005</v>
      </c>
      <c r="B1044" s="13" t="n">
        <f aca="false">A1044-$A$2</f>
        <v>52.124</v>
      </c>
      <c r="C1044" s="14" t="n">
        <v>482.36</v>
      </c>
      <c r="D1044" s="13" t="n">
        <f aca="false">C1044*Config!$B$8</f>
        <v>172.108662950181</v>
      </c>
    </row>
    <row r="1045" customFormat="false" ht="15" hidden="false" customHeight="false" outlineLevel="0" collapsed="false">
      <c r="A1045" s="12" t="n">
        <v>2078.055</v>
      </c>
      <c r="B1045" s="13" t="n">
        <f aca="false">A1045-$A$2</f>
        <v>52.1739999999998</v>
      </c>
      <c r="C1045" s="14" t="n">
        <v>457.7</v>
      </c>
      <c r="D1045" s="13" t="n">
        <f aca="false">C1045*Config!$B$8</f>
        <v>163.309841264404</v>
      </c>
    </row>
    <row r="1046" customFormat="false" ht="15" hidden="false" customHeight="false" outlineLevel="0" collapsed="false">
      <c r="A1046" s="12" t="n">
        <v>2078.105</v>
      </c>
      <c r="B1046" s="13" t="n">
        <f aca="false">A1046-$A$2</f>
        <v>52.2239999999999</v>
      </c>
      <c r="C1046" s="14" t="n">
        <v>453.63</v>
      </c>
      <c r="D1046" s="13" t="n">
        <f aca="false">C1046*Config!$B$8</f>
        <v>161.857643200288</v>
      </c>
    </row>
    <row r="1047" customFormat="false" ht="15" hidden="false" customHeight="false" outlineLevel="0" collapsed="false">
      <c r="A1047" s="12" t="n">
        <v>2078.155</v>
      </c>
      <c r="B1047" s="13" t="n">
        <f aca="false">A1047-$A$2</f>
        <v>52.2740000000001</v>
      </c>
      <c r="C1047" s="14" t="n">
        <v>473.65</v>
      </c>
      <c r="D1047" s="13" t="n">
        <f aca="false">C1047*Config!$B$8</f>
        <v>169.000887731888</v>
      </c>
    </row>
    <row r="1048" customFormat="false" ht="15" hidden="false" customHeight="false" outlineLevel="0" collapsed="false">
      <c r="A1048" s="12" t="n">
        <v>2078.205</v>
      </c>
      <c r="B1048" s="13" t="n">
        <f aca="false">A1048-$A$2</f>
        <v>52.3239999999998</v>
      </c>
      <c r="C1048" s="14" t="n">
        <v>454.79</v>
      </c>
      <c r="D1048" s="13" t="n">
        <f aca="false">C1048*Config!$B$8</f>
        <v>162.271537488832</v>
      </c>
    </row>
    <row r="1049" customFormat="false" ht="15" hidden="false" customHeight="false" outlineLevel="0" collapsed="false">
      <c r="A1049" s="12" t="n">
        <v>2078.255</v>
      </c>
      <c r="B1049" s="13" t="n">
        <f aca="false">A1049-$A$2</f>
        <v>52.374</v>
      </c>
      <c r="C1049" s="14" t="n">
        <v>472.33</v>
      </c>
      <c r="D1049" s="13" t="n">
        <f aca="false">C1049*Config!$B$8</f>
        <v>168.529904575958</v>
      </c>
    </row>
    <row r="1050" customFormat="false" ht="15" hidden="false" customHeight="false" outlineLevel="0" collapsed="false">
      <c r="A1050" s="12" t="n">
        <v>2078.305</v>
      </c>
      <c r="B1050" s="13" t="n">
        <f aca="false">A1050-$A$2</f>
        <v>52.4239999999998</v>
      </c>
      <c r="C1050" s="14" t="n">
        <v>443.86</v>
      </c>
      <c r="D1050" s="13" t="n">
        <f aca="false">C1050*Config!$B$8</f>
        <v>158.371654235566</v>
      </c>
    </row>
    <row r="1051" customFormat="false" ht="15" hidden="false" customHeight="false" outlineLevel="0" collapsed="false">
      <c r="A1051" s="12" t="n">
        <v>2078.355</v>
      </c>
      <c r="B1051" s="13" t="n">
        <f aca="false">A1051-$A$2</f>
        <v>52.4739999999999</v>
      </c>
      <c r="C1051" s="14" t="n">
        <v>443.39</v>
      </c>
      <c r="D1051" s="13" t="n">
        <f aca="false">C1051*Config!$B$8</f>
        <v>158.203955687621</v>
      </c>
    </row>
    <row r="1052" customFormat="false" ht="15" hidden="false" customHeight="false" outlineLevel="0" collapsed="false">
      <c r="A1052" s="12" t="n">
        <v>2078.405</v>
      </c>
      <c r="B1052" s="13" t="n">
        <f aca="false">A1052-$A$2</f>
        <v>52.5240000000001</v>
      </c>
      <c r="C1052" s="14" t="n">
        <v>468.06</v>
      </c>
      <c r="D1052" s="13" t="n">
        <f aca="false">C1052*Config!$B$8</f>
        <v>167.00634542761</v>
      </c>
    </row>
    <row r="1053" customFormat="false" ht="15" hidden="false" customHeight="false" outlineLevel="0" collapsed="false">
      <c r="A1053" s="12" t="n">
        <v>2078.455</v>
      </c>
      <c r="B1053" s="13" t="n">
        <f aca="false">A1053-$A$2</f>
        <v>52.5739999999998</v>
      </c>
      <c r="C1053" s="14" t="n">
        <v>455.24</v>
      </c>
      <c r="D1053" s="13" t="n">
        <f aca="false">C1053*Config!$B$8</f>
        <v>162.432099928354</v>
      </c>
    </row>
    <row r="1054" customFormat="false" ht="15" hidden="false" customHeight="false" outlineLevel="0" collapsed="false">
      <c r="A1054" s="12" t="n">
        <v>2078.505</v>
      </c>
      <c r="B1054" s="13" t="n">
        <f aca="false">A1054-$A$2</f>
        <v>52.624</v>
      </c>
      <c r="C1054" s="14" t="n">
        <v>459.61</v>
      </c>
      <c r="D1054" s="13" t="n">
        <f aca="false">C1054*Config!$B$8</f>
        <v>163.991339618818</v>
      </c>
    </row>
    <row r="1055" customFormat="false" ht="15" hidden="false" customHeight="false" outlineLevel="0" collapsed="false">
      <c r="A1055" s="12" t="n">
        <v>2078.555</v>
      </c>
      <c r="B1055" s="13" t="n">
        <f aca="false">A1055-$A$2</f>
        <v>52.6739999999998</v>
      </c>
      <c r="C1055" s="14" t="n">
        <v>444.07</v>
      </c>
      <c r="D1055" s="13" t="n">
        <f aca="false">C1055*Config!$B$8</f>
        <v>158.446583374009</v>
      </c>
    </row>
    <row r="1056" customFormat="false" ht="15" hidden="false" customHeight="false" outlineLevel="0" collapsed="false">
      <c r="A1056" s="12" t="n">
        <v>2078.605</v>
      </c>
      <c r="B1056" s="13" t="n">
        <f aca="false">A1056-$A$2</f>
        <v>52.7239999999999</v>
      </c>
      <c r="C1056" s="14" t="n">
        <v>459.92</v>
      </c>
      <c r="D1056" s="13" t="n">
        <f aca="false">C1056*Config!$B$8</f>
        <v>164.101949299377</v>
      </c>
    </row>
    <row r="1057" customFormat="false" ht="15" hidden="false" customHeight="false" outlineLevel="0" collapsed="false">
      <c r="A1057" s="12" t="n">
        <v>2078.655</v>
      </c>
      <c r="B1057" s="13" t="n">
        <f aca="false">A1057-$A$2</f>
        <v>52.7740000000001</v>
      </c>
      <c r="C1057" s="14" t="n">
        <v>446.79</v>
      </c>
      <c r="D1057" s="13" t="n">
        <f aca="false">C1057*Config!$B$8</f>
        <v>159.417094119561</v>
      </c>
    </row>
    <row r="1058" customFormat="false" ht="15" hidden="false" customHeight="false" outlineLevel="0" collapsed="false">
      <c r="A1058" s="12" t="n">
        <v>2078.705</v>
      </c>
      <c r="B1058" s="13" t="n">
        <f aca="false">A1058-$A$2</f>
        <v>52.8239999999998</v>
      </c>
      <c r="C1058" s="14" t="n">
        <v>457.16</v>
      </c>
      <c r="D1058" s="13" t="n">
        <f aca="false">C1058*Config!$B$8</f>
        <v>163.117166336979</v>
      </c>
    </row>
    <row r="1059" customFormat="false" ht="15" hidden="false" customHeight="false" outlineLevel="0" collapsed="false">
      <c r="A1059" s="12" t="n">
        <v>2078.755</v>
      </c>
      <c r="B1059" s="13" t="n">
        <f aca="false">A1059-$A$2</f>
        <v>52.874</v>
      </c>
      <c r="C1059" s="14" t="n">
        <v>451.82</v>
      </c>
      <c r="D1059" s="13" t="n">
        <f aca="false">C1059*Config!$B$8</f>
        <v>161.21182538799</v>
      </c>
    </row>
    <row r="1060" customFormat="false" ht="15" hidden="false" customHeight="false" outlineLevel="0" collapsed="false">
      <c r="A1060" s="12" t="n">
        <v>2078.806</v>
      </c>
      <c r="B1060" s="13" t="n">
        <f aca="false">A1060-$A$2</f>
        <v>52.925</v>
      </c>
      <c r="C1060" s="14" t="n">
        <v>453.22</v>
      </c>
      <c r="D1060" s="13" t="n">
        <f aca="false">C1060*Config!$B$8</f>
        <v>161.711352977613</v>
      </c>
    </row>
    <row r="1061" customFormat="false" ht="15" hidden="false" customHeight="false" outlineLevel="0" collapsed="false">
      <c r="A1061" s="12" t="n">
        <v>2078.856</v>
      </c>
      <c r="B1061" s="13" t="n">
        <f aca="false">A1061-$A$2</f>
        <v>52.9750000000001</v>
      </c>
      <c r="C1061" s="14" t="n">
        <v>472.07</v>
      </c>
      <c r="D1061" s="13" t="n">
        <f aca="false">C1061*Config!$B$8</f>
        <v>168.437135166457</v>
      </c>
    </row>
    <row r="1062" customFormat="false" ht="15" hidden="false" customHeight="false" outlineLevel="0" collapsed="false">
      <c r="A1062" s="12" t="n">
        <v>2078.906</v>
      </c>
      <c r="B1062" s="13" t="n">
        <f aca="false">A1062-$A$2</f>
        <v>53.0249999999999</v>
      </c>
      <c r="C1062" s="14" t="n">
        <v>448.74</v>
      </c>
      <c r="D1062" s="13" t="n">
        <f aca="false">C1062*Config!$B$8</f>
        <v>160.112864690821</v>
      </c>
    </row>
    <row r="1063" customFormat="false" ht="15" hidden="false" customHeight="false" outlineLevel="0" collapsed="false">
      <c r="A1063" s="12" t="n">
        <v>2078.956</v>
      </c>
      <c r="B1063" s="13" t="n">
        <f aca="false">A1063-$A$2</f>
        <v>53.075</v>
      </c>
      <c r="C1063" s="14" t="n">
        <v>462.5</v>
      </c>
      <c r="D1063" s="13" t="n">
        <f aca="false">C1063*Config!$B$8</f>
        <v>165.022507285967</v>
      </c>
    </row>
    <row r="1064" customFormat="false" ht="15" hidden="false" customHeight="false" outlineLevel="0" collapsed="false">
      <c r="A1064" s="12" t="n">
        <v>2079.006</v>
      </c>
      <c r="B1064" s="13" t="n">
        <f aca="false">A1064-$A$2</f>
        <v>53.1249999999998</v>
      </c>
      <c r="C1064" s="14" t="n">
        <v>465.81</v>
      </c>
      <c r="D1064" s="13" t="n">
        <f aca="false">C1064*Config!$B$8</f>
        <v>166.203533230003</v>
      </c>
    </row>
    <row r="1065" customFormat="false" ht="15" hidden="false" customHeight="false" outlineLevel="0" collapsed="false">
      <c r="A1065" s="12" t="n">
        <v>2079.056</v>
      </c>
      <c r="B1065" s="13" t="n">
        <f aca="false">A1065-$A$2</f>
        <v>53.175</v>
      </c>
      <c r="C1065" s="14" t="n">
        <v>463.3</v>
      </c>
      <c r="D1065" s="13" t="n">
        <f aca="false">C1065*Config!$B$8</f>
        <v>165.307951622894</v>
      </c>
    </row>
    <row r="1066" customFormat="false" ht="15" hidden="false" customHeight="false" outlineLevel="0" collapsed="false">
      <c r="A1066" s="12" t="n">
        <v>2079.106</v>
      </c>
      <c r="B1066" s="13" t="n">
        <f aca="false">A1066-$A$2</f>
        <v>53.2250000000001</v>
      </c>
      <c r="C1066" s="14" t="n">
        <v>459.93</v>
      </c>
      <c r="D1066" s="13" t="n">
        <f aca="false">C1066*Config!$B$8</f>
        <v>164.105517353589</v>
      </c>
    </row>
    <row r="1067" customFormat="false" ht="15" hidden="false" customHeight="false" outlineLevel="0" collapsed="false">
      <c r="A1067" s="12" t="n">
        <v>2079.156</v>
      </c>
      <c r="B1067" s="13" t="n">
        <f aca="false">A1067-$A$2</f>
        <v>53.2749999999999</v>
      </c>
      <c r="C1067" s="14" t="n">
        <v>459.11</v>
      </c>
      <c r="D1067" s="13" t="n">
        <f aca="false">C1067*Config!$B$8</f>
        <v>163.812936908238</v>
      </c>
    </row>
    <row r="1068" customFormat="false" ht="15" hidden="false" customHeight="false" outlineLevel="0" collapsed="false">
      <c r="A1068" s="12" t="n">
        <v>2079.206</v>
      </c>
      <c r="B1068" s="13" t="n">
        <f aca="false">A1068-$A$2</f>
        <v>53.325</v>
      </c>
      <c r="C1068" s="14" t="n">
        <v>471.34</v>
      </c>
      <c r="D1068" s="13" t="n">
        <f aca="false">C1068*Config!$B$8</f>
        <v>168.176667209011</v>
      </c>
    </row>
    <row r="1069" customFormat="false" ht="15" hidden="false" customHeight="false" outlineLevel="0" collapsed="false">
      <c r="A1069" s="12" t="n">
        <v>2079.256</v>
      </c>
      <c r="B1069" s="13" t="n">
        <f aca="false">A1069-$A$2</f>
        <v>53.3749999999998</v>
      </c>
      <c r="C1069" s="14" t="n">
        <v>466.07</v>
      </c>
      <c r="D1069" s="13" t="n">
        <f aca="false">C1069*Config!$B$8</f>
        <v>166.296302639504</v>
      </c>
    </row>
    <row r="1070" customFormat="false" ht="15" hidden="false" customHeight="false" outlineLevel="0" collapsed="false">
      <c r="A1070" s="12" t="n">
        <v>2079.306</v>
      </c>
      <c r="B1070" s="13" t="n">
        <f aca="false">A1070-$A$2</f>
        <v>53.425</v>
      </c>
      <c r="C1070" s="14" t="n">
        <v>468.37</v>
      </c>
      <c r="D1070" s="13" t="n">
        <f aca="false">C1070*Config!$B$8</f>
        <v>167.116955108169</v>
      </c>
    </row>
    <row r="1071" customFormat="false" ht="15" hidden="false" customHeight="false" outlineLevel="0" collapsed="false">
      <c r="A1071" s="12" t="n">
        <v>2079.356</v>
      </c>
      <c r="B1071" s="13" t="n">
        <f aca="false">A1071-$A$2</f>
        <v>53.4750000000001</v>
      </c>
      <c r="C1071" s="14" t="n">
        <v>466.35</v>
      </c>
      <c r="D1071" s="13" t="n">
        <f aca="false">C1071*Config!$B$8</f>
        <v>166.396208157428</v>
      </c>
    </row>
    <row r="1072" customFormat="false" ht="15" hidden="false" customHeight="false" outlineLevel="0" collapsed="false">
      <c r="A1072" s="12" t="n">
        <v>2079.406</v>
      </c>
      <c r="B1072" s="13" t="n">
        <f aca="false">A1072-$A$2</f>
        <v>53.5249999999999</v>
      </c>
      <c r="C1072" s="14" t="n">
        <v>448.92</v>
      </c>
      <c r="D1072" s="13" t="n">
        <f aca="false">C1072*Config!$B$8</f>
        <v>160.17708966663</v>
      </c>
    </row>
    <row r="1073" customFormat="false" ht="15" hidden="false" customHeight="false" outlineLevel="0" collapsed="false">
      <c r="A1073" s="12" t="n">
        <v>2079.456</v>
      </c>
      <c r="B1073" s="13" t="n">
        <f aca="false">A1073-$A$2</f>
        <v>53.575</v>
      </c>
      <c r="C1073" s="14" t="n">
        <v>462.67</v>
      </c>
      <c r="D1073" s="13" t="n">
        <f aca="false">C1073*Config!$B$8</f>
        <v>165.083164207564</v>
      </c>
    </row>
    <row r="1074" customFormat="false" ht="15" hidden="false" customHeight="false" outlineLevel="0" collapsed="false">
      <c r="A1074" s="12" t="n">
        <v>2079.506</v>
      </c>
      <c r="B1074" s="13" t="n">
        <f aca="false">A1074-$A$2</f>
        <v>53.6249999999998</v>
      </c>
      <c r="C1074" s="14" t="n">
        <v>450.87</v>
      </c>
      <c r="D1074" s="13" t="n">
        <f aca="false">C1074*Config!$B$8</f>
        <v>160.872860237889</v>
      </c>
    </row>
    <row r="1075" customFormat="false" ht="15" hidden="false" customHeight="false" outlineLevel="0" collapsed="false">
      <c r="A1075" s="12" t="n">
        <v>2079.556</v>
      </c>
      <c r="B1075" s="13" t="n">
        <f aca="false">A1075-$A$2</f>
        <v>53.675</v>
      </c>
      <c r="C1075" s="14" t="n">
        <v>450.54</v>
      </c>
      <c r="D1075" s="13" t="n">
        <f aca="false">C1075*Config!$B$8</f>
        <v>160.755114448907</v>
      </c>
    </row>
    <row r="1076" customFormat="false" ht="15" hidden="false" customHeight="false" outlineLevel="0" collapsed="false">
      <c r="A1076" s="12" t="n">
        <v>2079.606</v>
      </c>
      <c r="B1076" s="13" t="n">
        <f aca="false">A1076-$A$2</f>
        <v>53.7250000000001</v>
      </c>
      <c r="C1076" s="14" t="n">
        <v>446.86</v>
      </c>
      <c r="D1076" s="13" t="n">
        <f aca="false">C1076*Config!$B$8</f>
        <v>159.442070499042</v>
      </c>
    </row>
    <row r="1077" customFormat="false" ht="15" hidden="false" customHeight="false" outlineLevel="0" collapsed="false">
      <c r="A1077" s="12" t="n">
        <v>2079.656</v>
      </c>
      <c r="B1077" s="13" t="n">
        <f aca="false">A1077-$A$2</f>
        <v>53.7749999999999</v>
      </c>
      <c r="C1077" s="14" t="n">
        <v>453.65</v>
      </c>
      <c r="D1077" s="13" t="n">
        <f aca="false">C1077*Config!$B$8</f>
        <v>161.864779308711</v>
      </c>
    </row>
    <row r="1078" customFormat="false" ht="15" hidden="false" customHeight="false" outlineLevel="0" collapsed="false">
      <c r="A1078" s="12" t="n">
        <v>2079.706</v>
      </c>
      <c r="B1078" s="13" t="n">
        <f aca="false">A1078-$A$2</f>
        <v>53.825</v>
      </c>
      <c r="C1078" s="14" t="n">
        <v>436.79</v>
      </c>
      <c r="D1078" s="13" t="n">
        <f aca="false">C1078*Config!$B$8</f>
        <v>155.849039907973</v>
      </c>
    </row>
    <row r="1079" customFormat="false" ht="15" hidden="false" customHeight="false" outlineLevel="0" collapsed="false">
      <c r="A1079" s="12" t="n">
        <v>2079.756</v>
      </c>
      <c r="B1079" s="13" t="n">
        <f aca="false">A1079-$A$2</f>
        <v>53.8749999999998</v>
      </c>
      <c r="C1079" s="14" t="n">
        <v>448.65</v>
      </c>
      <c r="D1079" s="13" t="n">
        <f aca="false">C1079*Config!$B$8</f>
        <v>160.080752202917</v>
      </c>
    </row>
    <row r="1080" customFormat="false" ht="15" hidden="false" customHeight="false" outlineLevel="0" collapsed="false">
      <c r="A1080" s="12" t="n">
        <v>2079.806</v>
      </c>
      <c r="B1080" s="13" t="n">
        <f aca="false">A1080-$A$2</f>
        <v>53.925</v>
      </c>
      <c r="C1080" s="14" t="n">
        <v>445.38</v>
      </c>
      <c r="D1080" s="13" t="n">
        <f aca="false">C1080*Config!$B$8</f>
        <v>158.913998475727</v>
      </c>
    </row>
    <row r="1081" customFormat="false" ht="15" hidden="false" customHeight="false" outlineLevel="0" collapsed="false">
      <c r="A1081" s="12" t="n">
        <v>2079.856</v>
      </c>
      <c r="B1081" s="13" t="n">
        <f aca="false">A1081-$A$2</f>
        <v>53.9750000000001</v>
      </c>
      <c r="C1081" s="14" t="n">
        <v>459.44</v>
      </c>
      <c r="D1081" s="13" t="n">
        <f aca="false">C1081*Config!$B$8</f>
        <v>163.930682697221</v>
      </c>
    </row>
    <row r="1082" customFormat="false" ht="15" hidden="false" customHeight="false" outlineLevel="0" collapsed="false">
      <c r="A1082" s="12" t="n">
        <v>2079.906</v>
      </c>
      <c r="B1082" s="13" t="n">
        <f aca="false">A1082-$A$2</f>
        <v>54.0249999999999</v>
      </c>
      <c r="C1082" s="14" t="n">
        <v>436.53</v>
      </c>
      <c r="D1082" s="13" t="n">
        <f aca="false">C1082*Config!$B$8</f>
        <v>155.756270498471</v>
      </c>
    </row>
    <row r="1083" customFormat="false" ht="15" hidden="false" customHeight="false" outlineLevel="0" collapsed="false">
      <c r="A1083" s="12" t="n">
        <v>2079.956</v>
      </c>
      <c r="B1083" s="13" t="n">
        <f aca="false">A1083-$A$2</f>
        <v>54.075</v>
      </c>
      <c r="C1083" s="14" t="n">
        <v>445.19</v>
      </c>
      <c r="D1083" s="13" t="n">
        <f aca="false">C1083*Config!$B$8</f>
        <v>158.846205445707</v>
      </c>
    </row>
    <row r="1084" customFormat="false" ht="15" hidden="false" customHeight="false" outlineLevel="0" collapsed="false">
      <c r="A1084" s="12" t="n">
        <v>2080.006</v>
      </c>
      <c r="B1084" s="13" t="n">
        <f aca="false">A1084-$A$2</f>
        <v>54.1249999999998</v>
      </c>
      <c r="C1084" s="14" t="n">
        <v>444.55</v>
      </c>
      <c r="D1084" s="13" t="n">
        <f aca="false">C1084*Config!$B$8</f>
        <v>158.617849976165</v>
      </c>
    </row>
    <row r="1085" customFormat="false" ht="15" hidden="false" customHeight="false" outlineLevel="0" collapsed="false">
      <c r="A1085" s="12" t="n">
        <v>2080.056</v>
      </c>
      <c r="B1085" s="13" t="n">
        <f aca="false">A1085-$A$2</f>
        <v>54.175</v>
      </c>
      <c r="C1085" s="14" t="n">
        <v>456.32</v>
      </c>
      <c r="D1085" s="13" t="n">
        <f aca="false">C1085*Config!$B$8</f>
        <v>162.817449783205</v>
      </c>
    </row>
    <row r="1086" customFormat="false" ht="15" hidden="false" customHeight="false" outlineLevel="0" collapsed="false">
      <c r="A1086" s="12" t="n">
        <v>2080.106</v>
      </c>
      <c r="B1086" s="13" t="n">
        <f aca="false">A1086-$A$2</f>
        <v>54.2250000000001</v>
      </c>
      <c r="C1086" s="14" t="n">
        <v>453.94</v>
      </c>
      <c r="D1086" s="13" t="n">
        <f aca="false">C1086*Config!$B$8</f>
        <v>161.968252880847</v>
      </c>
    </row>
    <row r="1087" customFormat="false" ht="15" hidden="false" customHeight="false" outlineLevel="0" collapsed="false">
      <c r="A1087" s="12" t="n">
        <v>2080.156</v>
      </c>
      <c r="B1087" s="13" t="n">
        <f aca="false">A1087-$A$2</f>
        <v>54.2749999999999</v>
      </c>
      <c r="C1087" s="14" t="n">
        <v>464.8</v>
      </c>
      <c r="D1087" s="13" t="n">
        <f aca="false">C1087*Config!$B$8</f>
        <v>165.843159754632</v>
      </c>
    </row>
    <row r="1088" customFormat="false" ht="15" hidden="false" customHeight="false" outlineLevel="0" collapsed="false">
      <c r="A1088" s="12" t="n">
        <v>2080.206</v>
      </c>
      <c r="B1088" s="13" t="n">
        <f aca="false">A1088-$A$2</f>
        <v>54.325</v>
      </c>
      <c r="C1088" s="14" t="n">
        <v>453.09</v>
      </c>
      <c r="D1088" s="13" t="n">
        <f aca="false">C1088*Config!$B$8</f>
        <v>161.664968272862</v>
      </c>
    </row>
    <row r="1089" customFormat="false" ht="15" hidden="false" customHeight="false" outlineLevel="0" collapsed="false">
      <c r="A1089" s="12" t="n">
        <v>2080.256</v>
      </c>
      <c r="B1089" s="13" t="n">
        <f aca="false">A1089-$A$2</f>
        <v>54.3749999999998</v>
      </c>
      <c r="C1089" s="14" t="n">
        <v>450.32</v>
      </c>
      <c r="D1089" s="13" t="n">
        <f aca="false">C1089*Config!$B$8</f>
        <v>160.676617256252</v>
      </c>
    </row>
    <row r="1090" customFormat="false" ht="15" hidden="false" customHeight="false" outlineLevel="0" collapsed="false">
      <c r="A1090" s="12" t="n">
        <v>2080.306</v>
      </c>
      <c r="B1090" s="13" t="n">
        <f aca="false">A1090-$A$2</f>
        <v>54.425</v>
      </c>
      <c r="C1090" s="14" t="n">
        <v>457.05</v>
      </c>
      <c r="D1090" s="13" t="n">
        <f aca="false">C1090*Config!$B$8</f>
        <v>163.077917740651</v>
      </c>
    </row>
    <row r="1091" customFormat="false" ht="15" hidden="false" customHeight="false" outlineLevel="0" collapsed="false">
      <c r="A1091" s="12" t="n">
        <v>2080.356</v>
      </c>
      <c r="B1091" s="13" t="n">
        <f aca="false">A1091-$A$2</f>
        <v>54.4750000000001</v>
      </c>
      <c r="C1091" s="14" t="n">
        <v>462.75</v>
      </c>
      <c r="D1091" s="13" t="n">
        <f aca="false">C1091*Config!$B$8</f>
        <v>165.111708641256</v>
      </c>
    </row>
    <row r="1092" customFormat="false" ht="15" hidden="false" customHeight="false" outlineLevel="0" collapsed="false">
      <c r="A1092" s="12" t="n">
        <v>2080.406</v>
      </c>
      <c r="B1092" s="13" t="n">
        <f aca="false">A1092-$A$2</f>
        <v>54.5249999999999</v>
      </c>
      <c r="C1092" s="14" t="n">
        <v>451.53</v>
      </c>
      <c r="D1092" s="13" t="n">
        <f aca="false">C1092*Config!$B$8</f>
        <v>161.108351815854</v>
      </c>
    </row>
    <row r="1093" customFormat="false" ht="15" hidden="false" customHeight="false" outlineLevel="0" collapsed="false">
      <c r="A1093" s="12" t="n">
        <v>2080.456</v>
      </c>
      <c r="B1093" s="13" t="n">
        <f aca="false">A1093-$A$2</f>
        <v>54.575</v>
      </c>
      <c r="C1093" s="14" t="n">
        <v>450.16</v>
      </c>
      <c r="D1093" s="13" t="n">
        <f aca="false">C1093*Config!$B$8</f>
        <v>160.619528388867</v>
      </c>
    </row>
    <row r="1094" customFormat="false" ht="15" hidden="false" customHeight="false" outlineLevel="0" collapsed="false">
      <c r="A1094" s="12" t="n">
        <v>2080.506</v>
      </c>
      <c r="B1094" s="13" t="n">
        <f aca="false">A1094-$A$2</f>
        <v>54.6249999999998</v>
      </c>
      <c r="C1094" s="14" t="n">
        <v>455.72</v>
      </c>
      <c r="D1094" s="13" t="n">
        <f aca="false">C1094*Config!$B$8</f>
        <v>162.60336653051</v>
      </c>
    </row>
    <row r="1095" customFormat="false" ht="15" hidden="false" customHeight="false" outlineLevel="0" collapsed="false">
      <c r="A1095" s="12" t="n">
        <v>2080.556</v>
      </c>
      <c r="B1095" s="13" t="n">
        <f aca="false">A1095-$A$2</f>
        <v>54.675</v>
      </c>
      <c r="C1095" s="14" t="n">
        <v>461.14</v>
      </c>
      <c r="D1095" s="13" t="n">
        <f aca="false">C1095*Config!$B$8</f>
        <v>164.537251913191</v>
      </c>
    </row>
    <row r="1096" customFormat="false" ht="15" hidden="false" customHeight="false" outlineLevel="0" collapsed="false">
      <c r="A1096" s="12" t="n">
        <v>2080.606</v>
      </c>
      <c r="B1096" s="13" t="n">
        <f aca="false">A1096-$A$2</f>
        <v>54.7250000000001</v>
      </c>
      <c r="C1096" s="14" t="n">
        <v>444.51</v>
      </c>
      <c r="D1096" s="13" t="n">
        <f aca="false">C1096*Config!$B$8</f>
        <v>158.603577759319</v>
      </c>
    </row>
    <row r="1097" customFormat="false" ht="15" hidden="false" customHeight="false" outlineLevel="0" collapsed="false">
      <c r="A1097" s="12" t="n">
        <v>2080.656</v>
      </c>
      <c r="B1097" s="13" t="n">
        <f aca="false">A1097-$A$2</f>
        <v>54.7749999999999</v>
      </c>
      <c r="C1097" s="14" t="n">
        <v>452.86</v>
      </c>
      <c r="D1097" s="13" t="n">
        <f aca="false">C1097*Config!$B$8</f>
        <v>161.582903025995</v>
      </c>
    </row>
    <row r="1098" customFormat="false" ht="15" hidden="false" customHeight="false" outlineLevel="0" collapsed="false">
      <c r="A1098" s="12" t="n">
        <v>2080.706</v>
      </c>
      <c r="B1098" s="13" t="n">
        <f aca="false">A1098-$A$2</f>
        <v>54.825</v>
      </c>
      <c r="C1098" s="14" t="n">
        <v>432.63</v>
      </c>
      <c r="D1098" s="13" t="n">
        <f aca="false">C1098*Config!$B$8</f>
        <v>154.364729355952</v>
      </c>
    </row>
    <row r="1099" customFormat="false" ht="15" hidden="false" customHeight="false" outlineLevel="0" collapsed="false">
      <c r="A1099" s="12" t="n">
        <v>2080.756</v>
      </c>
      <c r="B1099" s="13" t="n">
        <f aca="false">A1099-$A$2</f>
        <v>54.8749999999998</v>
      </c>
      <c r="C1099" s="14" t="n">
        <v>451.42</v>
      </c>
      <c r="D1099" s="13" t="n">
        <f aca="false">C1099*Config!$B$8</f>
        <v>161.069103219527</v>
      </c>
    </row>
    <row r="1100" customFormat="false" ht="15" hidden="false" customHeight="false" outlineLevel="0" collapsed="false">
      <c r="A1100" s="12" t="n">
        <v>2080.806</v>
      </c>
      <c r="B1100" s="13" t="n">
        <f aca="false">A1100-$A$2</f>
        <v>54.925</v>
      </c>
      <c r="C1100" s="14" t="n">
        <v>453.63</v>
      </c>
      <c r="D1100" s="13" t="n">
        <f aca="false">C1100*Config!$B$8</f>
        <v>161.857643200288</v>
      </c>
    </row>
    <row r="1101" customFormat="false" ht="15" hidden="false" customHeight="false" outlineLevel="0" collapsed="false">
      <c r="A1101" s="12" t="n">
        <v>2080.856</v>
      </c>
      <c r="B1101" s="13" t="n">
        <f aca="false">A1101-$A$2</f>
        <v>54.9750000000001</v>
      </c>
      <c r="C1101" s="14" t="n">
        <v>432.05</v>
      </c>
      <c r="D1101" s="13" t="n">
        <f aca="false">C1101*Config!$B$8</f>
        <v>154.15778221168</v>
      </c>
    </row>
    <row r="1102" customFormat="false" ht="15" hidden="false" customHeight="false" outlineLevel="0" collapsed="false">
      <c r="A1102" s="12" t="n">
        <v>2080.906</v>
      </c>
      <c r="B1102" s="13" t="n">
        <f aca="false">A1102-$A$2</f>
        <v>55.0249999999999</v>
      </c>
      <c r="C1102" s="14" t="n">
        <v>437.36</v>
      </c>
      <c r="D1102" s="13" t="n">
        <f aca="false">C1102*Config!$B$8</f>
        <v>156.052418998033</v>
      </c>
    </row>
    <row r="1103" customFormat="false" ht="15" hidden="false" customHeight="false" outlineLevel="0" collapsed="false">
      <c r="A1103" s="12" t="n">
        <v>2080.956</v>
      </c>
      <c r="B1103" s="13" t="n">
        <f aca="false">A1103-$A$2</f>
        <v>55.075</v>
      </c>
      <c r="C1103" s="14" t="n">
        <v>434.19</v>
      </c>
      <c r="D1103" s="13" t="n">
        <f aca="false">C1103*Config!$B$8</f>
        <v>154.92134581296</v>
      </c>
    </row>
    <row r="1104" customFormat="false" ht="15" hidden="false" customHeight="false" outlineLevel="0" collapsed="false">
      <c r="A1104" s="12" t="n">
        <v>2081.006</v>
      </c>
      <c r="B1104" s="13" t="n">
        <f aca="false">A1104-$A$2</f>
        <v>55.1249999999998</v>
      </c>
      <c r="C1104" s="14" t="n">
        <v>446.14</v>
      </c>
      <c r="D1104" s="13" t="n">
        <f aca="false">C1104*Config!$B$8</f>
        <v>159.185170595808</v>
      </c>
    </row>
    <row r="1105" customFormat="false" ht="15" hidden="false" customHeight="false" outlineLevel="0" collapsed="false">
      <c r="A1105" s="12" t="n">
        <v>2081.056</v>
      </c>
      <c r="B1105" s="13" t="n">
        <f aca="false">A1105-$A$2</f>
        <v>55.175</v>
      </c>
      <c r="C1105" s="14" t="n">
        <v>436.34</v>
      </c>
      <c r="D1105" s="13" t="n">
        <f aca="false">C1105*Config!$B$8</f>
        <v>155.688477468451</v>
      </c>
    </row>
    <row r="1106" customFormat="false" ht="15" hidden="false" customHeight="false" outlineLevel="0" collapsed="false">
      <c r="A1106" s="12" t="n">
        <v>2081.106</v>
      </c>
      <c r="B1106" s="13" t="n">
        <f aca="false">A1106-$A$2</f>
        <v>55.2250000000001</v>
      </c>
      <c r="C1106" s="14" t="n">
        <v>445.09</v>
      </c>
      <c r="D1106" s="13" t="n">
        <f aca="false">C1106*Config!$B$8</f>
        <v>158.810524903591</v>
      </c>
    </row>
    <row r="1107" customFormat="false" ht="15" hidden="false" customHeight="false" outlineLevel="0" collapsed="false">
      <c r="A1107" s="12" t="n">
        <v>2081.156</v>
      </c>
      <c r="B1107" s="13" t="n">
        <f aca="false">A1107-$A$2</f>
        <v>55.2749999999999</v>
      </c>
      <c r="C1107" s="14" t="n">
        <v>446.1</v>
      </c>
      <c r="D1107" s="13" t="n">
        <f aca="false">C1107*Config!$B$8</f>
        <v>159.170898378962</v>
      </c>
    </row>
    <row r="1108" customFormat="false" ht="15" hidden="false" customHeight="false" outlineLevel="0" collapsed="false">
      <c r="A1108" s="12" t="n">
        <v>2081.206</v>
      </c>
      <c r="B1108" s="13" t="n">
        <f aca="false">A1108-$A$2</f>
        <v>55.325</v>
      </c>
      <c r="C1108" s="14" t="n">
        <v>439.1</v>
      </c>
      <c r="D1108" s="13" t="n">
        <f aca="false">C1108*Config!$B$8</f>
        <v>156.67326043085</v>
      </c>
    </row>
    <row r="1109" customFormat="false" ht="15" hidden="false" customHeight="false" outlineLevel="0" collapsed="false">
      <c r="A1109" s="12" t="n">
        <v>2081.256</v>
      </c>
      <c r="B1109" s="13" t="n">
        <f aca="false">A1109-$A$2</f>
        <v>55.3749999999998</v>
      </c>
      <c r="C1109" s="14" t="n">
        <v>440.71</v>
      </c>
      <c r="D1109" s="13" t="n">
        <f aca="false">C1109*Config!$B$8</f>
        <v>157.247717158915</v>
      </c>
    </row>
    <row r="1110" customFormat="false" ht="15" hidden="false" customHeight="false" outlineLevel="0" collapsed="false">
      <c r="A1110" s="12" t="n">
        <v>2081.306</v>
      </c>
      <c r="B1110" s="13" t="n">
        <f aca="false">A1110-$A$2</f>
        <v>55.425</v>
      </c>
      <c r="C1110" s="14" t="n">
        <v>444.28</v>
      </c>
      <c r="D1110" s="13" t="n">
        <f aca="false">C1110*Config!$B$8</f>
        <v>158.521512512453</v>
      </c>
    </row>
    <row r="1111" customFormat="false" ht="15" hidden="false" customHeight="false" outlineLevel="0" collapsed="false">
      <c r="A1111" s="12" t="n">
        <v>2081.356</v>
      </c>
      <c r="B1111" s="13" t="n">
        <f aca="false">A1111-$A$2</f>
        <v>55.4750000000001</v>
      </c>
      <c r="C1111" s="14" t="n">
        <v>438.85</v>
      </c>
      <c r="D1111" s="13" t="n">
        <f aca="false">C1111*Config!$B$8</f>
        <v>156.58405907556</v>
      </c>
    </row>
    <row r="1112" customFormat="false" ht="15" hidden="false" customHeight="false" outlineLevel="0" collapsed="false">
      <c r="A1112" s="12" t="n">
        <v>2081.406</v>
      </c>
      <c r="B1112" s="13" t="n">
        <f aca="false">A1112-$A$2</f>
        <v>55.5249999999999</v>
      </c>
      <c r="C1112" s="14" t="n">
        <v>439.76</v>
      </c>
      <c r="D1112" s="13" t="n">
        <f aca="false">C1112*Config!$B$8</f>
        <v>156.908752008815</v>
      </c>
    </row>
    <row r="1113" customFormat="false" ht="15" hidden="false" customHeight="false" outlineLevel="0" collapsed="false">
      <c r="A1113" s="12" t="n">
        <v>2081.456</v>
      </c>
      <c r="B1113" s="13" t="n">
        <f aca="false">A1113-$A$2</f>
        <v>55.575</v>
      </c>
      <c r="C1113" s="14" t="n">
        <v>431.41</v>
      </c>
      <c r="D1113" s="13" t="n">
        <f aca="false">C1113*Config!$B$8</f>
        <v>153.929426742138</v>
      </c>
    </row>
    <row r="1114" customFormat="false" ht="15" hidden="false" customHeight="false" outlineLevel="0" collapsed="false">
      <c r="A1114" s="12" t="n">
        <v>2081.506</v>
      </c>
      <c r="B1114" s="13" t="n">
        <f aca="false">A1114-$A$2</f>
        <v>55.6249999999998</v>
      </c>
      <c r="C1114" s="14" t="n">
        <v>430.86</v>
      </c>
      <c r="D1114" s="13" t="n">
        <f aca="false">C1114*Config!$B$8</f>
        <v>153.733183760501</v>
      </c>
    </row>
    <row r="1115" customFormat="false" ht="15" hidden="false" customHeight="false" outlineLevel="0" collapsed="false">
      <c r="A1115" s="12" t="n">
        <v>2081.556</v>
      </c>
      <c r="B1115" s="13" t="n">
        <f aca="false">A1115-$A$2</f>
        <v>55.675</v>
      </c>
      <c r="C1115" s="14" t="n">
        <v>435.54</v>
      </c>
      <c r="D1115" s="13" t="n">
        <f aca="false">C1115*Config!$B$8</f>
        <v>155.403033131524</v>
      </c>
    </row>
    <row r="1116" customFormat="false" ht="15" hidden="false" customHeight="false" outlineLevel="0" collapsed="false">
      <c r="A1116" s="12" t="n">
        <v>2081.606</v>
      </c>
      <c r="B1116" s="13" t="n">
        <f aca="false">A1116-$A$2</f>
        <v>55.7250000000001</v>
      </c>
      <c r="C1116" s="14" t="n">
        <v>442.26</v>
      </c>
      <c r="D1116" s="13" t="n">
        <f aca="false">C1116*Config!$B$8</f>
        <v>157.800765561712</v>
      </c>
    </row>
    <row r="1117" customFormat="false" ht="15" hidden="false" customHeight="false" outlineLevel="0" collapsed="false">
      <c r="A1117" s="12" t="n">
        <v>2081.656</v>
      </c>
      <c r="B1117" s="13" t="n">
        <f aca="false">A1117-$A$2</f>
        <v>55.7749999999999</v>
      </c>
      <c r="C1117" s="14" t="n">
        <v>423.9</v>
      </c>
      <c r="D1117" s="13" t="n">
        <f aca="false">C1117*Config!$B$8</f>
        <v>151.249818029235</v>
      </c>
    </row>
    <row r="1118" customFormat="false" ht="15" hidden="false" customHeight="false" outlineLevel="0" collapsed="false">
      <c r="A1118" s="12" t="n">
        <v>2081.707</v>
      </c>
      <c r="B1118" s="13" t="n">
        <f aca="false">A1118-$A$2</f>
        <v>55.8259999999998</v>
      </c>
      <c r="C1118" s="14" t="n">
        <v>437.72</v>
      </c>
      <c r="D1118" s="13" t="n">
        <f aca="false">C1118*Config!$B$8</f>
        <v>156.180868949651</v>
      </c>
    </row>
    <row r="1119" customFormat="false" ht="15" hidden="false" customHeight="false" outlineLevel="0" collapsed="false">
      <c r="A1119" s="12" t="n">
        <v>2081.757</v>
      </c>
      <c r="B1119" s="13" t="n">
        <f aca="false">A1119-$A$2</f>
        <v>55.876</v>
      </c>
      <c r="C1119" s="14" t="n">
        <v>436.39</v>
      </c>
      <c r="D1119" s="13" t="n">
        <f aca="false">C1119*Config!$B$8</f>
        <v>155.706317739509</v>
      </c>
    </row>
    <row r="1120" customFormat="false" ht="15" hidden="false" customHeight="false" outlineLevel="0" collapsed="false">
      <c r="A1120" s="12" t="n">
        <v>2081.807</v>
      </c>
      <c r="B1120" s="13" t="n">
        <f aca="false">A1120-$A$2</f>
        <v>55.9259999999997</v>
      </c>
      <c r="C1120" s="14" t="n">
        <v>450.18</v>
      </c>
      <c r="D1120" s="13" t="n">
        <f aca="false">C1120*Config!$B$8</f>
        <v>160.62666449729</v>
      </c>
    </row>
    <row r="1121" customFormat="false" ht="15" hidden="false" customHeight="false" outlineLevel="0" collapsed="false">
      <c r="A1121" s="12" t="n">
        <v>2081.857</v>
      </c>
      <c r="B1121" s="13" t="n">
        <f aca="false">A1121-$A$2</f>
        <v>55.9759999999999</v>
      </c>
      <c r="C1121" s="14" t="n">
        <v>437.79</v>
      </c>
      <c r="D1121" s="13" t="n">
        <f aca="false">C1121*Config!$B$8</f>
        <v>156.205845329132</v>
      </c>
    </row>
    <row r="1122" customFormat="false" ht="15" hidden="false" customHeight="false" outlineLevel="0" collapsed="false">
      <c r="A1122" s="12" t="n">
        <v>2081.907</v>
      </c>
      <c r="B1122" s="13" t="n">
        <f aca="false">A1122-$A$2</f>
        <v>56.0260000000001</v>
      </c>
      <c r="C1122" s="14" t="n">
        <v>444.85</v>
      </c>
      <c r="D1122" s="13" t="n">
        <f aca="false">C1122*Config!$B$8</f>
        <v>158.724891602513</v>
      </c>
    </row>
    <row r="1123" customFormat="false" ht="15" hidden="false" customHeight="false" outlineLevel="0" collapsed="false">
      <c r="A1123" s="12" t="n">
        <v>2081.957</v>
      </c>
      <c r="B1123" s="13" t="n">
        <f aca="false">A1123-$A$2</f>
        <v>56.0759999999998</v>
      </c>
      <c r="C1123" s="14" t="n">
        <v>435.3</v>
      </c>
      <c r="D1123" s="13" t="n">
        <f aca="false">C1123*Config!$B$8</f>
        <v>155.317399830446</v>
      </c>
    </row>
    <row r="1124" customFormat="false" ht="15" hidden="false" customHeight="false" outlineLevel="0" collapsed="false">
      <c r="A1124" s="12" t="n">
        <v>2082.007</v>
      </c>
      <c r="B1124" s="13" t="n">
        <f aca="false">A1124-$A$2</f>
        <v>56.126</v>
      </c>
      <c r="C1124" s="14" t="n">
        <v>430.68</v>
      </c>
      <c r="D1124" s="13" t="n">
        <f aca="false">C1124*Config!$B$8</f>
        <v>153.668958784692</v>
      </c>
    </row>
    <row r="1125" customFormat="false" ht="15" hidden="false" customHeight="false" outlineLevel="0" collapsed="false">
      <c r="A1125" s="12" t="n">
        <v>2082.057</v>
      </c>
      <c r="B1125" s="13" t="n">
        <f aca="false">A1125-$A$2</f>
        <v>56.1759999999997</v>
      </c>
      <c r="C1125" s="14" t="n">
        <v>441.1</v>
      </c>
      <c r="D1125" s="13" t="n">
        <f aca="false">C1125*Config!$B$8</f>
        <v>157.386871273167</v>
      </c>
    </row>
    <row r="1126" customFormat="false" ht="15" hidden="false" customHeight="false" outlineLevel="0" collapsed="false">
      <c r="A1126" s="12" t="n">
        <v>2082.107</v>
      </c>
      <c r="B1126" s="13" t="n">
        <f aca="false">A1126-$A$2</f>
        <v>56.2259999999999</v>
      </c>
      <c r="C1126" s="14" t="n">
        <v>438.92</v>
      </c>
      <c r="D1126" s="13" t="n">
        <f aca="false">C1126*Config!$B$8</f>
        <v>156.609035455041</v>
      </c>
    </row>
    <row r="1127" customFormat="false" ht="15" hidden="false" customHeight="false" outlineLevel="0" collapsed="false">
      <c r="A1127" s="12" t="n">
        <v>2082.157</v>
      </c>
      <c r="B1127" s="13" t="n">
        <f aca="false">A1127-$A$2</f>
        <v>56.2760000000001</v>
      </c>
      <c r="C1127" s="14" t="n">
        <v>435.21</v>
      </c>
      <c r="D1127" s="13" t="n">
        <f aca="false">C1127*Config!$B$8</f>
        <v>155.285287342542</v>
      </c>
    </row>
    <row r="1128" customFormat="false" ht="15" hidden="false" customHeight="false" outlineLevel="0" collapsed="false">
      <c r="A1128" s="12" t="n">
        <v>2082.207</v>
      </c>
      <c r="B1128" s="13" t="n">
        <f aca="false">A1128-$A$2</f>
        <v>56.3259999999998</v>
      </c>
      <c r="C1128" s="14" t="n">
        <v>444</v>
      </c>
      <c r="D1128" s="13" t="n">
        <f aca="false">C1128*Config!$B$8</f>
        <v>158.421606994528</v>
      </c>
    </row>
    <row r="1129" customFormat="false" ht="15" hidden="false" customHeight="false" outlineLevel="0" collapsed="false">
      <c r="A1129" s="12" t="n">
        <v>2082.257</v>
      </c>
      <c r="B1129" s="13" t="n">
        <f aca="false">A1129-$A$2</f>
        <v>56.376</v>
      </c>
      <c r="C1129" s="14" t="n">
        <v>437.29</v>
      </c>
      <c r="D1129" s="13" t="n">
        <f aca="false">C1129*Config!$B$8</f>
        <v>156.027442618552</v>
      </c>
    </row>
    <row r="1130" customFormat="false" ht="15" hidden="false" customHeight="false" outlineLevel="0" collapsed="false">
      <c r="A1130" s="12" t="n">
        <v>2082.307</v>
      </c>
      <c r="B1130" s="13" t="n">
        <f aca="false">A1130-$A$2</f>
        <v>56.4259999999997</v>
      </c>
      <c r="C1130" s="14" t="n">
        <v>447.98</v>
      </c>
      <c r="D1130" s="13" t="n">
        <f aca="false">C1130*Config!$B$8</f>
        <v>159.84169257074</v>
      </c>
    </row>
    <row r="1131" customFormat="false" ht="15" hidden="false" customHeight="false" outlineLevel="0" collapsed="false">
      <c r="A1131" s="12" t="n">
        <v>2082.357</v>
      </c>
      <c r="B1131" s="13" t="n">
        <f aca="false">A1131-$A$2</f>
        <v>56.4759999999999</v>
      </c>
      <c r="C1131" s="14" t="n">
        <v>440.99</v>
      </c>
      <c r="D1131" s="13" t="n">
        <f aca="false">C1131*Config!$B$8</f>
        <v>157.34762267684</v>
      </c>
    </row>
    <row r="1132" customFormat="false" ht="15" hidden="false" customHeight="false" outlineLevel="0" collapsed="false">
      <c r="A1132" s="12" t="n">
        <v>2082.407</v>
      </c>
      <c r="B1132" s="13" t="n">
        <f aca="false">A1132-$A$2</f>
        <v>56.5260000000001</v>
      </c>
      <c r="C1132" s="14" t="n">
        <v>437.96</v>
      </c>
      <c r="D1132" s="13" t="n">
        <f aca="false">C1132*Config!$B$8</f>
        <v>156.266502250729</v>
      </c>
    </row>
    <row r="1133" customFormat="false" ht="15" hidden="false" customHeight="false" outlineLevel="0" collapsed="false">
      <c r="A1133" s="12" t="n">
        <v>2082.457</v>
      </c>
      <c r="B1133" s="13" t="n">
        <f aca="false">A1133-$A$2</f>
        <v>56.5759999999998</v>
      </c>
      <c r="C1133" s="14" t="n">
        <v>422.38</v>
      </c>
      <c r="D1133" s="13" t="n">
        <f aca="false">C1133*Config!$B$8</f>
        <v>150.707473789074</v>
      </c>
    </row>
    <row r="1134" customFormat="false" ht="15" hidden="false" customHeight="false" outlineLevel="0" collapsed="false">
      <c r="A1134" s="12" t="n">
        <v>2082.507</v>
      </c>
      <c r="B1134" s="13" t="n">
        <f aca="false">A1134-$A$2</f>
        <v>56.626</v>
      </c>
      <c r="C1134" s="14" t="n">
        <v>435.47</v>
      </c>
      <c r="D1134" s="13" t="n">
        <f aca="false">C1134*Config!$B$8</f>
        <v>155.378056752043</v>
      </c>
    </row>
    <row r="1135" customFormat="false" ht="15" hidden="false" customHeight="false" outlineLevel="0" collapsed="false">
      <c r="A1135" s="12" t="n">
        <v>2082.557</v>
      </c>
      <c r="B1135" s="13" t="n">
        <f aca="false">A1135-$A$2</f>
        <v>56.6759999999997</v>
      </c>
      <c r="C1135" s="14" t="n">
        <v>433.43</v>
      </c>
      <c r="D1135" s="13" t="n">
        <f aca="false">C1135*Config!$B$8</f>
        <v>154.650173692879</v>
      </c>
    </row>
    <row r="1136" customFormat="false" ht="15" hidden="false" customHeight="false" outlineLevel="0" collapsed="false">
      <c r="A1136" s="12" t="n">
        <v>2082.607</v>
      </c>
      <c r="B1136" s="13" t="n">
        <f aca="false">A1136-$A$2</f>
        <v>56.7259999999999</v>
      </c>
      <c r="C1136" s="14" t="n">
        <v>442.14</v>
      </c>
      <c r="D1136" s="13" t="n">
        <f aca="false">C1136*Config!$B$8</f>
        <v>157.757948911173</v>
      </c>
    </row>
    <row r="1137" customFormat="false" ht="15" hidden="false" customHeight="false" outlineLevel="0" collapsed="false">
      <c r="A1137" s="12" t="n">
        <v>2082.657</v>
      </c>
      <c r="B1137" s="13" t="n">
        <f aca="false">A1137-$A$2</f>
        <v>56.7760000000001</v>
      </c>
      <c r="C1137" s="14" t="n">
        <v>431.03</v>
      </c>
      <c r="D1137" s="13" t="n">
        <f aca="false">C1137*Config!$B$8</f>
        <v>153.793840682098</v>
      </c>
    </row>
    <row r="1138" customFormat="false" ht="15" hidden="false" customHeight="false" outlineLevel="0" collapsed="false">
      <c r="A1138" s="12" t="n">
        <v>2082.707</v>
      </c>
      <c r="B1138" s="13" t="n">
        <f aca="false">A1138-$A$2</f>
        <v>56.8259999999998</v>
      </c>
      <c r="C1138" s="14" t="n">
        <v>434.45</v>
      </c>
      <c r="D1138" s="13" t="n">
        <f aca="false">C1138*Config!$B$8</f>
        <v>155.014115222461</v>
      </c>
    </row>
    <row r="1139" customFormat="false" ht="15" hidden="false" customHeight="false" outlineLevel="0" collapsed="false">
      <c r="A1139" s="12" t="n">
        <v>2082.757</v>
      </c>
      <c r="B1139" s="13" t="n">
        <f aca="false">A1139-$A$2</f>
        <v>56.876</v>
      </c>
      <c r="C1139" s="14" t="n">
        <v>427.96</v>
      </c>
      <c r="D1139" s="13" t="n">
        <f aca="false">C1139*Config!$B$8</f>
        <v>152.69844803914</v>
      </c>
    </row>
    <row r="1140" customFormat="false" ht="15" hidden="false" customHeight="false" outlineLevel="0" collapsed="false">
      <c r="A1140" s="12" t="n">
        <v>2082.807</v>
      </c>
      <c r="B1140" s="13" t="n">
        <f aca="false">A1140-$A$2</f>
        <v>56.9259999999997</v>
      </c>
      <c r="C1140" s="14" t="n">
        <v>434.51</v>
      </c>
      <c r="D1140" s="13" t="n">
        <f aca="false">C1140*Config!$B$8</f>
        <v>155.035523547731</v>
      </c>
    </row>
    <row r="1141" customFormat="false" ht="15" hidden="false" customHeight="false" outlineLevel="0" collapsed="false">
      <c r="A1141" s="12" t="n">
        <v>2082.857</v>
      </c>
      <c r="B1141" s="13" t="n">
        <f aca="false">A1141-$A$2</f>
        <v>56.9759999999999</v>
      </c>
      <c r="C1141" s="14" t="n">
        <v>434.91</v>
      </c>
      <c r="D1141" s="13" t="n">
        <f aca="false">C1141*Config!$B$8</f>
        <v>155.178245716194</v>
      </c>
    </row>
    <row r="1142" customFormat="false" ht="15" hidden="false" customHeight="false" outlineLevel="0" collapsed="false">
      <c r="A1142" s="12" t="n">
        <v>2082.907</v>
      </c>
      <c r="B1142" s="13" t="n">
        <f aca="false">A1142-$A$2</f>
        <v>57.0260000000001</v>
      </c>
      <c r="C1142" s="14" t="n">
        <v>439.69</v>
      </c>
      <c r="D1142" s="13" t="n">
        <f aca="false">C1142*Config!$B$8</f>
        <v>156.883775629333</v>
      </c>
    </row>
    <row r="1143" customFormat="false" ht="15" hidden="false" customHeight="false" outlineLevel="0" collapsed="false">
      <c r="A1143" s="12" t="n">
        <v>2082.957</v>
      </c>
      <c r="B1143" s="13" t="n">
        <f aca="false">A1143-$A$2</f>
        <v>57.0759999999998</v>
      </c>
      <c r="C1143" s="14" t="n">
        <v>434.52</v>
      </c>
      <c r="D1143" s="13" t="n">
        <f aca="false">C1143*Config!$B$8</f>
        <v>155.039091601942</v>
      </c>
    </row>
    <row r="1144" customFormat="false" ht="15" hidden="false" customHeight="false" outlineLevel="0" collapsed="false">
      <c r="A1144" s="12" t="n">
        <v>2083.007</v>
      </c>
      <c r="B1144" s="13" t="n">
        <f aca="false">A1144-$A$2</f>
        <v>57.126</v>
      </c>
      <c r="C1144" s="14" t="n">
        <v>440.52</v>
      </c>
      <c r="D1144" s="13" t="n">
        <f aca="false">C1144*Config!$B$8</f>
        <v>157.179924128895</v>
      </c>
    </row>
    <row r="1145" customFormat="false" ht="15" hidden="false" customHeight="false" outlineLevel="0" collapsed="false">
      <c r="A1145" s="12" t="n">
        <v>2083.057</v>
      </c>
      <c r="B1145" s="13" t="n">
        <f aca="false">A1145-$A$2</f>
        <v>57.1759999999997</v>
      </c>
      <c r="C1145" s="14" t="n">
        <v>447.32</v>
      </c>
      <c r="D1145" s="13" t="n">
        <f aca="false">C1145*Config!$B$8</f>
        <v>159.606200992775</v>
      </c>
    </row>
    <row r="1146" customFormat="false" ht="15" hidden="false" customHeight="false" outlineLevel="0" collapsed="false">
      <c r="A1146" s="12" t="n">
        <v>2083.107</v>
      </c>
      <c r="B1146" s="13" t="n">
        <f aca="false">A1146-$A$2</f>
        <v>57.2259999999999</v>
      </c>
      <c r="C1146" s="14" t="n">
        <v>431.7</v>
      </c>
      <c r="D1146" s="13" t="n">
        <f aca="false">C1146*Config!$B$8</f>
        <v>154.032900314274</v>
      </c>
    </row>
    <row r="1147" customFormat="false" ht="15" hidden="false" customHeight="false" outlineLevel="0" collapsed="false">
      <c r="A1147" s="12" t="n">
        <v>2083.158</v>
      </c>
      <c r="B1147" s="13" t="n">
        <f aca="false">A1147-$A$2</f>
        <v>57.2769999999998</v>
      </c>
      <c r="C1147" s="14" t="n">
        <v>431.61</v>
      </c>
      <c r="D1147" s="13" t="n">
        <f aca="false">C1147*Config!$B$8</f>
        <v>154.00078782637</v>
      </c>
    </row>
    <row r="1148" customFormat="false" ht="15" hidden="false" customHeight="false" outlineLevel="0" collapsed="false">
      <c r="A1148" s="12" t="n">
        <v>2083.208</v>
      </c>
      <c r="B1148" s="13" t="n">
        <f aca="false">A1148-$A$2</f>
        <v>57.327</v>
      </c>
      <c r="C1148" s="14" t="n">
        <v>440.29</v>
      </c>
      <c r="D1148" s="13" t="n">
        <f aca="false">C1148*Config!$B$8</f>
        <v>157.097858882029</v>
      </c>
    </row>
    <row r="1149" customFormat="false" ht="15" hidden="false" customHeight="false" outlineLevel="0" collapsed="false">
      <c r="A1149" s="12" t="n">
        <v>2083.258</v>
      </c>
      <c r="B1149" s="13" t="n">
        <f aca="false">A1149-$A$2</f>
        <v>57.3769999999997</v>
      </c>
      <c r="C1149" s="14" t="n">
        <v>448.53</v>
      </c>
      <c r="D1149" s="13" t="n">
        <f aca="false">C1149*Config!$B$8</f>
        <v>160.037935552378</v>
      </c>
    </row>
    <row r="1150" customFormat="false" ht="15" hidden="false" customHeight="false" outlineLevel="0" collapsed="false">
      <c r="A1150" s="12" t="n">
        <v>2083.308</v>
      </c>
      <c r="B1150" s="13" t="n">
        <f aca="false">A1150-$A$2</f>
        <v>57.4269999999999</v>
      </c>
      <c r="C1150" s="14" t="n">
        <v>438.75</v>
      </c>
      <c r="D1150" s="13" t="n">
        <f aca="false">C1150*Config!$B$8</f>
        <v>156.548378533444</v>
      </c>
    </row>
    <row r="1151" customFormat="false" ht="15" hidden="false" customHeight="false" outlineLevel="0" collapsed="false">
      <c r="A1151" s="12" t="n">
        <v>2083.358</v>
      </c>
      <c r="B1151" s="13" t="n">
        <f aca="false">A1151-$A$2</f>
        <v>57.4770000000001</v>
      </c>
      <c r="C1151" s="14" t="n">
        <v>435.22</v>
      </c>
      <c r="D1151" s="13" t="n">
        <f aca="false">C1151*Config!$B$8</f>
        <v>155.288855396753</v>
      </c>
    </row>
    <row r="1152" customFormat="false" ht="15" hidden="false" customHeight="false" outlineLevel="0" collapsed="false">
      <c r="A1152" s="12" t="n">
        <v>2083.408</v>
      </c>
      <c r="B1152" s="13" t="n">
        <f aca="false">A1152-$A$2</f>
        <v>57.5269999999998</v>
      </c>
      <c r="C1152" s="14" t="n">
        <v>436.94</v>
      </c>
      <c r="D1152" s="13" t="n">
        <f aca="false">C1152*Config!$B$8</f>
        <v>155.902560721147</v>
      </c>
    </row>
    <row r="1153" customFormat="false" ht="15" hidden="false" customHeight="false" outlineLevel="0" collapsed="false">
      <c r="A1153" s="12" t="n">
        <v>2083.458</v>
      </c>
      <c r="B1153" s="13" t="n">
        <f aca="false">A1153-$A$2</f>
        <v>57.577</v>
      </c>
      <c r="C1153" s="14" t="n">
        <v>434.48</v>
      </c>
      <c r="D1153" s="13" t="n">
        <f aca="false">C1153*Config!$B$8</f>
        <v>155.024819385096</v>
      </c>
    </row>
    <row r="1154" customFormat="false" ht="15" hidden="false" customHeight="false" outlineLevel="0" collapsed="false">
      <c r="A1154" s="12" t="n">
        <v>2083.508</v>
      </c>
      <c r="B1154" s="13" t="n">
        <f aca="false">A1154-$A$2</f>
        <v>57.6269999999997</v>
      </c>
      <c r="C1154" s="14" t="n">
        <v>438.85</v>
      </c>
      <c r="D1154" s="13" t="n">
        <f aca="false">C1154*Config!$B$8</f>
        <v>156.58405907556</v>
      </c>
    </row>
    <row r="1155" customFormat="false" ht="15" hidden="false" customHeight="false" outlineLevel="0" collapsed="false">
      <c r="A1155" s="12" t="n">
        <v>2083.558</v>
      </c>
      <c r="B1155" s="13" t="n">
        <f aca="false">A1155-$A$2</f>
        <v>57.6769999999999</v>
      </c>
      <c r="C1155" s="14" t="n">
        <v>424.77</v>
      </c>
      <c r="D1155" s="13" t="n">
        <f aca="false">C1155*Config!$B$8</f>
        <v>151.560238745643</v>
      </c>
    </row>
    <row r="1156" customFormat="false" ht="15" hidden="false" customHeight="false" outlineLevel="0" collapsed="false">
      <c r="A1156" s="12" t="n">
        <v>2083.608</v>
      </c>
      <c r="B1156" s="13" t="n">
        <f aca="false">A1156-$A$2</f>
        <v>57.7270000000001</v>
      </c>
      <c r="C1156" s="14" t="n">
        <v>434.39</v>
      </c>
      <c r="D1156" s="13" t="n">
        <f aca="false">C1156*Config!$B$8</f>
        <v>154.992706897192</v>
      </c>
    </row>
    <row r="1157" customFormat="false" ht="15" hidden="false" customHeight="false" outlineLevel="0" collapsed="false">
      <c r="A1157" s="12" t="n">
        <v>2083.658</v>
      </c>
      <c r="B1157" s="13" t="n">
        <f aca="false">A1157-$A$2</f>
        <v>57.7769999999998</v>
      </c>
      <c r="C1157" s="14" t="n">
        <v>444.17</v>
      </c>
      <c r="D1157" s="13" t="n">
        <f aca="false">C1157*Config!$B$8</f>
        <v>158.482263916125</v>
      </c>
    </row>
    <row r="1158" customFormat="false" ht="15" hidden="false" customHeight="false" outlineLevel="0" collapsed="false">
      <c r="A1158" s="12" t="n">
        <v>2083.708</v>
      </c>
      <c r="B1158" s="13" t="n">
        <f aca="false">A1158-$A$2</f>
        <v>57.827</v>
      </c>
      <c r="C1158" s="14" t="n">
        <v>448.01</v>
      </c>
      <c r="D1158" s="13" t="n">
        <f aca="false">C1158*Config!$B$8</f>
        <v>159.852396733375</v>
      </c>
    </row>
    <row r="1159" customFormat="false" ht="15" hidden="false" customHeight="false" outlineLevel="0" collapsed="false">
      <c r="A1159" s="12" t="n">
        <v>2083.758</v>
      </c>
      <c r="B1159" s="13" t="n">
        <f aca="false">A1159-$A$2</f>
        <v>57.8769999999997</v>
      </c>
      <c r="C1159" s="14" t="n">
        <v>446.5</v>
      </c>
      <c r="D1159" s="13" t="n">
        <f aca="false">C1159*Config!$B$8</f>
        <v>159.313620547425</v>
      </c>
    </row>
    <row r="1160" customFormat="false" ht="15" hidden="false" customHeight="false" outlineLevel="0" collapsed="false">
      <c r="A1160" s="12" t="n">
        <v>2083.808</v>
      </c>
      <c r="B1160" s="13" t="n">
        <f aca="false">A1160-$A$2</f>
        <v>57.9269999999999</v>
      </c>
      <c r="C1160" s="14" t="n">
        <v>438.32</v>
      </c>
      <c r="D1160" s="13" t="n">
        <f aca="false">C1160*Config!$B$8</f>
        <v>156.394952202346</v>
      </c>
    </row>
    <row r="1161" customFormat="false" ht="15" hidden="false" customHeight="false" outlineLevel="0" collapsed="false">
      <c r="A1161" s="12" t="n">
        <v>2083.858</v>
      </c>
      <c r="B1161" s="13" t="n">
        <f aca="false">A1161-$A$2</f>
        <v>57.9770000000001</v>
      </c>
      <c r="C1161" s="14" t="n">
        <v>444.1</v>
      </c>
      <c r="D1161" s="13" t="n">
        <f aca="false">C1161*Config!$B$8</f>
        <v>158.457287536644</v>
      </c>
    </row>
    <row r="1162" customFormat="false" ht="15" hidden="false" customHeight="false" outlineLevel="0" collapsed="false">
      <c r="A1162" s="12" t="n">
        <v>2083.908</v>
      </c>
      <c r="B1162" s="13" t="n">
        <f aca="false">A1162-$A$2</f>
        <v>58.0269999999998</v>
      </c>
      <c r="C1162" s="14" t="n">
        <v>441.88</v>
      </c>
      <c r="D1162" s="13" t="n">
        <f aca="false">C1162*Config!$B$8</f>
        <v>157.665179501671</v>
      </c>
    </row>
    <row r="1163" customFormat="false" ht="15" hidden="false" customHeight="false" outlineLevel="0" collapsed="false">
      <c r="A1163" s="12" t="n">
        <v>2083.958</v>
      </c>
      <c r="B1163" s="13" t="n">
        <f aca="false">A1163-$A$2</f>
        <v>58.077</v>
      </c>
      <c r="C1163" s="14" t="n">
        <v>440.63</v>
      </c>
      <c r="D1163" s="13" t="n">
        <f aca="false">C1163*Config!$B$8</f>
        <v>157.219172725223</v>
      </c>
    </row>
    <row r="1164" customFormat="false" ht="15" hidden="false" customHeight="false" outlineLevel="0" collapsed="false">
      <c r="A1164" s="12" t="n">
        <v>2084.008</v>
      </c>
      <c r="B1164" s="13" t="n">
        <f aca="false">A1164-$A$2</f>
        <v>58.1269999999997</v>
      </c>
      <c r="C1164" s="14" t="n">
        <v>445.78</v>
      </c>
      <c r="D1164" s="13" t="n">
        <f aca="false">C1164*Config!$B$8</f>
        <v>159.056720644191</v>
      </c>
    </row>
    <row r="1165" customFormat="false" ht="15" hidden="false" customHeight="false" outlineLevel="0" collapsed="false">
      <c r="A1165" s="12" t="n">
        <v>2084.058</v>
      </c>
      <c r="B1165" s="13" t="n">
        <f aca="false">A1165-$A$2</f>
        <v>58.1769999999999</v>
      </c>
      <c r="C1165" s="14" t="n">
        <v>441.6</v>
      </c>
      <c r="D1165" s="13" t="n">
        <f aca="false">C1165*Config!$B$8</f>
        <v>157.565273983747</v>
      </c>
    </row>
    <row r="1166" customFormat="false" ht="15" hidden="false" customHeight="false" outlineLevel="0" collapsed="false">
      <c r="A1166" s="12" t="n">
        <v>2084.108</v>
      </c>
      <c r="B1166" s="13" t="n">
        <f aca="false">A1166-$A$2</f>
        <v>58.2270000000001</v>
      </c>
      <c r="C1166" s="14" t="n">
        <v>448.12</v>
      </c>
      <c r="D1166" s="13" t="n">
        <f aca="false">C1166*Config!$B$8</f>
        <v>159.891645329703</v>
      </c>
    </row>
    <row r="1167" customFormat="false" ht="15" hidden="false" customHeight="false" outlineLevel="0" collapsed="false">
      <c r="A1167" s="12" t="n">
        <v>2084.158</v>
      </c>
      <c r="B1167" s="13" t="n">
        <f aca="false">A1167-$A$2</f>
        <v>58.2769999999998</v>
      </c>
      <c r="C1167" s="14" t="n">
        <v>446.81</v>
      </c>
      <c r="D1167" s="13" t="n">
        <f aca="false">C1167*Config!$B$8</f>
        <v>159.424230227984</v>
      </c>
    </row>
    <row r="1168" customFormat="false" ht="15" hidden="false" customHeight="false" outlineLevel="0" collapsed="false">
      <c r="A1168" s="12" t="n">
        <v>2084.208</v>
      </c>
      <c r="B1168" s="13" t="n">
        <f aca="false">A1168-$A$2</f>
        <v>58.327</v>
      </c>
      <c r="C1168" s="14" t="n">
        <v>435.36</v>
      </c>
      <c r="D1168" s="13" t="n">
        <f aca="false">C1168*Config!$B$8</f>
        <v>155.338808155716</v>
      </c>
    </row>
    <row r="1169" customFormat="false" ht="15" hidden="false" customHeight="false" outlineLevel="0" collapsed="false">
      <c r="A1169" s="12" t="n">
        <v>2084.258</v>
      </c>
      <c r="B1169" s="13" t="n">
        <f aca="false">A1169-$A$2</f>
        <v>58.3769999999997</v>
      </c>
      <c r="C1169" s="14" t="n">
        <v>449.15</v>
      </c>
      <c r="D1169" s="13" t="n">
        <f aca="false">C1169*Config!$B$8</f>
        <v>160.259154913496</v>
      </c>
    </row>
    <row r="1170" customFormat="false" ht="15" hidden="false" customHeight="false" outlineLevel="0" collapsed="false">
      <c r="A1170" s="12" t="n">
        <v>2084.308</v>
      </c>
      <c r="B1170" s="13" t="n">
        <f aca="false">A1170-$A$2</f>
        <v>58.4269999999999</v>
      </c>
      <c r="C1170" s="14" t="n">
        <v>444.16</v>
      </c>
      <c r="D1170" s="13" t="n">
        <f aca="false">C1170*Config!$B$8</f>
        <v>158.478695861914</v>
      </c>
    </row>
    <row r="1171" customFormat="false" ht="15" hidden="false" customHeight="false" outlineLevel="0" collapsed="false">
      <c r="A1171" s="12" t="n">
        <v>2084.358</v>
      </c>
      <c r="B1171" s="13" t="n">
        <f aca="false">A1171-$A$2</f>
        <v>58.4770000000001</v>
      </c>
      <c r="C1171" s="14" t="n">
        <v>438.18</v>
      </c>
      <c r="D1171" s="13" t="n">
        <f aca="false">C1171*Config!$B$8</f>
        <v>156.344999443384</v>
      </c>
    </row>
    <row r="1172" customFormat="false" ht="15" hidden="false" customHeight="false" outlineLevel="0" collapsed="false">
      <c r="A1172" s="12" t="n">
        <v>2084.408</v>
      </c>
      <c r="B1172" s="13" t="n">
        <f aca="false">A1172-$A$2</f>
        <v>58.5269999999998</v>
      </c>
      <c r="C1172" s="14" t="n">
        <v>444.93</v>
      </c>
      <c r="D1172" s="13" t="n">
        <f aca="false">C1172*Config!$B$8</f>
        <v>158.753436036206</v>
      </c>
    </row>
    <row r="1173" customFormat="false" ht="15" hidden="false" customHeight="false" outlineLevel="0" collapsed="false">
      <c r="A1173" s="12" t="n">
        <v>2084.458</v>
      </c>
      <c r="B1173" s="13" t="n">
        <f aca="false">A1173-$A$2</f>
        <v>58.577</v>
      </c>
      <c r="C1173" s="14" t="n">
        <v>432.31</v>
      </c>
      <c r="D1173" s="13" t="n">
        <f aca="false">C1173*Config!$B$8</f>
        <v>154.250551621181</v>
      </c>
    </row>
    <row r="1174" customFormat="false" ht="15" hidden="false" customHeight="false" outlineLevel="0" collapsed="false">
      <c r="A1174" s="12" t="n">
        <v>2084.508</v>
      </c>
      <c r="B1174" s="13" t="n">
        <f aca="false">A1174-$A$2</f>
        <v>58.6269999999997</v>
      </c>
      <c r="C1174" s="14" t="n">
        <v>442.13</v>
      </c>
      <c r="D1174" s="13" t="n">
        <f aca="false">C1174*Config!$B$8</f>
        <v>157.754380856961</v>
      </c>
    </row>
    <row r="1175" customFormat="false" ht="15" hidden="false" customHeight="false" outlineLevel="0" collapsed="false">
      <c r="A1175" s="12" t="n">
        <v>2084.558</v>
      </c>
      <c r="B1175" s="13" t="n">
        <f aca="false">A1175-$A$2</f>
        <v>58.6769999999999</v>
      </c>
      <c r="C1175" s="14" t="n">
        <v>438.87</v>
      </c>
      <c r="D1175" s="13" t="n">
        <f aca="false">C1175*Config!$B$8</f>
        <v>156.591195183983</v>
      </c>
    </row>
    <row r="1176" customFormat="false" ht="15" hidden="false" customHeight="false" outlineLevel="0" collapsed="false">
      <c r="A1176" s="12" t="n">
        <v>2084.608</v>
      </c>
      <c r="B1176" s="13" t="n">
        <f aca="false">A1176-$A$2</f>
        <v>58.7270000000001</v>
      </c>
      <c r="C1176" s="14" t="n">
        <v>454.86</v>
      </c>
      <c r="D1176" s="13" t="n">
        <f aca="false">C1176*Config!$B$8</f>
        <v>162.296513868313</v>
      </c>
    </row>
    <row r="1177" customFormat="false" ht="15" hidden="false" customHeight="false" outlineLevel="0" collapsed="false">
      <c r="A1177" s="12" t="n">
        <v>2084.658</v>
      </c>
      <c r="B1177" s="13" t="n">
        <f aca="false">A1177-$A$2</f>
        <v>58.7769999999998</v>
      </c>
      <c r="C1177" s="14" t="n">
        <v>434.99</v>
      </c>
      <c r="D1177" s="13" t="n">
        <f aca="false">C1177*Config!$B$8</f>
        <v>155.206790149887</v>
      </c>
    </row>
    <row r="1178" customFormat="false" ht="15" hidden="false" customHeight="false" outlineLevel="0" collapsed="false">
      <c r="A1178" s="12" t="n">
        <v>2084.708</v>
      </c>
      <c r="B1178" s="13" t="n">
        <f aca="false">A1178-$A$2</f>
        <v>58.827</v>
      </c>
      <c r="C1178" s="14" t="n">
        <v>443.99</v>
      </c>
      <c r="D1178" s="13" t="n">
        <f aca="false">C1178*Config!$B$8</f>
        <v>158.418038940316</v>
      </c>
    </row>
    <row r="1179" customFormat="false" ht="15" hidden="false" customHeight="false" outlineLevel="0" collapsed="false">
      <c r="A1179" s="12" t="n">
        <v>2084.758</v>
      </c>
      <c r="B1179" s="13" t="n">
        <f aca="false">A1179-$A$2</f>
        <v>58.8769999999997</v>
      </c>
      <c r="C1179" s="14" t="n">
        <v>448.28</v>
      </c>
      <c r="D1179" s="13" t="n">
        <f aca="false">C1179*Config!$B$8</f>
        <v>159.948734197088</v>
      </c>
    </row>
    <row r="1180" customFormat="false" ht="15" hidden="false" customHeight="false" outlineLevel="0" collapsed="false">
      <c r="A1180" s="12" t="n">
        <v>2084.808</v>
      </c>
      <c r="B1180" s="13" t="n">
        <f aca="false">A1180-$A$2</f>
        <v>58.9269999999999</v>
      </c>
      <c r="C1180" s="14" t="n">
        <v>448.87</v>
      </c>
      <c r="D1180" s="13" t="n">
        <f aca="false">C1180*Config!$B$8</f>
        <v>160.159249395572</v>
      </c>
    </row>
    <row r="1181" customFormat="false" ht="15" hidden="false" customHeight="false" outlineLevel="0" collapsed="false">
      <c r="A1181" s="12" t="n">
        <v>2084.858</v>
      </c>
      <c r="B1181" s="13" t="n">
        <f aca="false">A1181-$A$2</f>
        <v>58.9770000000001</v>
      </c>
      <c r="C1181" s="14" t="n">
        <v>444.46</v>
      </c>
      <c r="D1181" s="13" t="n">
        <f aca="false">C1181*Config!$B$8</f>
        <v>158.585737488261</v>
      </c>
    </row>
    <row r="1182" customFormat="false" ht="15" hidden="false" customHeight="false" outlineLevel="0" collapsed="false">
      <c r="A1182" s="12" t="n">
        <v>2084.908</v>
      </c>
      <c r="B1182" s="13" t="n">
        <f aca="false">A1182-$A$2</f>
        <v>59.0269999999998</v>
      </c>
      <c r="C1182" s="14" t="n">
        <v>454.58</v>
      </c>
      <c r="D1182" s="13" t="n">
        <f aca="false">C1182*Config!$B$8</f>
        <v>162.196608350389</v>
      </c>
    </row>
    <row r="1183" customFormat="false" ht="15" hidden="false" customHeight="false" outlineLevel="0" collapsed="false">
      <c r="A1183" s="12" t="n">
        <v>2084.958</v>
      </c>
      <c r="B1183" s="13" t="n">
        <f aca="false">A1183-$A$2</f>
        <v>59.077</v>
      </c>
      <c r="C1183" s="14" t="n">
        <v>467.65</v>
      </c>
      <c r="D1183" s="13" t="n">
        <f aca="false">C1183*Config!$B$8</f>
        <v>166.860055204935</v>
      </c>
    </row>
    <row r="1184" customFormat="false" ht="15" hidden="false" customHeight="false" outlineLevel="0" collapsed="false">
      <c r="A1184" s="12" t="n">
        <v>2085.008</v>
      </c>
      <c r="B1184" s="13" t="n">
        <f aca="false">A1184-$A$2</f>
        <v>59.1269999999997</v>
      </c>
      <c r="C1184" s="14" t="n">
        <v>449.77</v>
      </c>
      <c r="D1184" s="13" t="n">
        <f aca="false">C1184*Config!$B$8</f>
        <v>160.480374274615</v>
      </c>
    </row>
    <row r="1185" customFormat="false" ht="15" hidden="false" customHeight="false" outlineLevel="0" collapsed="false">
      <c r="A1185" s="12" t="n">
        <v>2085.058</v>
      </c>
      <c r="B1185" s="13" t="n">
        <f aca="false">A1185-$A$2</f>
        <v>59.1769999999999</v>
      </c>
      <c r="C1185" s="14" t="n">
        <v>453.49</v>
      </c>
      <c r="D1185" s="13" t="n">
        <f aca="false">C1185*Config!$B$8</f>
        <v>161.807690441326</v>
      </c>
    </row>
    <row r="1186" customFormat="false" ht="15" hidden="false" customHeight="false" outlineLevel="0" collapsed="false">
      <c r="A1186" s="12" t="n">
        <v>2085.108</v>
      </c>
      <c r="B1186" s="13" t="n">
        <f aca="false">A1186-$A$2</f>
        <v>59.2270000000001</v>
      </c>
      <c r="C1186" s="14" t="n">
        <v>445.82</v>
      </c>
      <c r="D1186" s="13" t="n">
        <f aca="false">C1186*Config!$B$8</f>
        <v>159.070992861037</v>
      </c>
    </row>
    <row r="1187" customFormat="false" ht="15" hidden="false" customHeight="false" outlineLevel="0" collapsed="false">
      <c r="A1187" s="12" t="n">
        <v>2085.158</v>
      </c>
      <c r="B1187" s="13" t="n">
        <f aca="false">A1187-$A$2</f>
        <v>59.2769999999998</v>
      </c>
      <c r="C1187" s="14" t="n">
        <v>458.39</v>
      </c>
      <c r="D1187" s="13" t="n">
        <f aca="false">C1187*Config!$B$8</f>
        <v>163.556037005004</v>
      </c>
    </row>
    <row r="1188" customFormat="false" ht="15" hidden="false" customHeight="false" outlineLevel="0" collapsed="false">
      <c r="A1188" s="12" t="n">
        <v>2085.208</v>
      </c>
      <c r="B1188" s="13" t="n">
        <f aca="false">A1188-$A$2</f>
        <v>59.327</v>
      </c>
      <c r="C1188" s="14" t="n">
        <v>472.36</v>
      </c>
      <c r="D1188" s="13" t="n">
        <f aca="false">C1188*Config!$B$8</f>
        <v>168.540608738593</v>
      </c>
    </row>
    <row r="1189" customFormat="false" ht="15" hidden="false" customHeight="false" outlineLevel="0" collapsed="false">
      <c r="A1189" s="12" t="n">
        <v>2085.258</v>
      </c>
      <c r="B1189" s="13" t="n">
        <f aca="false">A1189-$A$2</f>
        <v>59.3769999999997</v>
      </c>
      <c r="C1189" s="14" t="n">
        <v>453.57</v>
      </c>
      <c r="D1189" s="13" t="n">
        <f aca="false">C1189*Config!$B$8</f>
        <v>161.836234875018</v>
      </c>
    </row>
    <row r="1190" customFormat="false" ht="15" hidden="false" customHeight="false" outlineLevel="0" collapsed="false">
      <c r="A1190" s="12" t="n">
        <v>2085.308</v>
      </c>
      <c r="B1190" s="13" t="n">
        <f aca="false">A1190-$A$2</f>
        <v>59.4269999999999</v>
      </c>
      <c r="C1190" s="14" t="n">
        <v>457.54</v>
      </c>
      <c r="D1190" s="13" t="n">
        <f aca="false">C1190*Config!$B$8</f>
        <v>163.252752397019</v>
      </c>
    </row>
    <row r="1191" customFormat="false" ht="15" hidden="false" customHeight="false" outlineLevel="0" collapsed="false">
      <c r="A1191" s="12" t="n">
        <v>2085.358</v>
      </c>
      <c r="B1191" s="13" t="n">
        <f aca="false">A1191-$A$2</f>
        <v>59.4770000000001</v>
      </c>
      <c r="C1191" s="14" t="n">
        <v>457.37</v>
      </c>
      <c r="D1191" s="13" t="n">
        <f aca="false">C1191*Config!$B$8</f>
        <v>163.192095475422</v>
      </c>
    </row>
    <row r="1192" customFormat="false" ht="15" hidden="false" customHeight="false" outlineLevel="0" collapsed="false">
      <c r="A1192" s="12" t="n">
        <v>2085.408</v>
      </c>
      <c r="B1192" s="13" t="n">
        <f aca="false">A1192-$A$2</f>
        <v>59.5269999999998</v>
      </c>
      <c r="C1192" s="14" t="n">
        <v>466.96</v>
      </c>
      <c r="D1192" s="13" t="n">
        <f aca="false">C1192*Config!$B$8</f>
        <v>166.613859464335</v>
      </c>
    </row>
    <row r="1193" customFormat="false" ht="15" hidden="false" customHeight="false" outlineLevel="0" collapsed="false">
      <c r="A1193" s="12" t="n">
        <v>2085.458</v>
      </c>
      <c r="B1193" s="13" t="n">
        <f aca="false">A1193-$A$2</f>
        <v>59.577</v>
      </c>
      <c r="C1193" s="14" t="n">
        <v>443.62</v>
      </c>
      <c r="D1193" s="13" t="n">
        <f aca="false">C1193*Config!$B$8</f>
        <v>158.286020934488</v>
      </c>
    </row>
    <row r="1194" customFormat="false" ht="15" hidden="false" customHeight="false" outlineLevel="0" collapsed="false">
      <c r="A1194" s="12" t="n">
        <v>2085.508</v>
      </c>
      <c r="B1194" s="13" t="n">
        <f aca="false">A1194-$A$2</f>
        <v>59.6269999999997</v>
      </c>
      <c r="C1194" s="14" t="n">
        <v>448.02</v>
      </c>
      <c r="D1194" s="13" t="n">
        <f aca="false">C1194*Config!$B$8</f>
        <v>159.855964787587</v>
      </c>
    </row>
    <row r="1195" customFormat="false" ht="15" hidden="false" customHeight="false" outlineLevel="0" collapsed="false">
      <c r="A1195" s="12" t="n">
        <v>2085.558</v>
      </c>
      <c r="B1195" s="13" t="n">
        <f aca="false">A1195-$A$2</f>
        <v>59.6769999999999</v>
      </c>
      <c r="C1195" s="14" t="n">
        <v>444.38</v>
      </c>
      <c r="D1195" s="13" t="n">
        <f aca="false">C1195*Config!$B$8</f>
        <v>158.557193054568</v>
      </c>
    </row>
    <row r="1196" customFormat="false" ht="15" hidden="false" customHeight="false" outlineLevel="0" collapsed="false">
      <c r="A1196" s="12" t="n">
        <v>2085.608</v>
      </c>
      <c r="B1196" s="13" t="n">
        <f aca="false">A1196-$A$2</f>
        <v>59.7270000000001</v>
      </c>
      <c r="C1196" s="14" t="n">
        <v>455.97</v>
      </c>
      <c r="D1196" s="13" t="n">
        <f aca="false">C1196*Config!$B$8</f>
        <v>162.6925678858</v>
      </c>
    </row>
    <row r="1197" customFormat="false" ht="15" hidden="false" customHeight="false" outlineLevel="0" collapsed="false">
      <c r="A1197" s="12" t="n">
        <v>2085.658</v>
      </c>
      <c r="B1197" s="13" t="n">
        <f aca="false">A1197-$A$2</f>
        <v>59.7769999999998</v>
      </c>
      <c r="C1197" s="14" t="n">
        <v>454.84</v>
      </c>
      <c r="D1197" s="13" t="n">
        <f aca="false">C1197*Config!$B$8</f>
        <v>162.28937775989</v>
      </c>
    </row>
    <row r="1198" customFormat="false" ht="15" hidden="false" customHeight="false" outlineLevel="0" collapsed="false">
      <c r="A1198" s="12" t="n">
        <v>2085.708</v>
      </c>
      <c r="B1198" s="13" t="n">
        <f aca="false">A1198-$A$2</f>
        <v>59.827</v>
      </c>
      <c r="C1198" s="14" t="n">
        <v>435.15</v>
      </c>
      <c r="D1198" s="13" t="n">
        <f aca="false">C1198*Config!$B$8</f>
        <v>155.263879017272</v>
      </c>
    </row>
    <row r="1199" customFormat="false" ht="15" hidden="false" customHeight="false" outlineLevel="0" collapsed="false">
      <c r="A1199" s="12" t="n">
        <v>2085.758</v>
      </c>
      <c r="B1199" s="13" t="n">
        <f aca="false">A1199-$A$2</f>
        <v>59.8769999999997</v>
      </c>
      <c r="C1199" s="14" t="n">
        <v>441.93</v>
      </c>
      <c r="D1199" s="13" t="n">
        <f aca="false">C1199*Config!$B$8</f>
        <v>157.683019772729</v>
      </c>
    </row>
    <row r="1200" customFormat="false" ht="15" hidden="false" customHeight="false" outlineLevel="0" collapsed="false">
      <c r="A1200" s="12" t="n">
        <v>2085.808</v>
      </c>
      <c r="B1200" s="13" t="n">
        <f aca="false">A1200-$A$2</f>
        <v>59.9269999999999</v>
      </c>
      <c r="C1200" s="14" t="n">
        <v>440.63</v>
      </c>
      <c r="D1200" s="13" t="n">
        <f aca="false">C1200*Config!$B$8</f>
        <v>157.219172725223</v>
      </c>
    </row>
    <row r="1201" customFormat="false" ht="15" hidden="false" customHeight="false" outlineLevel="0" collapsed="false">
      <c r="A1201" s="12" t="n">
        <v>2085.858</v>
      </c>
      <c r="B1201" s="13" t="n">
        <f aca="false">A1201-$A$2</f>
        <v>59.9770000000001</v>
      </c>
      <c r="C1201" s="14" t="n">
        <v>447.24</v>
      </c>
      <c r="D1201" s="13" t="n">
        <f aca="false">C1201*Config!$B$8</f>
        <v>159.577656559083</v>
      </c>
    </row>
    <row r="1202" customFormat="false" ht="15" hidden="false" customHeight="false" outlineLevel="0" collapsed="false">
      <c r="A1202" s="12" t="n">
        <v>2085.908</v>
      </c>
      <c r="B1202" s="13" t="n">
        <f aca="false">A1202-$A$2</f>
        <v>60.0269999999998</v>
      </c>
      <c r="C1202" s="14" t="n">
        <v>446.74</v>
      </c>
      <c r="D1202" s="13" t="n">
        <f aca="false">C1202*Config!$B$8</f>
        <v>159.399253848503</v>
      </c>
    </row>
    <row r="1203" customFormat="false" ht="15" hidden="false" customHeight="false" outlineLevel="0" collapsed="false">
      <c r="A1203" s="12" t="n">
        <v>2085.958</v>
      </c>
      <c r="B1203" s="13" t="n">
        <f aca="false">A1203-$A$2</f>
        <v>60.077</v>
      </c>
      <c r="C1203" s="14" t="n">
        <v>456.74</v>
      </c>
      <c r="D1203" s="13" t="n">
        <f aca="false">C1203*Config!$B$8</f>
        <v>162.967308060092</v>
      </c>
    </row>
    <row r="1204" customFormat="false" ht="15" hidden="false" customHeight="false" outlineLevel="0" collapsed="false">
      <c r="A1204" s="12" t="n">
        <v>2086.008</v>
      </c>
      <c r="B1204" s="13" t="n">
        <f aca="false">A1204-$A$2</f>
        <v>60.1269999999997</v>
      </c>
      <c r="C1204" s="14" t="n">
        <v>451.87</v>
      </c>
      <c r="D1204" s="13" t="n">
        <f aca="false">C1204*Config!$B$8</f>
        <v>161.229665659048</v>
      </c>
    </row>
    <row r="1205" customFormat="false" ht="15" hidden="false" customHeight="false" outlineLevel="0" collapsed="false">
      <c r="A1205" s="12" t="n">
        <v>2086.059</v>
      </c>
      <c r="B1205" s="13" t="n">
        <f aca="false">A1205-$A$2</f>
        <v>60.1780000000001</v>
      </c>
      <c r="C1205" s="14" t="n">
        <v>445.07</v>
      </c>
      <c r="D1205" s="13" t="n">
        <f aca="false">C1205*Config!$B$8</f>
        <v>158.803388795168</v>
      </c>
    </row>
    <row r="1206" customFormat="false" ht="15" hidden="false" customHeight="false" outlineLevel="0" collapsed="false">
      <c r="A1206" s="12" t="n">
        <v>2086.109</v>
      </c>
      <c r="B1206" s="13" t="n">
        <f aca="false">A1206-$A$2</f>
        <v>60.2279999999998</v>
      </c>
      <c r="C1206" s="14" t="n">
        <v>459.85</v>
      </c>
      <c r="D1206" s="13" t="n">
        <f aca="false">C1206*Config!$B$8</f>
        <v>164.076972919896</v>
      </c>
    </row>
    <row r="1207" customFormat="false" ht="15" hidden="false" customHeight="false" outlineLevel="0" collapsed="false">
      <c r="A1207" s="12" t="n">
        <v>2086.159</v>
      </c>
      <c r="B1207" s="13" t="n">
        <f aca="false">A1207-$A$2</f>
        <v>60.278</v>
      </c>
      <c r="C1207" s="14" t="n">
        <v>439.2</v>
      </c>
      <c r="D1207" s="13" t="n">
        <f aca="false">C1207*Config!$B$8</f>
        <v>156.708940972966</v>
      </c>
    </row>
    <row r="1208" customFormat="false" ht="15" hidden="false" customHeight="false" outlineLevel="0" collapsed="false">
      <c r="A1208" s="12" t="n">
        <v>2086.209</v>
      </c>
      <c r="B1208" s="13" t="n">
        <f aca="false">A1208-$A$2</f>
        <v>60.3279999999998</v>
      </c>
      <c r="C1208" s="14" t="n">
        <v>464.8</v>
      </c>
      <c r="D1208" s="13" t="n">
        <f aca="false">C1208*Config!$B$8</f>
        <v>165.843159754632</v>
      </c>
    </row>
    <row r="1209" customFormat="false" ht="15" hidden="false" customHeight="false" outlineLevel="0" collapsed="false">
      <c r="A1209" s="12" t="n">
        <v>2086.259</v>
      </c>
      <c r="B1209" s="13" t="n">
        <f aca="false">A1209-$A$2</f>
        <v>60.3779999999999</v>
      </c>
      <c r="C1209" s="14" t="n">
        <v>449.66</v>
      </c>
      <c r="D1209" s="13" t="n">
        <f aca="false">C1209*Config!$B$8</f>
        <v>160.441125678287</v>
      </c>
    </row>
    <row r="1210" customFormat="false" ht="15" hidden="false" customHeight="false" outlineLevel="0" collapsed="false">
      <c r="A1210" s="12" t="n">
        <v>2086.309</v>
      </c>
      <c r="B1210" s="13" t="n">
        <f aca="false">A1210-$A$2</f>
        <v>60.4280000000001</v>
      </c>
      <c r="C1210" s="14" t="n">
        <v>444.91</v>
      </c>
      <c r="D1210" s="13" t="n">
        <f aca="false">C1210*Config!$B$8</f>
        <v>158.746299927783</v>
      </c>
    </row>
    <row r="1211" customFormat="false" ht="15" hidden="false" customHeight="false" outlineLevel="0" collapsed="false">
      <c r="A1211" s="12" t="n">
        <v>2086.359</v>
      </c>
      <c r="B1211" s="13" t="n">
        <f aca="false">A1211-$A$2</f>
        <v>60.4779999999998</v>
      </c>
      <c r="C1211" s="14" t="n">
        <v>454.12</v>
      </c>
      <c r="D1211" s="13" t="n">
        <f aca="false">C1211*Config!$B$8</f>
        <v>162.032477856656</v>
      </c>
    </row>
    <row r="1212" customFormat="false" ht="15" hidden="false" customHeight="false" outlineLevel="0" collapsed="false">
      <c r="A1212" s="12" t="n">
        <v>2086.409</v>
      </c>
      <c r="B1212" s="13" t="n">
        <f aca="false">A1212-$A$2</f>
        <v>60.528</v>
      </c>
      <c r="C1212" s="14" t="n">
        <v>451.99</v>
      </c>
      <c r="D1212" s="13" t="n">
        <f aca="false">C1212*Config!$B$8</f>
        <v>161.272482309587</v>
      </c>
    </row>
    <row r="1213" customFormat="false" ht="15" hidden="false" customHeight="false" outlineLevel="0" collapsed="false">
      <c r="A1213" s="12" t="n">
        <v>2086.459</v>
      </c>
      <c r="B1213" s="13" t="n">
        <f aca="false">A1213-$A$2</f>
        <v>60.5779999999998</v>
      </c>
      <c r="C1213" s="14" t="n">
        <v>453.27</v>
      </c>
      <c r="D1213" s="13" t="n">
        <f aca="false">C1213*Config!$B$8</f>
        <v>161.729193248671</v>
      </c>
    </row>
    <row r="1214" customFormat="false" ht="15" hidden="false" customHeight="false" outlineLevel="0" collapsed="false">
      <c r="A1214" s="12" t="n">
        <v>2086.509</v>
      </c>
      <c r="B1214" s="13" t="n">
        <f aca="false">A1214-$A$2</f>
        <v>60.6279999999999</v>
      </c>
      <c r="C1214" s="14" t="n">
        <v>467.13</v>
      </c>
      <c r="D1214" s="13" t="n">
        <f aca="false">C1214*Config!$B$8</f>
        <v>166.674516385932</v>
      </c>
    </row>
    <row r="1215" customFormat="false" ht="15" hidden="false" customHeight="false" outlineLevel="0" collapsed="false">
      <c r="A1215" s="12" t="n">
        <v>2086.559</v>
      </c>
      <c r="B1215" s="13" t="n">
        <f aca="false">A1215-$A$2</f>
        <v>60.6780000000001</v>
      </c>
      <c r="C1215" s="14" t="n">
        <v>457.84</v>
      </c>
      <c r="D1215" s="13" t="n">
        <f aca="false">C1215*Config!$B$8</f>
        <v>163.359794023367</v>
      </c>
    </row>
    <row r="1216" customFormat="false" ht="15" hidden="false" customHeight="false" outlineLevel="0" collapsed="false">
      <c r="A1216" s="12" t="n">
        <v>2086.609</v>
      </c>
      <c r="B1216" s="13" t="n">
        <f aca="false">A1216-$A$2</f>
        <v>60.7279999999998</v>
      </c>
      <c r="C1216" s="14" t="n">
        <v>437.68</v>
      </c>
      <c r="D1216" s="13" t="n">
        <f aca="false">C1216*Config!$B$8</f>
        <v>156.166596732804</v>
      </c>
    </row>
    <row r="1217" customFormat="false" ht="15" hidden="false" customHeight="false" outlineLevel="0" collapsed="false">
      <c r="A1217" s="12" t="n">
        <v>2086.659</v>
      </c>
      <c r="B1217" s="13" t="n">
        <f aca="false">A1217-$A$2</f>
        <v>60.778</v>
      </c>
      <c r="C1217" s="14" t="n">
        <v>442.46</v>
      </c>
      <c r="D1217" s="13" t="n">
        <f aca="false">C1217*Config!$B$8</f>
        <v>157.872126645943</v>
      </c>
    </row>
    <row r="1218" customFormat="false" ht="15" hidden="false" customHeight="false" outlineLevel="0" collapsed="false">
      <c r="A1218" s="12" t="n">
        <v>2086.709</v>
      </c>
      <c r="B1218" s="13" t="n">
        <f aca="false">A1218-$A$2</f>
        <v>60.8279999999998</v>
      </c>
      <c r="C1218" s="14" t="n">
        <v>454.75</v>
      </c>
      <c r="D1218" s="13" t="n">
        <f aca="false">C1218*Config!$B$8</f>
        <v>162.257265271986</v>
      </c>
    </row>
    <row r="1219" customFormat="false" ht="15" hidden="false" customHeight="false" outlineLevel="0" collapsed="false">
      <c r="A1219" s="12" t="n">
        <v>2086.759</v>
      </c>
      <c r="B1219" s="13" t="n">
        <f aca="false">A1219-$A$2</f>
        <v>60.8779999999999</v>
      </c>
      <c r="C1219" s="14" t="n">
        <v>457.15</v>
      </c>
      <c r="D1219" s="13" t="n">
        <f aca="false">C1219*Config!$B$8</f>
        <v>163.113598282767</v>
      </c>
    </row>
    <row r="1220" customFormat="false" ht="15" hidden="false" customHeight="false" outlineLevel="0" collapsed="false">
      <c r="A1220" s="12" t="n">
        <v>2086.809</v>
      </c>
      <c r="B1220" s="13" t="n">
        <f aca="false">A1220-$A$2</f>
        <v>60.9280000000001</v>
      </c>
      <c r="C1220" s="14" t="n">
        <v>458.53</v>
      </c>
      <c r="D1220" s="13" t="n">
        <f aca="false">C1220*Config!$B$8</f>
        <v>163.605989763966</v>
      </c>
    </row>
    <row r="1221" customFormat="false" ht="15" hidden="false" customHeight="false" outlineLevel="0" collapsed="false">
      <c r="A1221" s="12" t="n">
        <v>2086.859</v>
      </c>
      <c r="B1221" s="13" t="n">
        <f aca="false">A1221-$A$2</f>
        <v>60.9779999999998</v>
      </c>
      <c r="C1221" s="14" t="n">
        <v>460.72</v>
      </c>
      <c r="D1221" s="13" t="n">
        <f aca="false">C1221*Config!$B$8</f>
        <v>164.387393636304</v>
      </c>
    </row>
    <row r="1222" customFormat="false" ht="15" hidden="false" customHeight="false" outlineLevel="0" collapsed="false">
      <c r="A1222" s="12" t="n">
        <v>2086.909</v>
      </c>
      <c r="B1222" s="13" t="n">
        <f aca="false">A1222-$A$2</f>
        <v>61.028</v>
      </c>
      <c r="C1222" s="14" t="n">
        <v>455.8</v>
      </c>
      <c r="D1222" s="13" t="n">
        <f aca="false">C1222*Config!$B$8</f>
        <v>162.631910964202</v>
      </c>
    </row>
    <row r="1223" customFormat="false" ht="15" hidden="false" customHeight="false" outlineLevel="0" collapsed="false">
      <c r="A1223" s="12" t="n">
        <v>2086.959</v>
      </c>
      <c r="B1223" s="13" t="n">
        <f aca="false">A1223-$A$2</f>
        <v>61.0779999999998</v>
      </c>
      <c r="C1223" s="14" t="n">
        <v>452.3</v>
      </c>
      <c r="D1223" s="13" t="n">
        <f aca="false">C1223*Config!$B$8</f>
        <v>161.383091990147</v>
      </c>
    </row>
    <row r="1224" customFormat="false" ht="15" hidden="false" customHeight="false" outlineLevel="0" collapsed="false">
      <c r="A1224" s="12" t="n">
        <v>2087.009</v>
      </c>
      <c r="B1224" s="13" t="n">
        <f aca="false">A1224-$A$2</f>
        <v>61.1279999999999</v>
      </c>
      <c r="C1224" s="14" t="n">
        <v>459.38</v>
      </c>
      <c r="D1224" s="13" t="n">
        <f aca="false">C1224*Config!$B$8</f>
        <v>163.909274371951</v>
      </c>
    </row>
    <row r="1225" customFormat="false" ht="15" hidden="false" customHeight="false" outlineLevel="0" collapsed="false">
      <c r="A1225" s="12" t="n">
        <v>2087.059</v>
      </c>
      <c r="B1225" s="13" t="n">
        <f aca="false">A1225-$A$2</f>
        <v>61.1780000000001</v>
      </c>
      <c r="C1225" s="14" t="n">
        <v>456.97</v>
      </c>
      <c r="D1225" s="13" t="n">
        <f aca="false">C1225*Config!$B$8</f>
        <v>163.049373306958</v>
      </c>
    </row>
    <row r="1226" customFormat="false" ht="15" hidden="false" customHeight="false" outlineLevel="0" collapsed="false">
      <c r="A1226" s="12" t="n">
        <v>2087.109</v>
      </c>
      <c r="B1226" s="13" t="n">
        <f aca="false">A1226-$A$2</f>
        <v>61.2279999999998</v>
      </c>
      <c r="C1226" s="14" t="n">
        <v>470.99</v>
      </c>
      <c r="D1226" s="13" t="n">
        <f aca="false">C1226*Config!$B$8</f>
        <v>168.051785311605</v>
      </c>
    </row>
    <row r="1227" customFormat="false" ht="15" hidden="false" customHeight="false" outlineLevel="0" collapsed="false">
      <c r="A1227" s="12" t="n">
        <v>2087.159</v>
      </c>
      <c r="B1227" s="13" t="n">
        <f aca="false">A1227-$A$2</f>
        <v>61.278</v>
      </c>
      <c r="C1227" s="14" t="n">
        <v>474.61</v>
      </c>
      <c r="D1227" s="13" t="n">
        <f aca="false">C1227*Config!$B$8</f>
        <v>169.3434209362</v>
      </c>
    </row>
    <row r="1228" customFormat="false" ht="15" hidden="false" customHeight="false" outlineLevel="0" collapsed="false">
      <c r="A1228" s="12" t="n">
        <v>2087.209</v>
      </c>
      <c r="B1228" s="13" t="n">
        <f aca="false">A1228-$A$2</f>
        <v>61.3279999999998</v>
      </c>
      <c r="C1228" s="14" t="n">
        <v>460.02</v>
      </c>
      <c r="D1228" s="13" t="n">
        <f aca="false">C1228*Config!$B$8</f>
        <v>164.137629841493</v>
      </c>
    </row>
    <row r="1229" customFormat="false" ht="15" hidden="false" customHeight="false" outlineLevel="0" collapsed="false">
      <c r="A1229" s="12" t="n">
        <v>2087.259</v>
      </c>
      <c r="B1229" s="13" t="n">
        <f aca="false">A1229-$A$2</f>
        <v>61.3779999999999</v>
      </c>
      <c r="C1229" s="14" t="n">
        <v>461.85</v>
      </c>
      <c r="D1229" s="13" t="n">
        <f aca="false">C1229*Config!$B$8</f>
        <v>164.790583762214</v>
      </c>
    </row>
    <row r="1230" customFormat="false" ht="15" hidden="false" customHeight="false" outlineLevel="0" collapsed="false">
      <c r="A1230" s="12" t="n">
        <v>2087.309</v>
      </c>
      <c r="B1230" s="13" t="n">
        <f aca="false">A1230-$A$2</f>
        <v>61.4280000000001</v>
      </c>
      <c r="C1230" s="14" t="n">
        <v>452.41</v>
      </c>
      <c r="D1230" s="13" t="n">
        <f aca="false">C1230*Config!$B$8</f>
        <v>161.422340586474</v>
      </c>
    </row>
    <row r="1231" customFormat="false" ht="15" hidden="false" customHeight="false" outlineLevel="0" collapsed="false">
      <c r="A1231" s="12" t="n">
        <v>2087.359</v>
      </c>
      <c r="B1231" s="13" t="n">
        <f aca="false">A1231-$A$2</f>
        <v>61.4779999999998</v>
      </c>
      <c r="C1231" s="14" t="n">
        <v>437.28</v>
      </c>
      <c r="D1231" s="13" t="n">
        <f aca="false">C1231*Config!$B$8</f>
        <v>156.023874564341</v>
      </c>
    </row>
    <row r="1232" customFormat="false" ht="15" hidden="false" customHeight="false" outlineLevel="0" collapsed="false">
      <c r="A1232" s="12" t="n">
        <v>2087.409</v>
      </c>
      <c r="B1232" s="13" t="n">
        <f aca="false">A1232-$A$2</f>
        <v>61.528</v>
      </c>
      <c r="C1232" s="14" t="n">
        <v>475.91</v>
      </c>
      <c r="D1232" s="13" t="n">
        <f aca="false">C1232*Config!$B$8</f>
        <v>169.807267983707</v>
      </c>
    </row>
    <row r="1233" customFormat="false" ht="15" hidden="false" customHeight="false" outlineLevel="0" collapsed="false">
      <c r="A1233" s="12" t="n">
        <v>2087.459</v>
      </c>
      <c r="B1233" s="13" t="n">
        <f aca="false">A1233-$A$2</f>
        <v>61.5779999999998</v>
      </c>
      <c r="C1233" s="14" t="n">
        <v>456.9</v>
      </c>
      <c r="D1233" s="13" t="n">
        <f aca="false">C1233*Config!$B$8</f>
        <v>163.024396927477</v>
      </c>
    </row>
    <row r="1234" customFormat="false" ht="15" hidden="false" customHeight="false" outlineLevel="0" collapsed="false">
      <c r="A1234" s="12" t="n">
        <v>2087.51</v>
      </c>
      <c r="B1234" s="13" t="n">
        <f aca="false">A1234-$A$2</f>
        <v>61.6290000000001</v>
      </c>
      <c r="C1234" s="14" t="n">
        <v>453.93</v>
      </c>
      <c r="D1234" s="13" t="n">
        <f aca="false">C1234*Config!$B$8</f>
        <v>161.964684826635</v>
      </c>
    </row>
    <row r="1235" customFormat="false" ht="15" hidden="false" customHeight="false" outlineLevel="0" collapsed="false">
      <c r="A1235" s="12" t="n">
        <v>2087.56</v>
      </c>
      <c r="B1235" s="13" t="n">
        <f aca="false">A1235-$A$2</f>
        <v>61.6789999999999</v>
      </c>
      <c r="C1235" s="14" t="n">
        <v>455.12</v>
      </c>
      <c r="D1235" s="13" t="n">
        <f aca="false">C1235*Config!$B$8</f>
        <v>162.389283277814</v>
      </c>
    </row>
    <row r="1236" customFormat="false" ht="15" hidden="false" customHeight="false" outlineLevel="0" collapsed="false">
      <c r="A1236" s="12" t="n">
        <v>2087.61</v>
      </c>
      <c r="B1236" s="13" t="n">
        <f aca="false">A1236-$A$2</f>
        <v>61.729</v>
      </c>
      <c r="C1236" s="14" t="n">
        <v>449.32</v>
      </c>
      <c r="D1236" s="13" t="n">
        <f aca="false">C1236*Config!$B$8</f>
        <v>160.319811835093</v>
      </c>
    </row>
    <row r="1237" customFormat="false" ht="15" hidden="false" customHeight="false" outlineLevel="0" collapsed="false">
      <c r="A1237" s="12" t="n">
        <v>2087.66</v>
      </c>
      <c r="B1237" s="13" t="n">
        <f aca="false">A1237-$A$2</f>
        <v>61.7789999999998</v>
      </c>
      <c r="C1237" s="14" t="n">
        <v>447.12</v>
      </c>
      <c r="D1237" s="13" t="n">
        <f aca="false">C1237*Config!$B$8</f>
        <v>159.534839908544</v>
      </c>
    </row>
    <row r="1238" customFormat="false" ht="15" hidden="false" customHeight="false" outlineLevel="0" collapsed="false">
      <c r="A1238" s="12" t="n">
        <v>2087.71</v>
      </c>
      <c r="B1238" s="13" t="n">
        <f aca="false">A1238-$A$2</f>
        <v>61.829</v>
      </c>
      <c r="C1238" s="14" t="n">
        <v>451.33</v>
      </c>
      <c r="D1238" s="13" t="n">
        <f aca="false">C1238*Config!$B$8</f>
        <v>161.036990731622</v>
      </c>
    </row>
    <row r="1239" customFormat="false" ht="15" hidden="false" customHeight="false" outlineLevel="0" collapsed="false">
      <c r="A1239" s="12" t="n">
        <v>2087.76</v>
      </c>
      <c r="B1239" s="13" t="n">
        <f aca="false">A1239-$A$2</f>
        <v>61.8790000000001</v>
      </c>
      <c r="C1239" s="14" t="n">
        <v>460.15</v>
      </c>
      <c r="D1239" s="13" t="n">
        <f aca="false">C1239*Config!$B$8</f>
        <v>164.184014546243</v>
      </c>
    </row>
    <row r="1240" customFormat="false" ht="15" hidden="false" customHeight="false" outlineLevel="0" collapsed="false">
      <c r="A1240" s="12" t="n">
        <v>2087.81</v>
      </c>
      <c r="B1240" s="13" t="n">
        <f aca="false">A1240-$A$2</f>
        <v>61.9289999999999</v>
      </c>
      <c r="C1240" s="14" t="n">
        <v>448.38</v>
      </c>
      <c r="D1240" s="13" t="n">
        <f aca="false">C1240*Config!$B$8</f>
        <v>159.984414739204</v>
      </c>
    </row>
    <row r="1241" customFormat="false" ht="15" hidden="false" customHeight="false" outlineLevel="0" collapsed="false">
      <c r="A1241" s="12" t="n">
        <v>2087.86</v>
      </c>
      <c r="B1241" s="13" t="n">
        <f aca="false">A1241-$A$2</f>
        <v>61.979</v>
      </c>
      <c r="C1241" s="14" t="n">
        <v>449.11</v>
      </c>
      <c r="D1241" s="13" t="n">
        <f aca="false">C1241*Config!$B$8</f>
        <v>160.24488269665</v>
      </c>
    </row>
    <row r="1242" customFormat="false" ht="15" hidden="false" customHeight="false" outlineLevel="0" collapsed="false">
      <c r="A1242" s="12" t="n">
        <v>2087.91</v>
      </c>
      <c r="B1242" s="13" t="n">
        <f aca="false">A1242-$A$2</f>
        <v>62.0289999999998</v>
      </c>
      <c r="C1242" s="14" t="n">
        <v>459.12</v>
      </c>
      <c r="D1242" s="13" t="n">
        <f aca="false">C1242*Config!$B$8</f>
        <v>163.81650496245</v>
      </c>
    </row>
    <row r="1243" customFormat="false" ht="15" hidden="false" customHeight="false" outlineLevel="0" collapsed="false">
      <c r="A1243" s="12" t="n">
        <v>2087.96</v>
      </c>
      <c r="B1243" s="13" t="n">
        <f aca="false">A1243-$A$2</f>
        <v>62.079</v>
      </c>
      <c r="C1243" s="14" t="n">
        <v>453.85</v>
      </c>
      <c r="D1243" s="13" t="n">
        <f aca="false">C1243*Config!$B$8</f>
        <v>161.936140392943</v>
      </c>
    </row>
    <row r="1244" customFormat="false" ht="15" hidden="false" customHeight="false" outlineLevel="0" collapsed="false">
      <c r="A1244" s="12" t="n">
        <v>2088.01</v>
      </c>
      <c r="B1244" s="13" t="n">
        <f aca="false">A1244-$A$2</f>
        <v>62.1290000000001</v>
      </c>
      <c r="C1244" s="14" t="n">
        <v>464.66</v>
      </c>
      <c r="D1244" s="13" t="n">
        <f aca="false">C1244*Config!$B$8</f>
        <v>165.79320699567</v>
      </c>
    </row>
    <row r="1245" customFormat="false" ht="15" hidden="false" customHeight="false" outlineLevel="0" collapsed="false">
      <c r="A1245" s="12" t="n">
        <v>2088.06</v>
      </c>
      <c r="B1245" s="13" t="n">
        <f aca="false">A1245-$A$2</f>
        <v>62.1789999999999</v>
      </c>
      <c r="C1245" s="14" t="n">
        <v>480.25</v>
      </c>
      <c r="D1245" s="13" t="n">
        <f aca="false">C1245*Config!$B$8</f>
        <v>171.355803511536</v>
      </c>
    </row>
    <row r="1246" customFormat="false" ht="15" hidden="false" customHeight="false" outlineLevel="0" collapsed="false">
      <c r="A1246" s="12" t="n">
        <v>2088.11</v>
      </c>
      <c r="B1246" s="13" t="n">
        <f aca="false">A1246-$A$2</f>
        <v>62.229</v>
      </c>
      <c r="C1246" s="14" t="n">
        <v>450.03</v>
      </c>
      <c r="D1246" s="13" t="n">
        <f aca="false">C1246*Config!$B$8</f>
        <v>160.573143684116</v>
      </c>
    </row>
    <row r="1247" customFormat="false" ht="15" hidden="false" customHeight="false" outlineLevel="0" collapsed="false">
      <c r="A1247" s="12" t="n">
        <v>2088.16</v>
      </c>
      <c r="B1247" s="13" t="n">
        <f aca="false">A1247-$A$2</f>
        <v>62.2789999999998</v>
      </c>
      <c r="C1247" s="14" t="n">
        <v>464.07</v>
      </c>
      <c r="D1247" s="13" t="n">
        <f aca="false">C1247*Config!$B$8</f>
        <v>165.582691797186</v>
      </c>
    </row>
    <row r="1248" customFormat="false" ht="15" hidden="false" customHeight="false" outlineLevel="0" collapsed="false">
      <c r="A1248" s="12" t="n">
        <v>2088.21</v>
      </c>
      <c r="B1248" s="13" t="n">
        <f aca="false">A1248-$A$2</f>
        <v>62.329</v>
      </c>
      <c r="C1248" s="14" t="n">
        <v>468.1</v>
      </c>
      <c r="D1248" s="13" t="n">
        <f aca="false">C1248*Config!$B$8</f>
        <v>167.020617644456</v>
      </c>
    </row>
    <row r="1249" customFormat="false" ht="15" hidden="false" customHeight="false" outlineLevel="0" collapsed="false">
      <c r="A1249" s="12" t="n">
        <v>2088.26</v>
      </c>
      <c r="B1249" s="13" t="n">
        <f aca="false">A1249-$A$2</f>
        <v>62.3790000000001</v>
      </c>
      <c r="C1249" s="14" t="n">
        <v>472.26</v>
      </c>
      <c r="D1249" s="13" t="n">
        <f aca="false">C1249*Config!$B$8</f>
        <v>168.504928196477</v>
      </c>
    </row>
    <row r="1250" customFormat="false" ht="15" hidden="false" customHeight="false" outlineLevel="0" collapsed="false">
      <c r="A1250" s="12" t="n">
        <v>2088.31</v>
      </c>
      <c r="B1250" s="13" t="n">
        <f aca="false">A1250-$A$2</f>
        <v>62.4289999999999</v>
      </c>
      <c r="C1250" s="14" t="n">
        <v>459.37</v>
      </c>
      <c r="D1250" s="13" t="n">
        <f aca="false">C1250*Config!$B$8</f>
        <v>163.90570631774</v>
      </c>
    </row>
    <row r="1251" customFormat="false" ht="15" hidden="false" customHeight="false" outlineLevel="0" collapsed="false">
      <c r="A1251" s="12" t="n">
        <v>2088.36</v>
      </c>
      <c r="B1251" s="13" t="n">
        <f aca="false">A1251-$A$2</f>
        <v>62.479</v>
      </c>
      <c r="C1251" s="14" t="n">
        <v>467.36</v>
      </c>
      <c r="D1251" s="13" t="n">
        <f aca="false">C1251*Config!$B$8</f>
        <v>166.756581632799</v>
      </c>
    </row>
    <row r="1252" customFormat="false" ht="15" hidden="false" customHeight="false" outlineLevel="0" collapsed="false">
      <c r="A1252" s="12" t="n">
        <v>2088.41</v>
      </c>
      <c r="B1252" s="13" t="n">
        <f aca="false">A1252-$A$2</f>
        <v>62.5289999999998</v>
      </c>
      <c r="C1252" s="14" t="n">
        <v>452.2</v>
      </c>
      <c r="D1252" s="13" t="n">
        <f aca="false">C1252*Config!$B$8</f>
        <v>161.347411448031</v>
      </c>
    </row>
    <row r="1253" customFormat="false" ht="15" hidden="false" customHeight="false" outlineLevel="0" collapsed="false">
      <c r="A1253" s="12" t="n">
        <v>2088.46</v>
      </c>
      <c r="B1253" s="13" t="n">
        <f aca="false">A1253-$A$2</f>
        <v>62.579</v>
      </c>
      <c r="C1253" s="14" t="n">
        <v>470.5</v>
      </c>
      <c r="D1253" s="13" t="n">
        <f aca="false">C1253*Config!$B$8</f>
        <v>167.876950655238</v>
      </c>
    </row>
    <row r="1254" customFormat="false" ht="15" hidden="false" customHeight="false" outlineLevel="0" collapsed="false">
      <c r="A1254" s="12" t="n">
        <v>2088.51</v>
      </c>
      <c r="B1254" s="13" t="n">
        <f aca="false">A1254-$A$2</f>
        <v>62.6290000000001</v>
      </c>
      <c r="C1254" s="14" t="n">
        <v>462.56</v>
      </c>
      <c r="D1254" s="13" t="n">
        <f aca="false">C1254*Config!$B$8</f>
        <v>165.043915611236</v>
      </c>
    </row>
    <row r="1255" customFormat="false" ht="15" hidden="false" customHeight="false" outlineLevel="0" collapsed="false">
      <c r="A1255" s="12" t="n">
        <v>2088.56</v>
      </c>
      <c r="B1255" s="13" t="n">
        <f aca="false">A1255-$A$2</f>
        <v>62.6789999999999</v>
      </c>
      <c r="C1255" s="14" t="n">
        <v>460.3</v>
      </c>
      <c r="D1255" s="13" t="n">
        <f aca="false">C1255*Config!$B$8</f>
        <v>164.237535359417</v>
      </c>
    </row>
    <row r="1256" customFormat="false" ht="15" hidden="false" customHeight="false" outlineLevel="0" collapsed="false">
      <c r="A1256" s="12" t="n">
        <v>2088.61</v>
      </c>
      <c r="B1256" s="13" t="n">
        <f aca="false">A1256-$A$2</f>
        <v>62.729</v>
      </c>
      <c r="C1256" s="14" t="n">
        <v>466.79</v>
      </c>
      <c r="D1256" s="13" t="n">
        <f aca="false">C1256*Config!$B$8</f>
        <v>166.553202542738</v>
      </c>
    </row>
    <row r="1257" customFormat="false" ht="15" hidden="false" customHeight="false" outlineLevel="0" collapsed="false">
      <c r="A1257" s="12" t="n">
        <v>2088.66</v>
      </c>
      <c r="B1257" s="13" t="n">
        <f aca="false">A1257-$A$2</f>
        <v>62.7789999999998</v>
      </c>
      <c r="C1257" s="14" t="n">
        <v>467.68</v>
      </c>
      <c r="D1257" s="13" t="n">
        <f aca="false">C1257*Config!$B$8</f>
        <v>166.87075936757</v>
      </c>
    </row>
    <row r="1258" customFormat="false" ht="15" hidden="false" customHeight="false" outlineLevel="0" collapsed="false">
      <c r="A1258" s="12" t="n">
        <v>2088.71</v>
      </c>
      <c r="B1258" s="13" t="n">
        <f aca="false">A1258-$A$2</f>
        <v>62.829</v>
      </c>
      <c r="C1258" s="14" t="n">
        <v>461.71</v>
      </c>
      <c r="D1258" s="13" t="n">
        <f aca="false">C1258*Config!$B$8</f>
        <v>164.740631003251</v>
      </c>
    </row>
    <row r="1259" customFormat="false" ht="15" hidden="false" customHeight="false" outlineLevel="0" collapsed="false">
      <c r="A1259" s="12" t="n">
        <v>2088.76</v>
      </c>
      <c r="B1259" s="13" t="n">
        <f aca="false">A1259-$A$2</f>
        <v>62.8790000000001</v>
      </c>
      <c r="C1259" s="14" t="n">
        <v>457.78</v>
      </c>
      <c r="D1259" s="13" t="n">
        <f aca="false">C1259*Config!$B$8</f>
        <v>163.338385698097</v>
      </c>
    </row>
    <row r="1260" customFormat="false" ht="15" hidden="false" customHeight="false" outlineLevel="0" collapsed="false">
      <c r="A1260" s="12" t="n">
        <v>2088.81</v>
      </c>
      <c r="B1260" s="13" t="n">
        <f aca="false">A1260-$A$2</f>
        <v>62.9289999999999</v>
      </c>
      <c r="C1260" s="14" t="n">
        <v>465.49</v>
      </c>
      <c r="D1260" s="13" t="n">
        <f aca="false">C1260*Config!$B$8</f>
        <v>166.089355495232</v>
      </c>
    </row>
    <row r="1261" customFormat="false" ht="15" hidden="false" customHeight="false" outlineLevel="0" collapsed="false">
      <c r="A1261" s="12" t="n">
        <v>2088.86</v>
      </c>
      <c r="B1261" s="13" t="n">
        <f aca="false">A1261-$A$2</f>
        <v>62.979</v>
      </c>
      <c r="C1261" s="14" t="n">
        <v>466.5</v>
      </c>
      <c r="D1261" s="13" t="n">
        <f aca="false">C1261*Config!$B$8</f>
        <v>166.449728970602</v>
      </c>
    </row>
    <row r="1262" customFormat="false" ht="15" hidden="false" customHeight="false" outlineLevel="0" collapsed="false">
      <c r="A1262" s="12" t="n">
        <v>2088.91</v>
      </c>
      <c r="B1262" s="13" t="n">
        <f aca="false">A1262-$A$2</f>
        <v>63.0289999999998</v>
      </c>
      <c r="C1262" s="14" t="n">
        <v>479.14</v>
      </c>
      <c r="D1262" s="13" t="n">
        <f aca="false">C1262*Config!$B$8</f>
        <v>170.95974949405</v>
      </c>
    </row>
    <row r="1263" customFormat="false" ht="15" hidden="false" customHeight="false" outlineLevel="0" collapsed="false">
      <c r="A1263" s="12" t="n">
        <v>2088.96</v>
      </c>
      <c r="B1263" s="13" t="n">
        <f aca="false">A1263-$A$2</f>
        <v>63.079</v>
      </c>
      <c r="C1263" s="14" t="n">
        <v>453.44</v>
      </c>
      <c r="D1263" s="13" t="n">
        <f aca="false">C1263*Config!$B$8</f>
        <v>161.789850170268</v>
      </c>
    </row>
    <row r="1264" customFormat="false" ht="15" hidden="false" customHeight="false" outlineLevel="0" collapsed="false">
      <c r="A1264" s="12" t="n">
        <v>2089.01</v>
      </c>
      <c r="B1264" s="13" t="n">
        <f aca="false">A1264-$A$2</f>
        <v>63.1290000000001</v>
      </c>
      <c r="C1264" s="14" t="n">
        <v>453.41</v>
      </c>
      <c r="D1264" s="13" t="n">
        <f aca="false">C1264*Config!$B$8</f>
        <v>161.779146007633</v>
      </c>
    </row>
    <row r="1265" customFormat="false" ht="15" hidden="false" customHeight="false" outlineLevel="0" collapsed="false">
      <c r="A1265" s="12" t="n">
        <v>2089.06</v>
      </c>
      <c r="B1265" s="13" t="n">
        <f aca="false">A1265-$A$2</f>
        <v>63.1789999999999</v>
      </c>
      <c r="C1265" s="14" t="n">
        <v>451.8</v>
      </c>
      <c r="D1265" s="13" t="n">
        <f aca="false">C1265*Config!$B$8</f>
        <v>161.204689279567</v>
      </c>
    </row>
    <row r="1266" customFormat="false" ht="15" hidden="false" customHeight="false" outlineLevel="0" collapsed="false">
      <c r="A1266" s="12" t="n">
        <v>2089.11</v>
      </c>
      <c r="B1266" s="13" t="n">
        <f aca="false">A1266-$A$2</f>
        <v>63.229</v>
      </c>
      <c r="C1266" s="14" t="n">
        <v>468.24</v>
      </c>
      <c r="D1266" s="13" t="n">
        <f aca="false">C1266*Config!$B$8</f>
        <v>167.070570403419</v>
      </c>
    </row>
    <row r="1267" customFormat="false" ht="15" hidden="false" customHeight="false" outlineLevel="0" collapsed="false">
      <c r="A1267" s="12" t="n">
        <v>2089.16</v>
      </c>
      <c r="B1267" s="13" t="n">
        <f aca="false">A1267-$A$2</f>
        <v>63.2789999999998</v>
      </c>
      <c r="C1267" s="14" t="n">
        <v>459.38</v>
      </c>
      <c r="D1267" s="13" t="n">
        <f aca="false">C1267*Config!$B$8</f>
        <v>163.909274371951</v>
      </c>
    </row>
    <row r="1268" customFormat="false" ht="15" hidden="false" customHeight="false" outlineLevel="0" collapsed="false">
      <c r="A1268" s="12" t="n">
        <v>2089.21</v>
      </c>
      <c r="B1268" s="13" t="n">
        <f aca="false">A1268-$A$2</f>
        <v>63.329</v>
      </c>
      <c r="C1268" s="14" t="n">
        <v>466.02</v>
      </c>
      <c r="D1268" s="13" t="n">
        <f aca="false">C1268*Config!$B$8</f>
        <v>166.278462368446</v>
      </c>
    </row>
    <row r="1269" customFormat="false" ht="15" hidden="false" customHeight="false" outlineLevel="0" collapsed="false">
      <c r="A1269" s="12" t="n">
        <v>2089.26</v>
      </c>
      <c r="B1269" s="13" t="n">
        <f aca="false">A1269-$A$2</f>
        <v>63.3790000000001</v>
      </c>
      <c r="C1269" s="14" t="n">
        <v>468.16</v>
      </c>
      <c r="D1269" s="13" t="n">
        <f aca="false">C1269*Config!$B$8</f>
        <v>167.042025969726</v>
      </c>
    </row>
    <row r="1270" customFormat="false" ht="15" hidden="false" customHeight="false" outlineLevel="0" collapsed="false">
      <c r="A1270" s="12" t="n">
        <v>2089.31</v>
      </c>
      <c r="B1270" s="13" t="n">
        <f aca="false">A1270-$A$2</f>
        <v>63.4289999999999</v>
      </c>
      <c r="C1270" s="14" t="n">
        <v>471.22</v>
      </c>
      <c r="D1270" s="13" t="n">
        <f aca="false">C1270*Config!$B$8</f>
        <v>168.133850558472</v>
      </c>
    </row>
    <row r="1271" customFormat="false" ht="15" hidden="false" customHeight="false" outlineLevel="0" collapsed="false">
      <c r="A1271" s="12" t="n">
        <v>2089.36</v>
      </c>
      <c r="B1271" s="13" t="n">
        <f aca="false">A1271-$A$2</f>
        <v>63.479</v>
      </c>
      <c r="C1271" s="14" t="n">
        <v>441.98</v>
      </c>
      <c r="D1271" s="13" t="n">
        <f aca="false">C1271*Config!$B$8</f>
        <v>157.700860043787</v>
      </c>
    </row>
    <row r="1272" customFormat="false" ht="15" hidden="false" customHeight="false" outlineLevel="0" collapsed="false">
      <c r="A1272" s="12" t="n">
        <v>2089.41</v>
      </c>
      <c r="B1272" s="13" t="n">
        <f aca="false">A1272-$A$2</f>
        <v>63.5289999999998</v>
      </c>
      <c r="C1272" s="14" t="n">
        <v>460.09</v>
      </c>
      <c r="D1272" s="13" t="n">
        <f aca="false">C1272*Config!$B$8</f>
        <v>164.162606220974</v>
      </c>
    </row>
    <row r="1273" customFormat="false" ht="15" hidden="false" customHeight="false" outlineLevel="0" collapsed="false">
      <c r="A1273" s="12" t="n">
        <v>2089.46</v>
      </c>
      <c r="B1273" s="13" t="n">
        <f aca="false">A1273-$A$2</f>
        <v>63.579</v>
      </c>
      <c r="C1273" s="14" t="n">
        <v>484.94</v>
      </c>
      <c r="D1273" s="13" t="n">
        <f aca="false">C1273*Config!$B$8</f>
        <v>173.029220936771</v>
      </c>
    </row>
    <row r="1274" customFormat="false" ht="15" hidden="false" customHeight="false" outlineLevel="0" collapsed="false">
      <c r="A1274" s="12" t="n">
        <v>2089.51</v>
      </c>
      <c r="B1274" s="13" t="n">
        <f aca="false">A1274-$A$2</f>
        <v>63.6290000000001</v>
      </c>
      <c r="C1274" s="14" t="n">
        <v>455.06</v>
      </c>
      <c r="D1274" s="13" t="n">
        <f aca="false">C1274*Config!$B$8</f>
        <v>162.367874952545</v>
      </c>
    </row>
    <row r="1275" customFormat="false" ht="15" hidden="false" customHeight="false" outlineLevel="0" collapsed="false">
      <c r="A1275" s="12" t="n">
        <v>2089.56</v>
      </c>
      <c r="B1275" s="13" t="n">
        <f aca="false">A1275-$A$2</f>
        <v>63.6789999999999</v>
      </c>
      <c r="C1275" s="14" t="n">
        <v>450.31</v>
      </c>
      <c r="D1275" s="13" t="n">
        <f aca="false">C1275*Config!$B$8</f>
        <v>160.67304920204</v>
      </c>
    </row>
    <row r="1276" customFormat="false" ht="15" hidden="false" customHeight="false" outlineLevel="0" collapsed="false">
      <c r="A1276" s="12" t="n">
        <v>2089.61</v>
      </c>
      <c r="B1276" s="13" t="n">
        <f aca="false">A1276-$A$2</f>
        <v>63.729</v>
      </c>
      <c r="C1276" s="14" t="n">
        <v>470.11</v>
      </c>
      <c r="D1276" s="13" t="n">
        <f aca="false">C1276*Config!$B$8</f>
        <v>167.737796540986</v>
      </c>
    </row>
    <row r="1277" customFormat="false" ht="15" hidden="false" customHeight="false" outlineLevel="0" collapsed="false">
      <c r="A1277" s="12" t="n">
        <v>2089.66</v>
      </c>
      <c r="B1277" s="13" t="n">
        <f aca="false">A1277-$A$2</f>
        <v>63.7789999999998</v>
      </c>
      <c r="C1277" s="14" t="n">
        <v>471.47</v>
      </c>
      <c r="D1277" s="13" t="n">
        <f aca="false">C1277*Config!$B$8</f>
        <v>168.223051913762</v>
      </c>
    </row>
    <row r="1278" customFormat="false" ht="15" hidden="false" customHeight="false" outlineLevel="0" collapsed="false">
      <c r="A1278" s="12" t="n">
        <v>2089.71</v>
      </c>
      <c r="B1278" s="13" t="n">
        <f aca="false">A1278-$A$2</f>
        <v>63.829</v>
      </c>
      <c r="C1278" s="14" t="n">
        <v>462.59</v>
      </c>
      <c r="D1278" s="13" t="n">
        <f aca="false">C1278*Config!$B$8</f>
        <v>165.054619773871</v>
      </c>
    </row>
    <row r="1279" customFormat="false" ht="15" hidden="false" customHeight="false" outlineLevel="0" collapsed="false">
      <c r="A1279" s="12" t="n">
        <v>2089.76</v>
      </c>
      <c r="B1279" s="13" t="n">
        <f aca="false">A1279-$A$2</f>
        <v>63.8790000000001</v>
      </c>
      <c r="C1279" s="14" t="n">
        <v>462.16</v>
      </c>
      <c r="D1279" s="13" t="n">
        <f aca="false">C1279*Config!$B$8</f>
        <v>164.901193442773</v>
      </c>
    </row>
    <row r="1280" customFormat="false" ht="15" hidden="false" customHeight="false" outlineLevel="0" collapsed="false">
      <c r="A1280" s="12" t="n">
        <v>2089.81</v>
      </c>
      <c r="B1280" s="13" t="n">
        <f aca="false">A1280-$A$2</f>
        <v>63.9289999999999</v>
      </c>
      <c r="C1280" s="14" t="n">
        <v>469.82</v>
      </c>
      <c r="D1280" s="13" t="n">
        <f aca="false">C1280*Config!$B$8</f>
        <v>167.63432296885</v>
      </c>
    </row>
    <row r="1281" customFormat="false" ht="15" hidden="false" customHeight="false" outlineLevel="0" collapsed="false">
      <c r="A1281" s="12" t="n">
        <v>2089.86</v>
      </c>
      <c r="B1281" s="13" t="n">
        <f aca="false">A1281-$A$2</f>
        <v>63.979</v>
      </c>
      <c r="C1281" s="14" t="n">
        <v>455.44</v>
      </c>
      <c r="D1281" s="13" t="n">
        <f aca="false">C1281*Config!$B$8</f>
        <v>162.503461012585</v>
      </c>
    </row>
    <row r="1282" customFormat="false" ht="15" hidden="false" customHeight="false" outlineLevel="0" collapsed="false">
      <c r="A1282" s="12" t="n">
        <v>2089.91</v>
      </c>
      <c r="B1282" s="13" t="n">
        <f aca="false">A1282-$A$2</f>
        <v>64.0289999999998</v>
      </c>
      <c r="C1282" s="14" t="n">
        <v>463.28</v>
      </c>
      <c r="D1282" s="13" t="n">
        <f aca="false">C1282*Config!$B$8</f>
        <v>165.300815514471</v>
      </c>
    </row>
    <row r="1283" customFormat="false" ht="15" hidden="false" customHeight="false" outlineLevel="0" collapsed="false">
      <c r="A1283" s="12" t="n">
        <v>2089.96</v>
      </c>
      <c r="B1283" s="13" t="n">
        <f aca="false">A1283-$A$2</f>
        <v>64.079</v>
      </c>
      <c r="C1283" s="14" t="n">
        <v>464.26</v>
      </c>
      <c r="D1283" s="13" t="n">
        <f aca="false">C1283*Config!$B$8</f>
        <v>165.650484827206</v>
      </c>
    </row>
    <row r="1284" customFormat="false" ht="15" hidden="false" customHeight="false" outlineLevel="0" collapsed="false">
      <c r="A1284" s="12" t="n">
        <v>2090.01</v>
      </c>
      <c r="B1284" s="13" t="n">
        <f aca="false">A1284-$A$2</f>
        <v>64.1290000000001</v>
      </c>
      <c r="C1284" s="14" t="n">
        <v>461.86</v>
      </c>
      <c r="D1284" s="13" t="n">
        <f aca="false">C1284*Config!$B$8</f>
        <v>164.794151816425</v>
      </c>
    </row>
    <row r="1285" customFormat="false" ht="15" hidden="false" customHeight="false" outlineLevel="0" collapsed="false">
      <c r="A1285" s="12" t="n">
        <v>2090.06</v>
      </c>
      <c r="B1285" s="13" t="n">
        <f aca="false">A1285-$A$2</f>
        <v>64.1789999999999</v>
      </c>
      <c r="C1285" s="14" t="n">
        <v>462.65</v>
      </c>
      <c r="D1285" s="13" t="n">
        <f aca="false">C1285*Config!$B$8</f>
        <v>165.076028099141</v>
      </c>
    </row>
    <row r="1286" customFormat="false" ht="15" hidden="false" customHeight="false" outlineLevel="0" collapsed="false">
      <c r="A1286" s="12" t="n">
        <v>2090.11</v>
      </c>
      <c r="B1286" s="13" t="n">
        <f aca="false">A1286-$A$2</f>
        <v>64.229</v>
      </c>
      <c r="C1286" s="14" t="n">
        <v>468.44</v>
      </c>
      <c r="D1286" s="13" t="n">
        <f aca="false">C1286*Config!$B$8</f>
        <v>167.14193148765</v>
      </c>
    </row>
    <row r="1287" customFormat="false" ht="15" hidden="false" customHeight="false" outlineLevel="0" collapsed="false">
      <c r="A1287" s="12" t="n">
        <v>2090.16</v>
      </c>
      <c r="B1287" s="13" t="n">
        <f aca="false">A1287-$A$2</f>
        <v>64.2789999999998</v>
      </c>
      <c r="C1287" s="14" t="n">
        <v>460.7</v>
      </c>
      <c r="D1287" s="13" t="n">
        <f aca="false">C1287*Config!$B$8</f>
        <v>164.380257527881</v>
      </c>
    </row>
    <row r="1288" customFormat="false" ht="15" hidden="false" customHeight="false" outlineLevel="0" collapsed="false">
      <c r="A1288" s="12" t="n">
        <v>2090.21</v>
      </c>
      <c r="B1288" s="13" t="n">
        <f aca="false">A1288-$A$2</f>
        <v>64.329</v>
      </c>
      <c r="C1288" s="14" t="n">
        <v>465.64</v>
      </c>
      <c r="D1288" s="13" t="n">
        <f aca="false">C1288*Config!$B$8</f>
        <v>166.142876308406</v>
      </c>
    </row>
    <row r="1289" customFormat="false" ht="15" hidden="false" customHeight="false" outlineLevel="0" collapsed="false">
      <c r="A1289" s="12" t="n">
        <v>2090.26</v>
      </c>
      <c r="B1289" s="13" t="n">
        <f aca="false">A1289-$A$2</f>
        <v>64.3790000000001</v>
      </c>
      <c r="C1289" s="14" t="n">
        <v>454.19</v>
      </c>
      <c r="D1289" s="13" t="n">
        <f aca="false">C1289*Config!$B$8</f>
        <v>162.057454236137</v>
      </c>
    </row>
    <row r="1290" customFormat="false" ht="15" hidden="false" customHeight="false" outlineLevel="0" collapsed="false">
      <c r="A1290" s="12" t="n">
        <v>2090.31</v>
      </c>
      <c r="B1290" s="13" t="n">
        <f aca="false">A1290-$A$2</f>
        <v>64.4289999999999</v>
      </c>
      <c r="C1290" s="14" t="n">
        <v>449.83</v>
      </c>
      <c r="D1290" s="13" t="n">
        <f aca="false">C1290*Config!$B$8</f>
        <v>160.501782599884</v>
      </c>
    </row>
    <row r="1291" customFormat="false" ht="15" hidden="false" customHeight="false" outlineLevel="0" collapsed="false">
      <c r="A1291" s="12" t="n">
        <v>2090.36</v>
      </c>
      <c r="B1291" s="13" t="n">
        <f aca="false">A1291-$A$2</f>
        <v>64.479</v>
      </c>
      <c r="C1291" s="14" t="n">
        <v>450.58</v>
      </c>
      <c r="D1291" s="13" t="n">
        <f aca="false">C1291*Config!$B$8</f>
        <v>160.769386665753</v>
      </c>
    </row>
    <row r="1292" customFormat="false" ht="15" hidden="false" customHeight="false" outlineLevel="0" collapsed="false">
      <c r="A1292" s="12" t="n">
        <v>2090.411</v>
      </c>
      <c r="B1292" s="13" t="n">
        <f aca="false">A1292-$A$2</f>
        <v>64.53</v>
      </c>
      <c r="C1292" s="14" t="n">
        <v>462.34</v>
      </c>
      <c r="D1292" s="13" t="n">
        <f aca="false">C1292*Config!$B$8</f>
        <v>164.965418418581</v>
      </c>
    </row>
    <row r="1293" customFormat="false" ht="15" hidden="false" customHeight="false" outlineLevel="0" collapsed="false">
      <c r="A1293" s="12" t="n">
        <v>2090.461</v>
      </c>
      <c r="B1293" s="13" t="n">
        <f aca="false">A1293-$A$2</f>
        <v>64.5799999999997</v>
      </c>
      <c r="C1293" s="14" t="n">
        <v>458.6</v>
      </c>
      <c r="D1293" s="13" t="n">
        <f aca="false">C1293*Config!$B$8</f>
        <v>163.630966143447</v>
      </c>
    </row>
    <row r="1294" customFormat="false" ht="15" hidden="false" customHeight="false" outlineLevel="0" collapsed="false">
      <c r="A1294" s="12" t="n">
        <v>2090.511</v>
      </c>
      <c r="B1294" s="13" t="n">
        <f aca="false">A1294-$A$2</f>
        <v>64.6299999999999</v>
      </c>
      <c r="C1294" s="14" t="n">
        <v>449.19</v>
      </c>
      <c r="D1294" s="13" t="n">
        <f aca="false">C1294*Config!$B$8</f>
        <v>160.273427130343</v>
      </c>
    </row>
    <row r="1295" customFormat="false" ht="15" hidden="false" customHeight="false" outlineLevel="0" collapsed="false">
      <c r="A1295" s="12" t="n">
        <v>2090.561</v>
      </c>
      <c r="B1295" s="13" t="n">
        <f aca="false">A1295-$A$2</f>
        <v>64.6800000000001</v>
      </c>
      <c r="C1295" s="14" t="n">
        <v>450.34</v>
      </c>
      <c r="D1295" s="13" t="n">
        <f aca="false">C1295*Config!$B$8</f>
        <v>160.683753364675</v>
      </c>
    </row>
    <row r="1296" customFormat="false" ht="15" hidden="false" customHeight="false" outlineLevel="0" collapsed="false">
      <c r="A1296" s="12" t="n">
        <v>2090.611</v>
      </c>
      <c r="B1296" s="13" t="n">
        <f aca="false">A1296-$A$2</f>
        <v>64.7299999999998</v>
      </c>
      <c r="C1296" s="14" t="n">
        <v>445.43</v>
      </c>
      <c r="D1296" s="13" t="n">
        <f aca="false">C1296*Config!$B$8</f>
        <v>158.931838746785</v>
      </c>
    </row>
    <row r="1297" customFormat="false" ht="15" hidden="false" customHeight="false" outlineLevel="0" collapsed="false">
      <c r="A1297" s="12" t="n">
        <v>2090.661</v>
      </c>
      <c r="B1297" s="13" t="n">
        <f aca="false">A1297-$A$2</f>
        <v>64.78</v>
      </c>
      <c r="C1297" s="14" t="n">
        <v>454.2</v>
      </c>
      <c r="D1297" s="13" t="n">
        <f aca="false">C1297*Config!$B$8</f>
        <v>162.061022290348</v>
      </c>
    </row>
    <row r="1298" customFormat="false" ht="15" hidden="false" customHeight="false" outlineLevel="0" collapsed="false">
      <c r="A1298" s="12" t="n">
        <v>2090.711</v>
      </c>
      <c r="B1298" s="13" t="n">
        <f aca="false">A1298-$A$2</f>
        <v>64.8299999999997</v>
      </c>
      <c r="C1298" s="14" t="n">
        <v>455.18</v>
      </c>
      <c r="D1298" s="13" t="n">
        <f aca="false">C1298*Config!$B$8</f>
        <v>162.410691603084</v>
      </c>
    </row>
    <row r="1299" customFormat="false" ht="15" hidden="false" customHeight="false" outlineLevel="0" collapsed="false">
      <c r="A1299" s="12" t="n">
        <v>2090.761</v>
      </c>
      <c r="B1299" s="13" t="n">
        <f aca="false">A1299-$A$2</f>
        <v>64.8799999999999</v>
      </c>
      <c r="C1299" s="14" t="n">
        <v>463.91</v>
      </c>
      <c r="D1299" s="13" t="n">
        <f aca="false">C1299*Config!$B$8</f>
        <v>165.525602929801</v>
      </c>
    </row>
    <row r="1300" customFormat="false" ht="15" hidden="false" customHeight="false" outlineLevel="0" collapsed="false">
      <c r="A1300" s="12" t="n">
        <v>2090.811</v>
      </c>
      <c r="B1300" s="13" t="n">
        <f aca="false">A1300-$A$2</f>
        <v>64.9300000000001</v>
      </c>
      <c r="C1300" s="14" t="n">
        <v>455.34</v>
      </c>
      <c r="D1300" s="13" t="n">
        <f aca="false">C1300*Config!$B$8</f>
        <v>162.467780470469</v>
      </c>
    </row>
    <row r="1301" customFormat="false" ht="15" hidden="false" customHeight="false" outlineLevel="0" collapsed="false">
      <c r="A1301" s="12" t="n">
        <v>2090.861</v>
      </c>
      <c r="B1301" s="13" t="n">
        <f aca="false">A1301-$A$2</f>
        <v>64.9799999999998</v>
      </c>
      <c r="C1301" s="14" t="n">
        <v>460.58</v>
      </c>
      <c r="D1301" s="13" t="n">
        <f aca="false">C1301*Config!$B$8</f>
        <v>164.337440877342</v>
      </c>
    </row>
    <row r="1302" customFormat="false" ht="15" hidden="false" customHeight="false" outlineLevel="0" collapsed="false">
      <c r="A1302" s="12" t="n">
        <v>2090.911</v>
      </c>
      <c r="B1302" s="13" t="n">
        <f aca="false">A1302-$A$2</f>
        <v>65.03</v>
      </c>
      <c r="C1302" s="14" t="n">
        <v>449.24</v>
      </c>
      <c r="D1302" s="13" t="n">
        <f aca="false">C1302*Config!$B$8</f>
        <v>160.2912674014</v>
      </c>
    </row>
    <row r="1303" customFormat="false" ht="15" hidden="false" customHeight="false" outlineLevel="0" collapsed="false">
      <c r="A1303" s="12" t="n">
        <v>2090.961</v>
      </c>
      <c r="B1303" s="13" t="n">
        <f aca="false">A1303-$A$2</f>
        <v>65.0799999999997</v>
      </c>
      <c r="C1303" s="14" t="n">
        <v>462.87</v>
      </c>
      <c r="D1303" s="13" t="n">
        <f aca="false">C1303*Config!$B$8</f>
        <v>165.154525291796</v>
      </c>
    </row>
    <row r="1304" customFormat="false" ht="15" hidden="false" customHeight="false" outlineLevel="0" collapsed="false">
      <c r="A1304" s="12" t="n">
        <v>2091.011</v>
      </c>
      <c r="B1304" s="13" t="n">
        <f aca="false">A1304-$A$2</f>
        <v>65.1299999999999</v>
      </c>
      <c r="C1304" s="14" t="n">
        <v>440.11</v>
      </c>
      <c r="D1304" s="13" t="n">
        <f aca="false">C1304*Config!$B$8</f>
        <v>157.03363390622</v>
      </c>
    </row>
    <row r="1305" customFormat="false" ht="15" hidden="false" customHeight="false" outlineLevel="0" collapsed="false">
      <c r="A1305" s="12" t="n">
        <v>2091.061</v>
      </c>
      <c r="B1305" s="13" t="n">
        <f aca="false">A1305-$A$2</f>
        <v>65.1800000000001</v>
      </c>
      <c r="C1305" s="14" t="n">
        <v>464.3</v>
      </c>
      <c r="D1305" s="13" t="n">
        <f aca="false">C1305*Config!$B$8</f>
        <v>165.664757044053</v>
      </c>
    </row>
    <row r="1306" customFormat="false" ht="15" hidden="false" customHeight="false" outlineLevel="0" collapsed="false">
      <c r="A1306" s="12" t="n">
        <v>2091.111</v>
      </c>
      <c r="B1306" s="13" t="n">
        <f aca="false">A1306-$A$2</f>
        <v>65.2299999999998</v>
      </c>
      <c r="C1306" s="14" t="n">
        <v>475.25</v>
      </c>
      <c r="D1306" s="13" t="n">
        <f aca="false">C1306*Config!$B$8</f>
        <v>169.571776405742</v>
      </c>
    </row>
    <row r="1307" customFormat="false" ht="15" hidden="false" customHeight="false" outlineLevel="0" collapsed="false">
      <c r="A1307" s="12" t="n">
        <v>2091.161</v>
      </c>
      <c r="B1307" s="13" t="n">
        <f aca="false">A1307-$A$2</f>
        <v>65.28</v>
      </c>
      <c r="C1307" s="14" t="n">
        <v>460.6</v>
      </c>
      <c r="D1307" s="13" t="n">
        <f aca="false">C1307*Config!$B$8</f>
        <v>164.344576985765</v>
      </c>
    </row>
    <row r="1308" customFormat="false" ht="15" hidden="false" customHeight="false" outlineLevel="0" collapsed="false">
      <c r="A1308" s="12" t="n">
        <v>2091.211</v>
      </c>
      <c r="B1308" s="13" t="n">
        <f aca="false">A1308-$A$2</f>
        <v>65.3299999999997</v>
      </c>
      <c r="C1308" s="14" t="n">
        <v>471.24</v>
      </c>
      <c r="D1308" s="13" t="n">
        <f aca="false">C1308*Config!$B$8</f>
        <v>168.140986666895</v>
      </c>
    </row>
    <row r="1309" customFormat="false" ht="15" hidden="false" customHeight="false" outlineLevel="0" collapsed="false">
      <c r="A1309" s="12" t="n">
        <v>2091.261</v>
      </c>
      <c r="B1309" s="13" t="n">
        <f aca="false">A1309-$A$2</f>
        <v>65.3799999999999</v>
      </c>
      <c r="C1309" s="14" t="n">
        <v>461.41</v>
      </c>
      <c r="D1309" s="13" t="n">
        <f aca="false">C1309*Config!$B$8</f>
        <v>164.633589376904</v>
      </c>
    </row>
    <row r="1310" customFormat="false" ht="15" hidden="false" customHeight="false" outlineLevel="0" collapsed="false">
      <c r="A1310" s="12" t="n">
        <v>2091.311</v>
      </c>
      <c r="B1310" s="13" t="n">
        <f aca="false">A1310-$A$2</f>
        <v>65.4300000000001</v>
      </c>
      <c r="C1310" s="14" t="n">
        <v>480.37</v>
      </c>
      <c r="D1310" s="13" t="n">
        <f aca="false">C1310*Config!$B$8</f>
        <v>171.398620162075</v>
      </c>
    </row>
    <row r="1311" customFormat="false" ht="15" hidden="false" customHeight="false" outlineLevel="0" collapsed="false">
      <c r="A1311" s="12" t="n">
        <v>2091.361</v>
      </c>
      <c r="B1311" s="13" t="n">
        <f aca="false">A1311-$A$2</f>
        <v>65.4799999999998</v>
      </c>
      <c r="C1311" s="14" t="n">
        <v>467.45</v>
      </c>
      <c r="D1311" s="13" t="n">
        <f aca="false">C1311*Config!$B$8</f>
        <v>166.788694120703</v>
      </c>
    </row>
    <row r="1312" customFormat="false" ht="15" hidden="false" customHeight="false" outlineLevel="0" collapsed="false">
      <c r="A1312" s="12" t="n">
        <v>2091.411</v>
      </c>
      <c r="B1312" s="13" t="n">
        <f aca="false">A1312-$A$2</f>
        <v>65.53</v>
      </c>
      <c r="C1312" s="14" t="n">
        <v>469.83</v>
      </c>
      <c r="D1312" s="13" t="n">
        <f aca="false">C1312*Config!$B$8</f>
        <v>167.637891023061</v>
      </c>
    </row>
    <row r="1313" customFormat="false" ht="15" hidden="false" customHeight="false" outlineLevel="0" collapsed="false">
      <c r="A1313" s="12" t="n">
        <v>2091.461</v>
      </c>
      <c r="B1313" s="13" t="n">
        <f aca="false">A1313-$A$2</f>
        <v>65.5799999999997</v>
      </c>
      <c r="C1313" s="14" t="n">
        <v>468.77</v>
      </c>
      <c r="D1313" s="13" t="n">
        <f aca="false">C1313*Config!$B$8</f>
        <v>167.259677276633</v>
      </c>
    </row>
    <row r="1314" customFormat="false" ht="15" hidden="false" customHeight="false" outlineLevel="0" collapsed="false">
      <c r="A1314" s="12" t="n">
        <v>2091.511</v>
      </c>
      <c r="B1314" s="13" t="n">
        <f aca="false">A1314-$A$2</f>
        <v>65.6299999999999</v>
      </c>
      <c r="C1314" s="14" t="n">
        <v>465.19</v>
      </c>
      <c r="D1314" s="13" t="n">
        <f aca="false">C1314*Config!$B$8</f>
        <v>165.982313868884</v>
      </c>
    </row>
    <row r="1315" customFormat="false" ht="15" hidden="false" customHeight="false" outlineLevel="0" collapsed="false">
      <c r="A1315" s="12" t="n">
        <v>2091.561</v>
      </c>
      <c r="B1315" s="13" t="n">
        <f aca="false">A1315-$A$2</f>
        <v>65.6800000000001</v>
      </c>
      <c r="C1315" s="14" t="n">
        <v>455.5</v>
      </c>
      <c r="D1315" s="13" t="n">
        <f aca="false">C1315*Config!$B$8</f>
        <v>162.524869337855</v>
      </c>
    </row>
    <row r="1316" customFormat="false" ht="15" hidden="false" customHeight="false" outlineLevel="0" collapsed="false">
      <c r="A1316" s="12" t="n">
        <v>2091.611</v>
      </c>
      <c r="B1316" s="13" t="n">
        <f aca="false">A1316-$A$2</f>
        <v>65.7299999999998</v>
      </c>
      <c r="C1316" s="14" t="n">
        <v>460.47</v>
      </c>
      <c r="D1316" s="13" t="n">
        <f aca="false">C1316*Config!$B$8</f>
        <v>164.298192281014</v>
      </c>
    </row>
    <row r="1317" customFormat="false" ht="15" hidden="false" customHeight="false" outlineLevel="0" collapsed="false">
      <c r="A1317" s="12" t="n">
        <v>2091.661</v>
      </c>
      <c r="B1317" s="13" t="n">
        <f aca="false">A1317-$A$2</f>
        <v>65.78</v>
      </c>
      <c r="C1317" s="14" t="n">
        <v>461.69</v>
      </c>
      <c r="D1317" s="13" t="n">
        <f aca="false">C1317*Config!$B$8</f>
        <v>164.733494894828</v>
      </c>
    </row>
    <row r="1318" customFormat="false" ht="15" hidden="false" customHeight="false" outlineLevel="0" collapsed="false">
      <c r="A1318" s="12" t="n">
        <v>2091.711</v>
      </c>
      <c r="B1318" s="13" t="n">
        <f aca="false">A1318-$A$2</f>
        <v>65.8299999999997</v>
      </c>
      <c r="C1318" s="14" t="n">
        <v>464.05</v>
      </c>
      <c r="D1318" s="13" t="n">
        <f aca="false">C1318*Config!$B$8</f>
        <v>165.575555688763</v>
      </c>
    </row>
    <row r="1319" customFormat="false" ht="15" hidden="false" customHeight="false" outlineLevel="0" collapsed="false">
      <c r="A1319" s="12" t="n">
        <v>2091.761</v>
      </c>
      <c r="B1319" s="13" t="n">
        <f aca="false">A1319-$A$2</f>
        <v>65.8799999999999</v>
      </c>
      <c r="C1319" s="14" t="n">
        <v>485.41</v>
      </c>
      <c r="D1319" s="13" t="n">
        <f aca="false">C1319*Config!$B$8</f>
        <v>173.196919484716</v>
      </c>
    </row>
    <row r="1320" customFormat="false" ht="15" hidden="false" customHeight="false" outlineLevel="0" collapsed="false">
      <c r="A1320" s="12" t="n">
        <v>2091.811</v>
      </c>
      <c r="B1320" s="13" t="n">
        <f aca="false">A1320-$A$2</f>
        <v>65.9300000000001</v>
      </c>
      <c r="C1320" s="14" t="n">
        <v>465.29</v>
      </c>
      <c r="D1320" s="13" t="n">
        <f aca="false">C1320*Config!$B$8</f>
        <v>166.017994411</v>
      </c>
    </row>
    <row r="1321" customFormat="false" ht="15" hidden="false" customHeight="false" outlineLevel="0" collapsed="false">
      <c r="A1321" s="12" t="n">
        <v>2091.862</v>
      </c>
      <c r="B1321" s="13" t="n">
        <f aca="false">A1321-$A$2</f>
        <v>65.981</v>
      </c>
      <c r="C1321" s="14" t="n">
        <v>481.45</v>
      </c>
      <c r="D1321" s="13" t="n">
        <f aca="false">C1321*Config!$B$8</f>
        <v>171.783970016927</v>
      </c>
    </row>
    <row r="1322" customFormat="false" ht="15" hidden="false" customHeight="false" outlineLevel="0" collapsed="false">
      <c r="A1322" s="12" t="n">
        <v>2091.912</v>
      </c>
      <c r="B1322" s="13" t="n">
        <f aca="false">A1322-$A$2</f>
        <v>66.0309999999997</v>
      </c>
      <c r="C1322" s="14" t="n">
        <v>467.19</v>
      </c>
      <c r="D1322" s="13" t="n">
        <f aca="false">C1322*Config!$B$8</f>
        <v>166.695924711202</v>
      </c>
    </row>
    <row r="1323" customFormat="false" ht="15" hidden="false" customHeight="false" outlineLevel="0" collapsed="false">
      <c r="A1323" s="12" t="n">
        <v>2091.962</v>
      </c>
      <c r="B1323" s="13" t="n">
        <f aca="false">A1323-$A$2</f>
        <v>66.0809999999999</v>
      </c>
      <c r="C1323" s="14" t="n">
        <v>452.12</v>
      </c>
      <c r="D1323" s="13" t="n">
        <f aca="false">C1323*Config!$B$8</f>
        <v>161.318867014338</v>
      </c>
    </row>
    <row r="1324" customFormat="false" ht="15" hidden="false" customHeight="false" outlineLevel="0" collapsed="false">
      <c r="A1324" s="12" t="n">
        <v>2092.012</v>
      </c>
      <c r="B1324" s="13" t="n">
        <f aca="false">A1324-$A$2</f>
        <v>66.1310000000001</v>
      </c>
      <c r="C1324" s="14" t="n">
        <v>467.14</v>
      </c>
      <c r="D1324" s="13" t="n">
        <f aca="false">C1324*Config!$B$8</f>
        <v>166.678084440144</v>
      </c>
    </row>
    <row r="1325" customFormat="false" ht="15" hidden="false" customHeight="false" outlineLevel="0" collapsed="false">
      <c r="A1325" s="12" t="n">
        <v>2092.062</v>
      </c>
      <c r="B1325" s="13" t="n">
        <f aca="false">A1325-$A$2</f>
        <v>66.1809999999998</v>
      </c>
      <c r="C1325" s="14" t="n">
        <v>473.83</v>
      </c>
      <c r="D1325" s="13" t="n">
        <f aca="false">C1325*Config!$B$8</f>
        <v>169.065112707696</v>
      </c>
    </row>
    <row r="1326" customFormat="false" ht="15" hidden="false" customHeight="false" outlineLevel="0" collapsed="false">
      <c r="A1326" s="12" t="n">
        <v>2092.112</v>
      </c>
      <c r="B1326" s="13" t="n">
        <f aca="false">A1326-$A$2</f>
        <v>66.231</v>
      </c>
      <c r="C1326" s="14" t="n">
        <v>456.3</v>
      </c>
      <c r="D1326" s="13" t="n">
        <f aca="false">C1326*Config!$B$8</f>
        <v>162.810313674782</v>
      </c>
    </row>
    <row r="1327" customFormat="false" ht="15" hidden="false" customHeight="false" outlineLevel="0" collapsed="false">
      <c r="A1327" s="12" t="n">
        <v>2092.162</v>
      </c>
      <c r="B1327" s="13" t="n">
        <f aca="false">A1327-$A$2</f>
        <v>66.2809999999997</v>
      </c>
      <c r="C1327" s="14" t="n">
        <v>456.09</v>
      </c>
      <c r="D1327" s="13" t="n">
        <f aca="false">C1327*Config!$B$8</f>
        <v>162.735384536339</v>
      </c>
    </row>
    <row r="1328" customFormat="false" ht="15" hidden="false" customHeight="false" outlineLevel="0" collapsed="false">
      <c r="A1328" s="12" t="n">
        <v>2092.212</v>
      </c>
      <c r="B1328" s="13" t="n">
        <f aca="false">A1328-$A$2</f>
        <v>66.3309999999999</v>
      </c>
      <c r="C1328" s="14" t="n">
        <v>474.27</v>
      </c>
      <c r="D1328" s="13" t="n">
        <f aca="false">C1328*Config!$B$8</f>
        <v>169.222107093006</v>
      </c>
    </row>
    <row r="1329" customFormat="false" ht="15" hidden="false" customHeight="false" outlineLevel="0" collapsed="false">
      <c r="A1329" s="12" t="n">
        <v>2092.262</v>
      </c>
      <c r="B1329" s="13" t="n">
        <f aca="false">A1329-$A$2</f>
        <v>66.3810000000001</v>
      </c>
      <c r="C1329" s="14" t="n">
        <v>474.2</v>
      </c>
      <c r="D1329" s="13" t="n">
        <f aca="false">C1329*Config!$B$8</f>
        <v>169.197130713525</v>
      </c>
    </row>
    <row r="1330" customFormat="false" ht="15" hidden="false" customHeight="false" outlineLevel="0" collapsed="false">
      <c r="A1330" s="12" t="n">
        <v>2092.312</v>
      </c>
      <c r="B1330" s="13" t="n">
        <f aca="false">A1330-$A$2</f>
        <v>66.4309999999998</v>
      </c>
      <c r="C1330" s="14" t="n">
        <v>468.99</v>
      </c>
      <c r="D1330" s="13" t="n">
        <f aca="false">C1330*Config!$B$8</f>
        <v>167.338174469288</v>
      </c>
    </row>
    <row r="1331" customFormat="false" ht="15" hidden="false" customHeight="false" outlineLevel="0" collapsed="false">
      <c r="A1331" s="12" t="n">
        <v>2092.362</v>
      </c>
      <c r="B1331" s="13" t="n">
        <f aca="false">A1331-$A$2</f>
        <v>66.481</v>
      </c>
      <c r="C1331" s="14" t="n">
        <v>455.9</v>
      </c>
      <c r="D1331" s="13" t="n">
        <f aca="false">C1331*Config!$B$8</f>
        <v>162.667591506318</v>
      </c>
    </row>
    <row r="1332" customFormat="false" ht="15" hidden="false" customHeight="false" outlineLevel="0" collapsed="false">
      <c r="A1332" s="12" t="n">
        <v>2092.412</v>
      </c>
      <c r="B1332" s="13" t="n">
        <f aca="false">A1332-$A$2</f>
        <v>66.5309999999997</v>
      </c>
      <c r="C1332" s="14" t="n">
        <v>468.39</v>
      </c>
      <c r="D1332" s="13" t="n">
        <f aca="false">C1332*Config!$B$8</f>
        <v>167.124091216592</v>
      </c>
    </row>
    <row r="1333" customFormat="false" ht="15" hidden="false" customHeight="false" outlineLevel="0" collapsed="false">
      <c r="A1333" s="12" t="n">
        <v>2092.462</v>
      </c>
      <c r="B1333" s="13" t="n">
        <f aca="false">A1333-$A$2</f>
        <v>66.5809999999999</v>
      </c>
      <c r="C1333" s="14" t="n">
        <v>451.09</v>
      </c>
      <c r="D1333" s="13" t="n">
        <f aca="false">C1333*Config!$B$8</f>
        <v>160.951357430544</v>
      </c>
    </row>
    <row r="1334" customFormat="false" ht="15" hidden="false" customHeight="false" outlineLevel="0" collapsed="false">
      <c r="A1334" s="12" t="n">
        <v>2092.512</v>
      </c>
      <c r="B1334" s="13" t="n">
        <f aca="false">A1334-$A$2</f>
        <v>66.6310000000001</v>
      </c>
      <c r="C1334" s="14" t="n">
        <v>473.07</v>
      </c>
      <c r="D1334" s="13" t="n">
        <f aca="false">C1334*Config!$B$8</f>
        <v>168.793940587616</v>
      </c>
    </row>
    <row r="1335" customFormat="false" ht="15" hidden="false" customHeight="false" outlineLevel="0" collapsed="false">
      <c r="A1335" s="12" t="n">
        <v>2092.562</v>
      </c>
      <c r="B1335" s="13" t="n">
        <f aca="false">A1335-$A$2</f>
        <v>66.6809999999998</v>
      </c>
      <c r="C1335" s="14" t="n">
        <v>457.74</v>
      </c>
      <c r="D1335" s="13" t="n">
        <f aca="false">C1335*Config!$B$8</f>
        <v>163.324113481251</v>
      </c>
    </row>
    <row r="1336" customFormat="false" ht="15" hidden="false" customHeight="false" outlineLevel="0" collapsed="false">
      <c r="A1336" s="12" t="n">
        <v>2092.612</v>
      </c>
      <c r="B1336" s="13" t="n">
        <f aca="false">A1336-$A$2</f>
        <v>66.731</v>
      </c>
      <c r="C1336" s="14" t="n">
        <v>467.38</v>
      </c>
      <c r="D1336" s="13" t="n">
        <f aca="false">C1336*Config!$B$8</f>
        <v>166.763717741222</v>
      </c>
    </row>
    <row r="1337" customFormat="false" ht="15" hidden="false" customHeight="false" outlineLevel="0" collapsed="false">
      <c r="A1337" s="12" t="n">
        <v>2092.662</v>
      </c>
      <c r="B1337" s="13" t="n">
        <f aca="false">A1337-$A$2</f>
        <v>66.7809999999997</v>
      </c>
      <c r="C1337" s="14" t="n">
        <v>467.23</v>
      </c>
      <c r="D1337" s="13" t="n">
        <f aca="false">C1337*Config!$B$8</f>
        <v>166.710196928048</v>
      </c>
    </row>
    <row r="1338" customFormat="false" ht="15" hidden="false" customHeight="false" outlineLevel="0" collapsed="false">
      <c r="A1338" s="12" t="n">
        <v>2092.712</v>
      </c>
      <c r="B1338" s="13" t="n">
        <f aca="false">A1338-$A$2</f>
        <v>66.8309999999999</v>
      </c>
      <c r="C1338" s="14" t="n">
        <v>481.71</v>
      </c>
      <c r="D1338" s="13" t="n">
        <f aca="false">C1338*Config!$B$8</f>
        <v>171.876739426428</v>
      </c>
    </row>
    <row r="1339" customFormat="false" ht="15" hidden="false" customHeight="false" outlineLevel="0" collapsed="false">
      <c r="A1339" s="12" t="n">
        <v>2092.762</v>
      </c>
      <c r="B1339" s="13" t="n">
        <f aca="false">A1339-$A$2</f>
        <v>66.8810000000001</v>
      </c>
      <c r="C1339" s="14" t="n">
        <v>445.5</v>
      </c>
      <c r="D1339" s="13" t="n">
        <f aca="false">C1339*Config!$B$8</f>
        <v>158.956815126266</v>
      </c>
    </row>
    <row r="1340" customFormat="false" ht="15" hidden="false" customHeight="false" outlineLevel="0" collapsed="false">
      <c r="A1340" s="12" t="n">
        <v>2092.812</v>
      </c>
      <c r="B1340" s="13" t="n">
        <f aca="false">A1340-$A$2</f>
        <v>66.9309999999998</v>
      </c>
      <c r="C1340" s="14" t="n">
        <v>459.15</v>
      </c>
      <c r="D1340" s="13" t="n">
        <f aca="false">C1340*Config!$B$8</f>
        <v>163.827209125085</v>
      </c>
    </row>
    <row r="1341" customFormat="false" ht="15" hidden="false" customHeight="false" outlineLevel="0" collapsed="false">
      <c r="A1341" s="12" t="n">
        <v>2092.862</v>
      </c>
      <c r="B1341" s="13" t="n">
        <f aca="false">A1341-$A$2</f>
        <v>66.981</v>
      </c>
      <c r="C1341" s="14" t="n">
        <v>455.39</v>
      </c>
      <c r="D1341" s="13" t="n">
        <f aca="false">C1341*Config!$B$8</f>
        <v>162.485620741527</v>
      </c>
    </row>
    <row r="1342" customFormat="false" ht="15" hidden="false" customHeight="false" outlineLevel="0" collapsed="false">
      <c r="A1342" s="12" t="n">
        <v>2092.912</v>
      </c>
      <c r="B1342" s="13" t="n">
        <f aca="false">A1342-$A$2</f>
        <v>67.0309999999997</v>
      </c>
      <c r="C1342" s="14" t="n">
        <v>455</v>
      </c>
      <c r="D1342" s="13" t="n">
        <f aca="false">C1342*Config!$B$8</f>
        <v>162.346466627275</v>
      </c>
    </row>
    <row r="1343" customFormat="false" ht="15" hidden="false" customHeight="false" outlineLevel="0" collapsed="false">
      <c r="A1343" s="12" t="n">
        <v>2092.962</v>
      </c>
      <c r="B1343" s="13" t="n">
        <f aca="false">A1343-$A$2</f>
        <v>67.0809999999999</v>
      </c>
      <c r="C1343" s="14" t="n">
        <v>460.94</v>
      </c>
      <c r="D1343" s="13" t="n">
        <f aca="false">C1343*Config!$B$8</f>
        <v>164.465890828959</v>
      </c>
    </row>
    <row r="1344" customFormat="false" ht="15" hidden="false" customHeight="false" outlineLevel="0" collapsed="false">
      <c r="A1344" s="12" t="n">
        <v>2093.012</v>
      </c>
      <c r="B1344" s="13" t="n">
        <f aca="false">A1344-$A$2</f>
        <v>67.1310000000001</v>
      </c>
      <c r="C1344" s="14" t="n">
        <v>448.58</v>
      </c>
      <c r="D1344" s="13" t="n">
        <f aca="false">C1344*Config!$B$8</f>
        <v>160.055775823436</v>
      </c>
    </row>
    <row r="1345" customFormat="false" ht="15" hidden="false" customHeight="false" outlineLevel="0" collapsed="false">
      <c r="A1345" s="12" t="n">
        <v>2093.062</v>
      </c>
      <c r="B1345" s="13" t="n">
        <f aca="false">A1345-$A$2</f>
        <v>67.1809999999998</v>
      </c>
      <c r="C1345" s="14" t="n">
        <v>460.87</v>
      </c>
      <c r="D1345" s="13" t="n">
        <f aca="false">C1345*Config!$B$8</f>
        <v>164.440914449478</v>
      </c>
    </row>
    <row r="1346" customFormat="false" ht="15" hidden="false" customHeight="false" outlineLevel="0" collapsed="false">
      <c r="A1346" s="12" t="n">
        <v>2093.112</v>
      </c>
      <c r="B1346" s="13" t="n">
        <f aca="false">A1346-$A$2</f>
        <v>67.231</v>
      </c>
      <c r="C1346" s="14" t="n">
        <v>466.34</v>
      </c>
      <c r="D1346" s="13" t="n">
        <f aca="false">C1346*Config!$B$8</f>
        <v>166.392640103217</v>
      </c>
    </row>
    <row r="1347" customFormat="false" ht="15" hidden="false" customHeight="false" outlineLevel="0" collapsed="false">
      <c r="A1347" s="12" t="n">
        <v>2093.162</v>
      </c>
      <c r="B1347" s="13" t="n">
        <f aca="false">A1347-$A$2</f>
        <v>67.2809999999997</v>
      </c>
      <c r="C1347" s="14" t="n">
        <v>460.4</v>
      </c>
      <c r="D1347" s="13" t="n">
        <f aca="false">C1347*Config!$B$8</f>
        <v>164.273215901533</v>
      </c>
    </row>
    <row r="1348" customFormat="false" ht="15" hidden="false" customHeight="false" outlineLevel="0" collapsed="false">
      <c r="A1348" s="12" t="n">
        <v>2093.212</v>
      </c>
      <c r="B1348" s="13" t="n">
        <f aca="false">A1348-$A$2</f>
        <v>67.3309999999999</v>
      </c>
      <c r="C1348" s="14" t="n">
        <v>459.98</v>
      </c>
      <c r="D1348" s="13" t="n">
        <f aca="false">C1348*Config!$B$8</f>
        <v>164.123357624646</v>
      </c>
    </row>
    <row r="1349" customFormat="false" ht="15" hidden="false" customHeight="false" outlineLevel="0" collapsed="false">
      <c r="A1349" s="12" t="n">
        <v>2093.262</v>
      </c>
      <c r="B1349" s="13" t="n">
        <f aca="false">A1349-$A$2</f>
        <v>67.3810000000001</v>
      </c>
      <c r="C1349" s="14" t="n">
        <v>462.44</v>
      </c>
      <c r="D1349" s="13" t="n">
        <f aca="false">C1349*Config!$B$8</f>
        <v>165.001098960697</v>
      </c>
    </row>
    <row r="1350" customFormat="false" ht="15" hidden="false" customHeight="false" outlineLevel="0" collapsed="false">
      <c r="A1350" s="12" t="n">
        <v>2093.312</v>
      </c>
      <c r="B1350" s="13" t="n">
        <f aca="false">A1350-$A$2</f>
        <v>67.4309999999998</v>
      </c>
      <c r="C1350" s="14" t="n">
        <v>446.25</v>
      </c>
      <c r="D1350" s="13" t="n">
        <f aca="false">C1350*Config!$B$8</f>
        <v>159.224419192135</v>
      </c>
    </row>
    <row r="1351" customFormat="false" ht="15" hidden="false" customHeight="false" outlineLevel="0" collapsed="false">
      <c r="A1351" s="12" t="n">
        <v>2093.362</v>
      </c>
      <c r="B1351" s="13" t="n">
        <f aca="false">A1351-$A$2</f>
        <v>67.481</v>
      </c>
      <c r="C1351" s="14" t="n">
        <v>458.9</v>
      </c>
      <c r="D1351" s="13" t="n">
        <f aca="false">C1351*Config!$B$8</f>
        <v>163.738007769795</v>
      </c>
    </row>
    <row r="1352" customFormat="false" ht="15" hidden="false" customHeight="false" outlineLevel="0" collapsed="false">
      <c r="A1352" s="12" t="n">
        <v>2093.412</v>
      </c>
      <c r="B1352" s="13" t="n">
        <f aca="false">A1352-$A$2</f>
        <v>67.5309999999997</v>
      </c>
      <c r="C1352" s="14" t="n">
        <v>458.56</v>
      </c>
      <c r="D1352" s="13" t="n">
        <f aca="false">C1352*Config!$B$8</f>
        <v>163.616693926601</v>
      </c>
    </row>
    <row r="1353" customFormat="false" ht="15" hidden="false" customHeight="false" outlineLevel="0" collapsed="false">
      <c r="A1353" s="12" t="n">
        <v>2093.462</v>
      </c>
      <c r="B1353" s="13" t="n">
        <f aca="false">A1353-$A$2</f>
        <v>67.5809999999999</v>
      </c>
      <c r="C1353" s="14" t="n">
        <v>452.5</v>
      </c>
      <c r="D1353" s="13" t="n">
        <f aca="false">C1353*Config!$B$8</f>
        <v>161.454453074378</v>
      </c>
    </row>
    <row r="1354" customFormat="false" ht="15" hidden="false" customHeight="false" outlineLevel="0" collapsed="false">
      <c r="A1354" s="12" t="n">
        <v>2093.512</v>
      </c>
      <c r="B1354" s="13" t="n">
        <f aca="false">A1354-$A$2</f>
        <v>67.6310000000001</v>
      </c>
      <c r="C1354" s="14" t="n">
        <v>463.72</v>
      </c>
      <c r="D1354" s="13" t="n">
        <f aca="false">C1354*Config!$B$8</f>
        <v>165.457809899781</v>
      </c>
    </row>
    <row r="1355" customFormat="false" ht="15" hidden="false" customHeight="false" outlineLevel="0" collapsed="false">
      <c r="A1355" s="12" t="n">
        <v>2093.562</v>
      </c>
      <c r="B1355" s="13" t="n">
        <f aca="false">A1355-$A$2</f>
        <v>67.6809999999998</v>
      </c>
      <c r="C1355" s="14" t="n">
        <v>448.76</v>
      </c>
      <c r="D1355" s="13" t="n">
        <f aca="false">C1355*Config!$B$8</f>
        <v>160.120000799244</v>
      </c>
    </row>
    <row r="1356" customFormat="false" ht="15" hidden="false" customHeight="false" outlineLevel="0" collapsed="false">
      <c r="A1356" s="12" t="n">
        <v>2093.612</v>
      </c>
      <c r="B1356" s="13" t="n">
        <f aca="false">A1356-$A$2</f>
        <v>67.731</v>
      </c>
      <c r="C1356" s="14" t="n">
        <v>447.4</v>
      </c>
      <c r="D1356" s="13" t="n">
        <f aca="false">C1356*Config!$B$8</f>
        <v>159.634745426468</v>
      </c>
    </row>
    <row r="1357" customFormat="false" ht="15" hidden="false" customHeight="false" outlineLevel="0" collapsed="false">
      <c r="A1357" s="12" t="n">
        <v>2093.662</v>
      </c>
      <c r="B1357" s="13" t="n">
        <f aca="false">A1357-$A$2</f>
        <v>67.7809999999997</v>
      </c>
      <c r="C1357" s="14" t="n">
        <v>450.35</v>
      </c>
      <c r="D1357" s="13" t="n">
        <f aca="false">C1357*Config!$B$8</f>
        <v>160.687321418887</v>
      </c>
    </row>
    <row r="1358" customFormat="false" ht="15" hidden="false" customHeight="false" outlineLevel="0" collapsed="false">
      <c r="A1358" s="12" t="n">
        <v>2093.712</v>
      </c>
      <c r="B1358" s="13" t="n">
        <f aca="false">A1358-$A$2</f>
        <v>67.8309999999999</v>
      </c>
      <c r="C1358" s="14" t="n">
        <v>451</v>
      </c>
      <c r="D1358" s="13" t="n">
        <f aca="false">C1358*Config!$B$8</f>
        <v>160.91924494264</v>
      </c>
    </row>
    <row r="1359" customFormat="false" ht="15" hidden="false" customHeight="false" outlineLevel="0" collapsed="false">
      <c r="A1359" s="12" t="n">
        <v>2093.762</v>
      </c>
      <c r="B1359" s="13" t="n">
        <f aca="false">A1359-$A$2</f>
        <v>67.8810000000001</v>
      </c>
      <c r="C1359" s="14" t="n">
        <v>440.07</v>
      </c>
      <c r="D1359" s="13" t="n">
        <f aca="false">C1359*Config!$B$8</f>
        <v>157.019361689374</v>
      </c>
    </row>
    <row r="1360" customFormat="false" ht="15" hidden="false" customHeight="false" outlineLevel="0" collapsed="false">
      <c r="A1360" s="12" t="n">
        <v>2093.812</v>
      </c>
      <c r="B1360" s="13" t="n">
        <f aca="false">A1360-$A$2</f>
        <v>67.9309999999998</v>
      </c>
      <c r="C1360" s="14" t="n">
        <v>458.36</v>
      </c>
      <c r="D1360" s="13" t="n">
        <f aca="false">C1360*Config!$B$8</f>
        <v>163.545332842369</v>
      </c>
    </row>
    <row r="1361" customFormat="false" ht="15" hidden="false" customHeight="false" outlineLevel="0" collapsed="false">
      <c r="A1361" s="12" t="n">
        <v>2093.862</v>
      </c>
      <c r="B1361" s="13" t="n">
        <f aca="false">A1361-$A$2</f>
        <v>67.981</v>
      </c>
      <c r="C1361" s="14" t="n">
        <v>445.97</v>
      </c>
      <c r="D1361" s="13" t="n">
        <f aca="false">C1361*Config!$B$8</f>
        <v>159.124513674211</v>
      </c>
    </row>
    <row r="1362" customFormat="false" ht="15" hidden="false" customHeight="false" outlineLevel="0" collapsed="false">
      <c r="A1362" s="12" t="n">
        <v>2093.912</v>
      </c>
      <c r="B1362" s="13" t="n">
        <f aca="false">A1362-$A$2</f>
        <v>68.0309999999997</v>
      </c>
      <c r="C1362" s="14" t="n">
        <v>452.84</v>
      </c>
      <c r="D1362" s="13" t="n">
        <f aca="false">C1362*Config!$B$8</f>
        <v>161.575766917572</v>
      </c>
    </row>
    <row r="1363" customFormat="false" ht="15" hidden="false" customHeight="false" outlineLevel="0" collapsed="false">
      <c r="A1363" s="12" t="n">
        <v>2093.962</v>
      </c>
      <c r="B1363" s="13" t="n">
        <f aca="false">A1363-$A$2</f>
        <v>68.0809999999999</v>
      </c>
      <c r="C1363" s="14" t="n">
        <v>442.79</v>
      </c>
      <c r="D1363" s="13" t="n">
        <f aca="false">C1363*Config!$B$8</f>
        <v>157.989872434926</v>
      </c>
    </row>
    <row r="1364" customFormat="false" ht="15" hidden="false" customHeight="false" outlineLevel="0" collapsed="false">
      <c r="A1364" s="12" t="n">
        <v>2094.012</v>
      </c>
      <c r="B1364" s="13" t="n">
        <f aca="false">A1364-$A$2</f>
        <v>68.1310000000001</v>
      </c>
      <c r="C1364" s="14" t="n">
        <v>456.91</v>
      </c>
      <c r="D1364" s="13" t="n">
        <f aca="false">C1364*Config!$B$8</f>
        <v>163.027964981689</v>
      </c>
    </row>
    <row r="1365" customFormat="false" ht="15" hidden="false" customHeight="false" outlineLevel="0" collapsed="false">
      <c r="A1365" s="12" t="n">
        <v>2094.062</v>
      </c>
      <c r="B1365" s="13" t="n">
        <f aca="false">A1365-$A$2</f>
        <v>68.1809999999998</v>
      </c>
      <c r="C1365" s="14" t="n">
        <v>440.09</v>
      </c>
      <c r="D1365" s="13" t="n">
        <f aca="false">C1365*Config!$B$8</f>
        <v>157.026497797797</v>
      </c>
    </row>
    <row r="1366" customFormat="false" ht="15" hidden="false" customHeight="false" outlineLevel="0" collapsed="false">
      <c r="A1366" s="12" t="n">
        <v>2094.112</v>
      </c>
      <c r="B1366" s="13" t="n">
        <f aca="false">A1366-$A$2</f>
        <v>68.231</v>
      </c>
      <c r="C1366" s="14" t="n">
        <v>440.72</v>
      </c>
      <c r="D1366" s="13" t="n">
        <f aca="false">C1366*Config!$B$8</f>
        <v>157.251285213127</v>
      </c>
    </row>
    <row r="1367" customFormat="false" ht="15" hidden="false" customHeight="false" outlineLevel="0" collapsed="false">
      <c r="A1367" s="12" t="n">
        <v>2094.162</v>
      </c>
      <c r="B1367" s="13" t="n">
        <f aca="false">A1367-$A$2</f>
        <v>68.2809999999997</v>
      </c>
      <c r="C1367" s="14" t="n">
        <v>445.1</v>
      </c>
      <c r="D1367" s="13" t="n">
        <f aca="false">C1367*Config!$B$8</f>
        <v>158.814092957803</v>
      </c>
    </row>
    <row r="1368" customFormat="false" ht="15" hidden="false" customHeight="false" outlineLevel="0" collapsed="false">
      <c r="A1368" s="12" t="n">
        <v>2094.212</v>
      </c>
      <c r="B1368" s="13" t="n">
        <f aca="false">A1368-$A$2</f>
        <v>68.3309999999999</v>
      </c>
      <c r="C1368" s="14" t="n">
        <v>444.07</v>
      </c>
      <c r="D1368" s="13" t="n">
        <f aca="false">C1368*Config!$B$8</f>
        <v>158.446583374009</v>
      </c>
    </row>
    <row r="1369" customFormat="false" ht="15" hidden="false" customHeight="false" outlineLevel="0" collapsed="false">
      <c r="A1369" s="12" t="n">
        <v>2094.262</v>
      </c>
      <c r="B1369" s="13" t="n">
        <f aca="false">A1369-$A$2</f>
        <v>68.3810000000001</v>
      </c>
      <c r="C1369" s="14" t="n">
        <v>441.72</v>
      </c>
      <c r="D1369" s="13" t="n">
        <f aca="false">C1369*Config!$B$8</f>
        <v>157.608090634286</v>
      </c>
    </row>
    <row r="1370" customFormat="false" ht="15" hidden="false" customHeight="false" outlineLevel="0" collapsed="false">
      <c r="A1370" s="12" t="n">
        <v>2094.312</v>
      </c>
      <c r="B1370" s="13" t="n">
        <f aca="false">A1370-$A$2</f>
        <v>68.4309999999998</v>
      </c>
      <c r="C1370" s="14" t="n">
        <v>445.64</v>
      </c>
      <c r="D1370" s="13" t="n">
        <f aca="false">C1370*Config!$B$8</f>
        <v>159.006767885229</v>
      </c>
    </row>
    <row r="1371" customFormat="false" ht="15" hidden="false" customHeight="false" outlineLevel="0" collapsed="false">
      <c r="A1371" s="12" t="n">
        <v>2094.362</v>
      </c>
      <c r="B1371" s="13" t="n">
        <f aca="false">A1371-$A$2</f>
        <v>68.481</v>
      </c>
      <c r="C1371" s="14" t="n">
        <v>447.79</v>
      </c>
      <c r="D1371" s="13" t="n">
        <f aca="false">C1371*Config!$B$8</f>
        <v>159.77389954072</v>
      </c>
    </row>
    <row r="1372" customFormat="false" ht="15" hidden="false" customHeight="false" outlineLevel="0" collapsed="false">
      <c r="A1372" s="12" t="n">
        <v>2094.412</v>
      </c>
      <c r="B1372" s="13" t="n">
        <f aca="false">A1372-$A$2</f>
        <v>68.5309999999997</v>
      </c>
      <c r="C1372" s="14" t="n">
        <v>444.03</v>
      </c>
      <c r="D1372" s="13" t="n">
        <f aca="false">C1372*Config!$B$8</f>
        <v>158.432311157163</v>
      </c>
    </row>
    <row r="1373" customFormat="false" ht="15" hidden="false" customHeight="false" outlineLevel="0" collapsed="false">
      <c r="A1373" s="12" t="n">
        <v>2094.462</v>
      </c>
      <c r="B1373" s="13" t="n">
        <f aca="false">A1373-$A$2</f>
        <v>68.5809999999999</v>
      </c>
      <c r="C1373" s="14" t="n">
        <v>448.55</v>
      </c>
      <c r="D1373" s="13" t="n">
        <f aca="false">C1373*Config!$B$8</f>
        <v>160.045071660801</v>
      </c>
    </row>
    <row r="1374" customFormat="false" ht="15" hidden="false" customHeight="false" outlineLevel="0" collapsed="false">
      <c r="A1374" s="12" t="n">
        <v>2094.512</v>
      </c>
      <c r="B1374" s="13" t="n">
        <f aca="false">A1374-$A$2</f>
        <v>68.6310000000001</v>
      </c>
      <c r="C1374" s="14" t="n">
        <v>443.06</v>
      </c>
      <c r="D1374" s="13" t="n">
        <f aca="false">C1374*Config!$B$8</f>
        <v>158.086209898639</v>
      </c>
    </row>
    <row r="1375" customFormat="false" ht="15" hidden="false" customHeight="false" outlineLevel="0" collapsed="false">
      <c r="A1375" s="12" t="n">
        <v>2094.562</v>
      </c>
      <c r="B1375" s="13" t="n">
        <f aca="false">A1375-$A$2</f>
        <v>68.6809999999998</v>
      </c>
      <c r="C1375" s="14" t="n">
        <v>437.9</v>
      </c>
      <c r="D1375" s="13" t="n">
        <f aca="false">C1375*Config!$B$8</f>
        <v>156.245093925459</v>
      </c>
    </row>
    <row r="1376" customFormat="false" ht="15" hidden="false" customHeight="false" outlineLevel="0" collapsed="false">
      <c r="A1376" s="12" t="n">
        <v>2094.612</v>
      </c>
      <c r="B1376" s="13" t="n">
        <f aca="false">A1376-$A$2</f>
        <v>68.731</v>
      </c>
      <c r="C1376" s="14" t="n">
        <v>443.42</v>
      </c>
      <c r="D1376" s="13" t="n">
        <f aca="false">C1376*Config!$B$8</f>
        <v>158.214659850256</v>
      </c>
    </row>
    <row r="1377" customFormat="false" ht="15" hidden="false" customHeight="false" outlineLevel="0" collapsed="false">
      <c r="A1377" s="12" t="n">
        <v>2094.662</v>
      </c>
      <c r="B1377" s="13" t="n">
        <f aca="false">A1377-$A$2</f>
        <v>68.7809999999997</v>
      </c>
      <c r="C1377" s="14" t="n">
        <v>444.61</v>
      </c>
      <c r="D1377" s="13" t="n">
        <f aca="false">C1377*Config!$B$8</f>
        <v>158.639258301435</v>
      </c>
    </row>
    <row r="1378" customFormat="false" ht="15" hidden="false" customHeight="false" outlineLevel="0" collapsed="false">
      <c r="A1378" s="12" t="n">
        <v>2094.712</v>
      </c>
      <c r="B1378" s="13" t="n">
        <f aca="false">A1378-$A$2</f>
        <v>68.8309999999999</v>
      </c>
      <c r="C1378" s="14" t="n">
        <v>444.22</v>
      </c>
      <c r="D1378" s="13" t="n">
        <f aca="false">C1378*Config!$B$8</f>
        <v>158.500104187183</v>
      </c>
    </row>
    <row r="1379" customFormat="false" ht="15" hidden="false" customHeight="false" outlineLevel="0" collapsed="false">
      <c r="A1379" s="12" t="n">
        <v>2094.763</v>
      </c>
      <c r="B1379" s="13" t="n">
        <f aca="false">A1379-$A$2</f>
        <v>68.8819999999998</v>
      </c>
      <c r="C1379" s="14" t="n">
        <v>444.04</v>
      </c>
      <c r="D1379" s="13" t="n">
        <f aca="false">C1379*Config!$B$8</f>
        <v>158.435879211374</v>
      </c>
    </row>
    <row r="1380" customFormat="false" ht="15" hidden="false" customHeight="false" outlineLevel="0" collapsed="false">
      <c r="A1380" s="12" t="n">
        <v>2094.813</v>
      </c>
      <c r="B1380" s="13" t="n">
        <f aca="false">A1380-$A$2</f>
        <v>68.932</v>
      </c>
      <c r="C1380" s="14" t="n">
        <v>448.33</v>
      </c>
      <c r="D1380" s="13" t="n">
        <f aca="false">C1380*Config!$B$8</f>
        <v>159.966574468146</v>
      </c>
    </row>
    <row r="1381" customFormat="false" ht="15" hidden="false" customHeight="false" outlineLevel="0" collapsed="false">
      <c r="A1381" s="12" t="n">
        <v>2094.863</v>
      </c>
      <c r="B1381" s="13" t="n">
        <f aca="false">A1381-$A$2</f>
        <v>68.9819999999997</v>
      </c>
      <c r="C1381" s="14" t="n">
        <v>439.52</v>
      </c>
      <c r="D1381" s="13" t="n">
        <f aca="false">C1381*Config!$B$8</f>
        <v>156.823118707736</v>
      </c>
    </row>
    <row r="1382" customFormat="false" ht="15" hidden="false" customHeight="false" outlineLevel="0" collapsed="false">
      <c r="A1382" s="12" t="n">
        <v>2094.913</v>
      </c>
      <c r="B1382" s="13" t="n">
        <f aca="false">A1382-$A$2</f>
        <v>69.0319999999999</v>
      </c>
      <c r="C1382" s="14" t="n">
        <v>440.14</v>
      </c>
      <c r="D1382" s="13" t="n">
        <f aca="false">C1382*Config!$B$8</f>
        <v>157.044338068855</v>
      </c>
    </row>
    <row r="1383" customFormat="false" ht="15" hidden="false" customHeight="false" outlineLevel="0" collapsed="false">
      <c r="A1383" s="12" t="n">
        <v>2094.963</v>
      </c>
      <c r="B1383" s="13" t="n">
        <f aca="false">A1383-$A$2</f>
        <v>69.0820000000001</v>
      </c>
      <c r="C1383" s="14" t="n">
        <v>437.2</v>
      </c>
      <c r="D1383" s="13" t="n">
        <f aca="false">C1383*Config!$B$8</f>
        <v>155.995330130648</v>
      </c>
    </row>
    <row r="1384" customFormat="false" ht="15" hidden="false" customHeight="false" outlineLevel="0" collapsed="false">
      <c r="A1384" s="12" t="n">
        <v>2095.013</v>
      </c>
      <c r="B1384" s="13" t="n">
        <f aca="false">A1384-$A$2</f>
        <v>69.1319999999998</v>
      </c>
      <c r="C1384" s="14" t="n">
        <v>440.01</v>
      </c>
      <c r="D1384" s="13" t="n">
        <f aca="false">C1384*Config!$B$8</f>
        <v>156.997953364104</v>
      </c>
    </row>
    <row r="1385" customFormat="false" ht="15" hidden="false" customHeight="false" outlineLevel="0" collapsed="false">
      <c r="A1385" s="12" t="n">
        <v>2095.063</v>
      </c>
      <c r="B1385" s="13" t="n">
        <f aca="false">A1385-$A$2</f>
        <v>69.182</v>
      </c>
      <c r="C1385" s="14" t="n">
        <v>437.1</v>
      </c>
      <c r="D1385" s="13" t="n">
        <f aca="false">C1385*Config!$B$8</f>
        <v>155.959649588532</v>
      </c>
    </row>
    <row r="1386" customFormat="false" ht="15" hidden="false" customHeight="false" outlineLevel="0" collapsed="false">
      <c r="A1386" s="12" t="n">
        <v>2095.113</v>
      </c>
      <c r="B1386" s="13" t="n">
        <f aca="false">A1386-$A$2</f>
        <v>69.2319999999997</v>
      </c>
      <c r="C1386" s="14" t="n">
        <v>437.24</v>
      </c>
      <c r="D1386" s="13" t="n">
        <f aca="false">C1386*Config!$B$8</f>
        <v>156.009602347494</v>
      </c>
    </row>
    <row r="1387" customFormat="false" ht="15" hidden="false" customHeight="false" outlineLevel="0" collapsed="false">
      <c r="A1387" s="12" t="n">
        <v>2095.163</v>
      </c>
      <c r="B1387" s="13" t="n">
        <f aca="false">A1387-$A$2</f>
        <v>69.2819999999999</v>
      </c>
      <c r="C1387" s="14" t="n">
        <v>436.67</v>
      </c>
      <c r="D1387" s="13" t="n">
        <f aca="false">C1387*Config!$B$8</f>
        <v>155.806223257434</v>
      </c>
    </row>
    <row r="1388" customFormat="false" ht="15" hidden="false" customHeight="false" outlineLevel="0" collapsed="false">
      <c r="A1388" s="12" t="n">
        <v>2095.213</v>
      </c>
      <c r="B1388" s="13" t="n">
        <f aca="false">A1388-$A$2</f>
        <v>69.3320000000001</v>
      </c>
      <c r="C1388" s="14" t="n">
        <v>441.28</v>
      </c>
      <c r="D1388" s="13" t="n">
        <f aca="false">C1388*Config!$B$8</f>
        <v>157.451096248976</v>
      </c>
    </row>
    <row r="1389" customFormat="false" ht="15" hidden="false" customHeight="false" outlineLevel="0" collapsed="false">
      <c r="A1389" s="12" t="n">
        <v>2095.263</v>
      </c>
      <c r="B1389" s="13" t="n">
        <f aca="false">A1389-$A$2</f>
        <v>69.3819999999998</v>
      </c>
      <c r="C1389" s="14" t="n">
        <v>434.14</v>
      </c>
      <c r="D1389" s="13" t="n">
        <f aca="false">C1389*Config!$B$8</f>
        <v>154.903505541902</v>
      </c>
    </row>
    <row r="1390" customFormat="false" ht="15" hidden="false" customHeight="false" outlineLevel="0" collapsed="false">
      <c r="A1390" s="12" t="n">
        <v>2095.313</v>
      </c>
      <c r="B1390" s="13" t="n">
        <f aca="false">A1390-$A$2</f>
        <v>69.432</v>
      </c>
      <c r="C1390" s="14" t="n">
        <v>439.09</v>
      </c>
      <c r="D1390" s="13" t="n">
        <f aca="false">C1390*Config!$B$8</f>
        <v>156.669692376638</v>
      </c>
    </row>
    <row r="1391" customFormat="false" ht="15" hidden="false" customHeight="false" outlineLevel="0" collapsed="false">
      <c r="A1391" s="12" t="n">
        <v>2095.363</v>
      </c>
      <c r="B1391" s="13" t="n">
        <f aca="false">A1391-$A$2</f>
        <v>69.4819999999997</v>
      </c>
      <c r="C1391" s="14" t="n">
        <v>437.01</v>
      </c>
      <c r="D1391" s="13" t="n">
        <f aca="false">C1391*Config!$B$8</f>
        <v>155.927537100628</v>
      </c>
    </row>
    <row r="1392" customFormat="false" ht="15" hidden="false" customHeight="false" outlineLevel="0" collapsed="false">
      <c r="A1392" s="12" t="n">
        <v>2095.413</v>
      </c>
      <c r="B1392" s="13" t="n">
        <f aca="false">A1392-$A$2</f>
        <v>69.5319999999999</v>
      </c>
      <c r="C1392" s="14" t="n">
        <v>435.67</v>
      </c>
      <c r="D1392" s="13" t="n">
        <f aca="false">C1392*Config!$B$8</f>
        <v>155.449417836275</v>
      </c>
    </row>
    <row r="1393" customFormat="false" ht="15" hidden="false" customHeight="false" outlineLevel="0" collapsed="false">
      <c r="A1393" s="12" t="n">
        <v>2095.463</v>
      </c>
      <c r="B1393" s="13" t="n">
        <f aca="false">A1393-$A$2</f>
        <v>69.5820000000001</v>
      </c>
      <c r="C1393" s="14" t="n">
        <v>439.39</v>
      </c>
      <c r="D1393" s="13" t="n">
        <f aca="false">C1393*Config!$B$8</f>
        <v>156.776734002986</v>
      </c>
    </row>
    <row r="1394" customFormat="false" ht="15" hidden="false" customHeight="false" outlineLevel="0" collapsed="false">
      <c r="A1394" s="12" t="n">
        <v>2095.513</v>
      </c>
      <c r="B1394" s="13" t="n">
        <f aca="false">A1394-$A$2</f>
        <v>69.6319999999998</v>
      </c>
      <c r="C1394" s="14" t="n">
        <v>435.79</v>
      </c>
      <c r="D1394" s="13" t="n">
        <f aca="false">C1394*Config!$B$8</f>
        <v>155.492234486814</v>
      </c>
    </row>
    <row r="1395" customFormat="false" ht="15" hidden="false" customHeight="false" outlineLevel="0" collapsed="false">
      <c r="A1395" s="12" t="n">
        <v>2095.563</v>
      </c>
      <c r="B1395" s="13" t="n">
        <f aca="false">A1395-$A$2</f>
        <v>69.682</v>
      </c>
      <c r="C1395" s="14" t="n">
        <v>438.18</v>
      </c>
      <c r="D1395" s="13" t="n">
        <f aca="false">C1395*Config!$B$8</f>
        <v>156.344999443384</v>
      </c>
    </row>
    <row r="1396" customFormat="false" ht="15" hidden="false" customHeight="false" outlineLevel="0" collapsed="false">
      <c r="A1396" s="12" t="n">
        <v>2095.613</v>
      </c>
      <c r="B1396" s="13" t="n">
        <f aca="false">A1396-$A$2</f>
        <v>69.7319999999997</v>
      </c>
      <c r="C1396" s="14" t="n">
        <v>436.04</v>
      </c>
      <c r="D1396" s="13" t="n">
        <f aca="false">C1396*Config!$B$8</f>
        <v>155.581435842104</v>
      </c>
    </row>
    <row r="1397" customFormat="false" ht="15" hidden="false" customHeight="false" outlineLevel="0" collapsed="false">
      <c r="A1397" s="12" t="n">
        <v>2095.663</v>
      </c>
      <c r="B1397" s="13" t="n">
        <f aca="false">A1397-$A$2</f>
        <v>69.7819999999999</v>
      </c>
      <c r="C1397" s="14" t="n">
        <v>436.61</v>
      </c>
      <c r="D1397" s="13" t="n">
        <f aca="false">C1397*Config!$B$8</f>
        <v>155.784814932164</v>
      </c>
    </row>
    <row r="1398" customFormat="false" ht="15" hidden="false" customHeight="false" outlineLevel="0" collapsed="false">
      <c r="A1398" s="12" t="n">
        <v>2095.713</v>
      </c>
      <c r="B1398" s="13" t="n">
        <f aca="false">A1398-$A$2</f>
        <v>69.8320000000001</v>
      </c>
      <c r="C1398" s="14" t="n">
        <v>439.14</v>
      </c>
      <c r="D1398" s="13" t="n">
        <f aca="false">C1398*Config!$B$8</f>
        <v>156.687532647696</v>
      </c>
    </row>
    <row r="1399" customFormat="false" ht="15" hidden="false" customHeight="false" outlineLevel="0" collapsed="false">
      <c r="A1399" s="12" t="n">
        <v>2095.763</v>
      </c>
      <c r="B1399" s="13" t="n">
        <f aca="false">A1399-$A$2</f>
        <v>69.8819999999998</v>
      </c>
      <c r="C1399" s="14" t="n">
        <v>438.78</v>
      </c>
      <c r="D1399" s="13" t="n">
        <f aca="false">C1399*Config!$B$8</f>
        <v>156.559082696079</v>
      </c>
    </row>
    <row r="1400" customFormat="false" ht="15" hidden="false" customHeight="false" outlineLevel="0" collapsed="false">
      <c r="A1400" s="12" t="n">
        <v>2095.813</v>
      </c>
      <c r="B1400" s="13" t="n">
        <f aca="false">A1400-$A$2</f>
        <v>69.932</v>
      </c>
      <c r="C1400" s="14" t="n">
        <v>436.83</v>
      </c>
      <c r="D1400" s="13" t="n">
        <f aca="false">C1400*Config!$B$8</f>
        <v>155.863312124819</v>
      </c>
    </row>
    <row r="1401" customFormat="false" ht="15" hidden="false" customHeight="false" outlineLevel="0" collapsed="false">
      <c r="A1401" s="12" t="n">
        <v>2095.863</v>
      </c>
      <c r="B1401" s="13" t="n">
        <f aca="false">A1401-$A$2</f>
        <v>69.9819999999997</v>
      </c>
      <c r="C1401" s="14" t="n">
        <v>436.2</v>
      </c>
      <c r="D1401" s="13" t="n">
        <f aca="false">C1401*Config!$B$8</f>
        <v>155.638524709489</v>
      </c>
    </row>
    <row r="1402" customFormat="false" ht="15" hidden="false" customHeight="false" outlineLevel="0" collapsed="false">
      <c r="A1402" s="12" t="n">
        <v>2095.913</v>
      </c>
      <c r="B1402" s="13" t="n">
        <f aca="false">A1402-$A$2</f>
        <v>70.0319999999999</v>
      </c>
      <c r="C1402" s="14" t="n">
        <v>439.85</v>
      </c>
      <c r="D1402" s="13" t="n">
        <f aca="false">C1402*Config!$B$8</f>
        <v>156.940864496719</v>
      </c>
    </row>
    <row r="1403" customFormat="false" ht="15" hidden="false" customHeight="false" outlineLevel="0" collapsed="false">
      <c r="A1403" s="12" t="n">
        <v>2095.963</v>
      </c>
      <c r="B1403" s="13" t="n">
        <f aca="false">A1403-$A$2</f>
        <v>70.0820000000001</v>
      </c>
      <c r="C1403" s="14" t="n">
        <v>436.39</v>
      </c>
      <c r="D1403" s="13" t="n">
        <f aca="false">C1403*Config!$B$8</f>
        <v>155.706317739509</v>
      </c>
    </row>
    <row r="1404" customFormat="false" ht="15" hidden="false" customHeight="false" outlineLevel="0" collapsed="false">
      <c r="A1404" s="12" t="n">
        <v>2096.013</v>
      </c>
      <c r="B1404" s="13" t="n">
        <f aca="false">A1404-$A$2</f>
        <v>70.1319999999998</v>
      </c>
      <c r="C1404" s="14" t="n">
        <v>437</v>
      </c>
      <c r="D1404" s="13" t="n">
        <f aca="false">C1404*Config!$B$8</f>
        <v>155.923969046416</v>
      </c>
    </row>
    <row r="1405" customFormat="false" ht="15" hidden="false" customHeight="false" outlineLevel="0" collapsed="false">
      <c r="A1405" s="12" t="n">
        <v>2096.063</v>
      </c>
      <c r="B1405" s="13" t="n">
        <f aca="false">A1405-$A$2</f>
        <v>70.182</v>
      </c>
      <c r="C1405" s="14" t="n">
        <v>437.33</v>
      </c>
      <c r="D1405" s="13" t="n">
        <f aca="false">C1405*Config!$B$8</f>
        <v>156.041714835399</v>
      </c>
    </row>
    <row r="1406" customFormat="false" ht="15" hidden="false" customHeight="false" outlineLevel="0" collapsed="false">
      <c r="A1406" s="12" t="n">
        <v>2096.113</v>
      </c>
      <c r="B1406" s="13" t="n">
        <f aca="false">A1406-$A$2</f>
        <v>70.2319999999997</v>
      </c>
      <c r="C1406" s="14" t="n">
        <v>439.16</v>
      </c>
      <c r="D1406" s="13" t="n">
        <f aca="false">C1406*Config!$B$8</f>
        <v>156.694668756119</v>
      </c>
    </row>
    <row r="1407" customFormat="false" ht="15" hidden="false" customHeight="false" outlineLevel="0" collapsed="false">
      <c r="A1407" s="12" t="n">
        <v>2096.163</v>
      </c>
      <c r="B1407" s="13" t="n">
        <f aca="false">A1407-$A$2</f>
        <v>70.2819999999999</v>
      </c>
      <c r="C1407" s="14" t="n">
        <v>437.79</v>
      </c>
      <c r="D1407" s="13" t="n">
        <f aca="false">C1407*Config!$B$8</f>
        <v>156.205845329132</v>
      </c>
    </row>
    <row r="1408" customFormat="false" ht="15" hidden="false" customHeight="false" outlineLevel="0" collapsed="false">
      <c r="A1408" s="12" t="n">
        <v>2096.214</v>
      </c>
      <c r="B1408" s="13" t="n">
        <f aca="false">A1408-$A$2</f>
        <v>70.3329999999999</v>
      </c>
      <c r="C1408" s="14" t="n">
        <v>433.93</v>
      </c>
      <c r="D1408" s="13" t="n">
        <f aca="false">C1408*Config!$B$8</f>
        <v>154.828576403458</v>
      </c>
    </row>
    <row r="1409" customFormat="false" ht="15" hidden="false" customHeight="false" outlineLevel="0" collapsed="false">
      <c r="A1409" s="12" t="n">
        <v>2096.264</v>
      </c>
      <c r="B1409" s="13" t="n">
        <f aca="false">A1409-$A$2</f>
        <v>70.383</v>
      </c>
      <c r="C1409" s="14" t="n">
        <v>435.43</v>
      </c>
      <c r="D1409" s="13" t="n">
        <f aca="false">C1409*Config!$B$8</f>
        <v>155.363784535197</v>
      </c>
    </row>
    <row r="1410" customFormat="false" ht="15" hidden="false" customHeight="false" outlineLevel="0" collapsed="false">
      <c r="A1410" s="12" t="n">
        <v>2096.314</v>
      </c>
      <c r="B1410" s="13" t="n">
        <f aca="false">A1410-$A$2</f>
        <v>70.4329999999998</v>
      </c>
      <c r="C1410" s="14" t="n">
        <v>437.97</v>
      </c>
      <c r="D1410" s="13" t="n">
        <f aca="false">C1410*Config!$B$8</f>
        <v>156.27007030494</v>
      </c>
    </row>
    <row r="1411" customFormat="false" ht="15" hidden="false" customHeight="false" outlineLevel="0" collapsed="false">
      <c r="A1411" s="12" t="n">
        <v>2096.364</v>
      </c>
      <c r="B1411" s="13" t="n">
        <f aca="false">A1411-$A$2</f>
        <v>70.483</v>
      </c>
      <c r="C1411" s="14" t="n">
        <v>433.65</v>
      </c>
      <c r="D1411" s="13" t="n">
        <f aca="false">C1411*Config!$B$8</f>
        <v>154.728670885534</v>
      </c>
    </row>
    <row r="1412" customFormat="false" ht="15" hidden="false" customHeight="false" outlineLevel="0" collapsed="false">
      <c r="A1412" s="12" t="n">
        <v>2096.414</v>
      </c>
      <c r="B1412" s="13" t="n">
        <f aca="false">A1412-$A$2</f>
        <v>70.5330000000001</v>
      </c>
      <c r="C1412" s="14" t="n">
        <v>435.7</v>
      </c>
      <c r="D1412" s="13" t="n">
        <f aca="false">C1412*Config!$B$8</f>
        <v>155.46012199891</v>
      </c>
    </row>
    <row r="1413" customFormat="false" ht="15" hidden="false" customHeight="false" outlineLevel="0" collapsed="false">
      <c r="A1413" s="12" t="n">
        <v>2096.464</v>
      </c>
      <c r="B1413" s="13" t="n">
        <f aca="false">A1413-$A$2</f>
        <v>70.5829999999999</v>
      </c>
      <c r="C1413" s="14" t="n">
        <v>436.68</v>
      </c>
      <c r="D1413" s="13" t="n">
        <f aca="false">C1413*Config!$B$8</f>
        <v>155.809791311645</v>
      </c>
    </row>
    <row r="1414" customFormat="false" ht="15" hidden="false" customHeight="false" outlineLevel="0" collapsed="false">
      <c r="A1414" s="12" t="n">
        <v>2096.514</v>
      </c>
      <c r="B1414" s="13" t="n">
        <f aca="false">A1414-$A$2</f>
        <v>70.633</v>
      </c>
      <c r="C1414" s="14" t="n">
        <v>436.65</v>
      </c>
      <c r="D1414" s="13" t="n">
        <f aca="false">C1414*Config!$B$8</f>
        <v>155.799087149011</v>
      </c>
    </row>
    <row r="1415" customFormat="false" ht="15" hidden="false" customHeight="false" outlineLevel="0" collapsed="false">
      <c r="A1415" s="12" t="n">
        <v>2096.564</v>
      </c>
      <c r="B1415" s="13" t="n">
        <f aca="false">A1415-$A$2</f>
        <v>70.6829999999998</v>
      </c>
      <c r="C1415" s="14" t="n">
        <v>438.35</v>
      </c>
      <c r="D1415" s="13" t="n">
        <f aca="false">C1415*Config!$B$8</f>
        <v>156.405656364981</v>
      </c>
    </row>
    <row r="1416" customFormat="false" ht="15" hidden="false" customHeight="false" outlineLevel="0" collapsed="false">
      <c r="A1416" s="12" t="n">
        <v>2096.614</v>
      </c>
      <c r="B1416" s="13" t="n">
        <f aca="false">A1416-$A$2</f>
        <v>70.733</v>
      </c>
      <c r="C1416" s="14" t="n">
        <v>433.91</v>
      </c>
      <c r="D1416" s="13" t="n">
        <f aca="false">C1416*Config!$B$8</f>
        <v>154.821440295035</v>
      </c>
    </row>
    <row r="1417" customFormat="false" ht="15" hidden="false" customHeight="false" outlineLevel="0" collapsed="false">
      <c r="A1417" s="12" t="n">
        <v>2096.664</v>
      </c>
      <c r="B1417" s="13" t="n">
        <f aca="false">A1417-$A$2</f>
        <v>70.7830000000001</v>
      </c>
      <c r="C1417" s="14" t="n">
        <v>431.85</v>
      </c>
      <c r="D1417" s="13" t="n">
        <f aca="false">C1417*Config!$B$8</f>
        <v>154.086421127448</v>
      </c>
    </row>
    <row r="1418" customFormat="false" ht="15" hidden="false" customHeight="false" outlineLevel="0" collapsed="false">
      <c r="A1418" s="12" t="n">
        <v>2096.714</v>
      </c>
      <c r="B1418" s="13" t="n">
        <f aca="false">A1418-$A$2</f>
        <v>70.8329999999999</v>
      </c>
      <c r="C1418" s="14" t="n">
        <v>434.41</v>
      </c>
      <c r="D1418" s="13" t="n">
        <f aca="false">C1418*Config!$B$8</f>
        <v>154.999843005615</v>
      </c>
    </row>
    <row r="1419" customFormat="false" ht="15" hidden="false" customHeight="false" outlineLevel="0" collapsed="false">
      <c r="A1419" s="12" t="n">
        <v>2096.764</v>
      </c>
      <c r="B1419" s="13" t="n">
        <f aca="false">A1419-$A$2</f>
        <v>70.883</v>
      </c>
      <c r="C1419" s="14" t="n">
        <v>436.56</v>
      </c>
      <c r="D1419" s="13" t="n">
        <f aca="false">C1419*Config!$B$8</f>
        <v>155.766974661106</v>
      </c>
    </row>
    <row r="1420" customFormat="false" ht="15" hidden="false" customHeight="false" outlineLevel="0" collapsed="false">
      <c r="A1420" s="12" t="n">
        <v>2096.814</v>
      </c>
      <c r="B1420" s="13" t="n">
        <f aca="false">A1420-$A$2</f>
        <v>70.9329999999998</v>
      </c>
      <c r="C1420" s="14" t="n">
        <v>432.01</v>
      </c>
      <c r="D1420" s="13" t="n">
        <f aca="false">C1420*Config!$B$8</f>
        <v>154.143509994834</v>
      </c>
    </row>
    <row r="1421" customFormat="false" ht="15" hidden="false" customHeight="false" outlineLevel="0" collapsed="false">
      <c r="A1421" s="12" t="n">
        <v>2096.864</v>
      </c>
      <c r="B1421" s="13" t="n">
        <f aca="false">A1421-$A$2</f>
        <v>70.983</v>
      </c>
      <c r="C1421" s="14" t="n">
        <v>438.8</v>
      </c>
      <c r="D1421" s="13" t="n">
        <f aca="false">C1421*Config!$B$8</f>
        <v>156.566218804502</v>
      </c>
    </row>
    <row r="1422" customFormat="false" ht="15" hidden="false" customHeight="false" outlineLevel="0" collapsed="false">
      <c r="A1422" s="12" t="n">
        <v>2096.914</v>
      </c>
      <c r="B1422" s="13" t="n">
        <f aca="false">A1422-$A$2</f>
        <v>71.0330000000001</v>
      </c>
      <c r="C1422" s="14" t="n">
        <v>432.33</v>
      </c>
      <c r="D1422" s="13" t="n">
        <f aca="false">C1422*Config!$B$8</f>
        <v>154.257687729604</v>
      </c>
    </row>
    <row r="1423" customFormat="false" ht="15" hidden="false" customHeight="false" outlineLevel="0" collapsed="false">
      <c r="A1423" s="12" t="n">
        <v>2096.964</v>
      </c>
      <c r="B1423" s="13" t="n">
        <f aca="false">A1423-$A$2</f>
        <v>71.0829999999999</v>
      </c>
      <c r="C1423" s="14" t="n">
        <v>437.59</v>
      </c>
      <c r="D1423" s="13" t="n">
        <f aca="false">C1423*Config!$B$8</f>
        <v>156.1344842449</v>
      </c>
    </row>
    <row r="1424" customFormat="false" ht="15" hidden="false" customHeight="false" outlineLevel="0" collapsed="false">
      <c r="A1424" s="12" t="n">
        <v>2097.014</v>
      </c>
      <c r="B1424" s="13" t="n">
        <f aca="false">A1424-$A$2</f>
        <v>71.133</v>
      </c>
      <c r="C1424" s="14" t="n">
        <v>433.16</v>
      </c>
      <c r="D1424" s="13" t="n">
        <f aca="false">C1424*Config!$B$8</f>
        <v>154.553836229166</v>
      </c>
    </row>
    <row r="1425" customFormat="false" ht="15" hidden="false" customHeight="false" outlineLevel="0" collapsed="false">
      <c r="A1425" s="12" t="n">
        <v>2097.064</v>
      </c>
      <c r="B1425" s="13" t="n">
        <f aca="false">A1425-$A$2</f>
        <v>71.1829999999998</v>
      </c>
      <c r="C1425" s="14" t="n">
        <v>437.85</v>
      </c>
      <c r="D1425" s="13" t="n">
        <f aca="false">C1425*Config!$B$8</f>
        <v>156.227253654401</v>
      </c>
    </row>
    <row r="1426" customFormat="false" ht="15" hidden="false" customHeight="false" outlineLevel="0" collapsed="false">
      <c r="A1426" s="12" t="n">
        <v>2097.114</v>
      </c>
      <c r="B1426" s="13" t="n">
        <f aca="false">A1426-$A$2</f>
        <v>71.233</v>
      </c>
      <c r="C1426" s="14" t="n">
        <v>432.02</v>
      </c>
      <c r="D1426" s="13" t="n">
        <f aca="false">C1426*Config!$B$8</f>
        <v>154.147078049045</v>
      </c>
    </row>
    <row r="1427" customFormat="false" ht="15" hidden="false" customHeight="false" outlineLevel="0" collapsed="false">
      <c r="A1427" s="12" t="n">
        <v>2097.164</v>
      </c>
      <c r="B1427" s="13" t="n">
        <f aca="false">A1427-$A$2</f>
        <v>71.2830000000001</v>
      </c>
      <c r="C1427" s="14" t="n">
        <v>437.97</v>
      </c>
      <c r="D1427" s="13" t="n">
        <f aca="false">C1427*Config!$B$8</f>
        <v>156.27007030494</v>
      </c>
    </row>
    <row r="1428" customFormat="false" ht="15" hidden="false" customHeight="false" outlineLevel="0" collapsed="false">
      <c r="A1428" s="12" t="n">
        <v>2097.214</v>
      </c>
      <c r="B1428" s="13" t="n">
        <f aca="false">A1428-$A$2</f>
        <v>71.3329999999999</v>
      </c>
      <c r="C1428" s="14" t="n">
        <v>435.29</v>
      </c>
      <c r="D1428" s="13" t="n">
        <f aca="false">C1428*Config!$B$8</f>
        <v>155.313831776235</v>
      </c>
    </row>
    <row r="1429" customFormat="false" ht="15" hidden="false" customHeight="false" outlineLevel="0" collapsed="false">
      <c r="A1429" s="12" t="n">
        <v>2097.264</v>
      </c>
      <c r="B1429" s="13" t="n">
        <f aca="false">A1429-$A$2</f>
        <v>71.383</v>
      </c>
      <c r="C1429" s="14" t="n">
        <v>433.5</v>
      </c>
      <c r="D1429" s="13" t="n">
        <f aca="false">C1429*Config!$B$8</f>
        <v>154.67515007236</v>
      </c>
    </row>
    <row r="1430" customFormat="false" ht="15" hidden="false" customHeight="false" outlineLevel="0" collapsed="false">
      <c r="A1430" s="12" t="n">
        <v>2097.314</v>
      </c>
      <c r="B1430" s="13" t="n">
        <f aca="false">A1430-$A$2</f>
        <v>71.4329999999998</v>
      </c>
      <c r="C1430" s="14" t="n">
        <v>434.83</v>
      </c>
      <c r="D1430" s="13" t="n">
        <f aca="false">C1430*Config!$B$8</f>
        <v>155.149701282501</v>
      </c>
    </row>
    <row r="1431" customFormat="false" ht="15" hidden="false" customHeight="false" outlineLevel="0" collapsed="false">
      <c r="A1431" s="12" t="n">
        <v>2097.364</v>
      </c>
      <c r="B1431" s="13" t="n">
        <f aca="false">A1431-$A$2</f>
        <v>71.483</v>
      </c>
      <c r="C1431" s="14" t="n">
        <v>432.93</v>
      </c>
      <c r="D1431" s="13" t="n">
        <f aca="false">C1431*Config!$B$8</f>
        <v>154.4717709823</v>
      </c>
    </row>
    <row r="1432" customFormat="false" ht="15" hidden="false" customHeight="false" outlineLevel="0" collapsed="false">
      <c r="A1432" s="12" t="n">
        <v>2097.414</v>
      </c>
      <c r="B1432" s="13" t="n">
        <f aca="false">A1432-$A$2</f>
        <v>71.5330000000001</v>
      </c>
      <c r="C1432" s="14" t="n">
        <v>431.15</v>
      </c>
      <c r="D1432" s="13" t="n">
        <f aca="false">C1432*Config!$B$8</f>
        <v>153.836657332637</v>
      </c>
    </row>
    <row r="1433" customFormat="false" ht="15" hidden="false" customHeight="false" outlineLevel="0" collapsed="false">
      <c r="A1433" s="12" t="n">
        <v>2097.464</v>
      </c>
      <c r="B1433" s="13" t="n">
        <f aca="false">A1433-$A$2</f>
        <v>71.5829999999999</v>
      </c>
      <c r="C1433" s="14" t="n">
        <v>432.06</v>
      </c>
      <c r="D1433" s="13" t="n">
        <f aca="false">C1433*Config!$B$8</f>
        <v>154.161350265891</v>
      </c>
    </row>
    <row r="1434" customFormat="false" ht="15" hidden="false" customHeight="false" outlineLevel="0" collapsed="false">
      <c r="A1434" s="12" t="n">
        <v>2097.514</v>
      </c>
      <c r="B1434" s="13" t="n">
        <f aca="false">A1434-$A$2</f>
        <v>71.633</v>
      </c>
      <c r="C1434" s="14" t="n">
        <v>432.61</v>
      </c>
      <c r="D1434" s="13" t="n">
        <f aca="false">C1434*Config!$B$8</f>
        <v>154.357593247529</v>
      </c>
    </row>
    <row r="1435" customFormat="false" ht="15" hidden="false" customHeight="false" outlineLevel="0" collapsed="false">
      <c r="A1435" s="12" t="n">
        <v>2097.564</v>
      </c>
      <c r="B1435" s="13" t="n">
        <f aca="false">A1435-$A$2</f>
        <v>71.6829999999998</v>
      </c>
      <c r="C1435" s="14" t="n">
        <v>438.71</v>
      </c>
      <c r="D1435" s="13" t="n">
        <f aca="false">C1435*Config!$B$8</f>
        <v>156.534106316598</v>
      </c>
    </row>
    <row r="1436" customFormat="false" ht="15" hidden="false" customHeight="false" outlineLevel="0" collapsed="false">
      <c r="A1436" s="12" t="n">
        <v>2097.614</v>
      </c>
      <c r="B1436" s="13" t="n">
        <f aca="false">A1436-$A$2</f>
        <v>71.733</v>
      </c>
      <c r="C1436" s="14" t="n">
        <v>432.95</v>
      </c>
      <c r="D1436" s="13" t="n">
        <f aca="false">C1436*Config!$B$8</f>
        <v>154.478907090723</v>
      </c>
    </row>
    <row r="1437" customFormat="false" ht="15" hidden="false" customHeight="false" outlineLevel="0" collapsed="false">
      <c r="A1437" s="12" t="n">
        <v>2097.664</v>
      </c>
      <c r="B1437" s="13" t="n">
        <f aca="false">A1437-$A$2</f>
        <v>71.7830000000001</v>
      </c>
      <c r="C1437" s="14" t="n">
        <v>436.66</v>
      </c>
      <c r="D1437" s="13" t="n">
        <f aca="false">C1437*Config!$B$8</f>
        <v>155.802655203222</v>
      </c>
    </row>
    <row r="1438" customFormat="false" ht="15" hidden="false" customHeight="false" outlineLevel="0" collapsed="false">
      <c r="A1438" s="12" t="n">
        <v>2097.714</v>
      </c>
      <c r="B1438" s="13" t="n">
        <f aca="false">A1438-$A$2</f>
        <v>71.8329999999999</v>
      </c>
      <c r="C1438" s="14" t="n">
        <v>437.2</v>
      </c>
      <c r="D1438" s="13" t="n">
        <f aca="false">C1438*Config!$B$8</f>
        <v>155.995330130648</v>
      </c>
    </row>
    <row r="1439" customFormat="false" ht="15" hidden="false" customHeight="false" outlineLevel="0" collapsed="false">
      <c r="A1439" s="12" t="n">
        <v>2097.764</v>
      </c>
      <c r="B1439" s="13" t="n">
        <f aca="false">A1439-$A$2</f>
        <v>71.883</v>
      </c>
      <c r="C1439" s="14" t="n">
        <v>429.85</v>
      </c>
      <c r="D1439" s="13" t="n">
        <f aca="false">C1439*Config!$B$8</f>
        <v>153.37281028513</v>
      </c>
    </row>
    <row r="1440" customFormat="false" ht="15" hidden="false" customHeight="false" outlineLevel="0" collapsed="false">
      <c r="A1440" s="12" t="n">
        <v>2097.814</v>
      </c>
      <c r="B1440" s="13" t="n">
        <f aca="false">A1440-$A$2</f>
        <v>71.9329999999998</v>
      </c>
      <c r="C1440" s="14" t="n">
        <v>430.23</v>
      </c>
      <c r="D1440" s="13" t="n">
        <f aca="false">C1440*Config!$B$8</f>
        <v>153.508396345171</v>
      </c>
    </row>
    <row r="1441" customFormat="false" ht="15" hidden="false" customHeight="false" outlineLevel="0" collapsed="false">
      <c r="A1441" s="12" t="n">
        <v>2097.864</v>
      </c>
      <c r="B1441" s="13" t="n">
        <f aca="false">A1441-$A$2</f>
        <v>71.983</v>
      </c>
      <c r="C1441" s="14" t="n">
        <v>430.01</v>
      </c>
      <c r="D1441" s="13" t="n">
        <f aca="false">C1441*Config!$B$8</f>
        <v>153.429899152516</v>
      </c>
    </row>
    <row r="1442" customFormat="false" ht="15" hidden="false" customHeight="false" outlineLevel="0" collapsed="false">
      <c r="A1442" s="12" t="n">
        <v>2097.914</v>
      </c>
      <c r="B1442" s="13" t="n">
        <f aca="false">A1442-$A$2</f>
        <v>72.0330000000001</v>
      </c>
      <c r="C1442" s="14" t="n">
        <v>433.47</v>
      </c>
      <c r="D1442" s="13" t="n">
        <f aca="false">C1442*Config!$B$8</f>
        <v>154.664445909725</v>
      </c>
    </row>
    <row r="1443" customFormat="false" ht="15" hidden="false" customHeight="false" outlineLevel="0" collapsed="false">
      <c r="A1443" s="12" t="n">
        <v>2097.964</v>
      </c>
      <c r="B1443" s="13" t="n">
        <f aca="false">A1443-$A$2</f>
        <v>72.0829999999999</v>
      </c>
      <c r="C1443" s="14" t="n">
        <v>429.02</v>
      </c>
      <c r="D1443" s="13" t="n">
        <f aca="false">C1443*Config!$B$8</f>
        <v>153.076661785569</v>
      </c>
    </row>
    <row r="1444" customFormat="false" ht="15" hidden="false" customHeight="false" outlineLevel="0" collapsed="false">
      <c r="A1444" s="12" t="n">
        <v>2098.014</v>
      </c>
      <c r="B1444" s="13" t="n">
        <f aca="false">A1444-$A$2</f>
        <v>72.133</v>
      </c>
      <c r="C1444" s="14" t="n">
        <v>434.6</v>
      </c>
      <c r="D1444" s="13" t="n">
        <f aca="false">C1444*Config!$B$8</f>
        <v>155.067636035635</v>
      </c>
    </row>
    <row r="1445" customFormat="false" ht="15" hidden="false" customHeight="false" outlineLevel="0" collapsed="false">
      <c r="A1445" s="12" t="n">
        <v>2098.064</v>
      </c>
      <c r="B1445" s="13" t="n">
        <f aca="false">A1445-$A$2</f>
        <v>72.1829999999998</v>
      </c>
      <c r="C1445" s="14" t="n">
        <v>436.41</v>
      </c>
      <c r="D1445" s="13" t="n">
        <f aca="false">C1445*Config!$B$8</f>
        <v>155.713453847932</v>
      </c>
    </row>
    <row r="1446" customFormat="false" ht="15" hidden="false" customHeight="false" outlineLevel="0" collapsed="false">
      <c r="A1446" s="12" t="n">
        <v>2098.114</v>
      </c>
      <c r="B1446" s="13" t="n">
        <f aca="false">A1446-$A$2</f>
        <v>72.233</v>
      </c>
      <c r="C1446" s="14" t="n">
        <v>431.92</v>
      </c>
      <c r="D1446" s="13" t="n">
        <f aca="false">C1446*Config!$B$8</f>
        <v>154.111397506929</v>
      </c>
    </row>
    <row r="1447" customFormat="false" ht="15" hidden="false" customHeight="false" outlineLevel="0" collapsed="false">
      <c r="A1447" s="12" t="n">
        <v>2098.164</v>
      </c>
      <c r="B1447" s="13" t="n">
        <f aca="false">A1447-$A$2</f>
        <v>72.2830000000001</v>
      </c>
      <c r="C1447" s="14" t="n">
        <v>439.85</v>
      </c>
      <c r="D1447" s="13" t="n">
        <f aca="false">C1447*Config!$B$8</f>
        <v>156.940864496719</v>
      </c>
    </row>
    <row r="1448" customFormat="false" ht="15" hidden="false" customHeight="false" outlineLevel="0" collapsed="false">
      <c r="A1448" s="12" t="n">
        <v>2098.214</v>
      </c>
      <c r="B1448" s="13" t="n">
        <f aca="false">A1448-$A$2</f>
        <v>72.3329999999999</v>
      </c>
      <c r="C1448" s="14" t="n">
        <v>426.22</v>
      </c>
      <c r="D1448" s="13" t="n">
        <f aca="false">C1448*Config!$B$8</f>
        <v>152.077606606324</v>
      </c>
    </row>
    <row r="1449" customFormat="false" ht="15" hidden="false" customHeight="false" outlineLevel="0" collapsed="false">
      <c r="A1449" s="12" t="n">
        <v>2098.264</v>
      </c>
      <c r="B1449" s="13" t="n">
        <f aca="false">A1449-$A$2</f>
        <v>72.383</v>
      </c>
      <c r="C1449" s="14" t="n">
        <v>433.92</v>
      </c>
      <c r="D1449" s="13" t="n">
        <f aca="false">C1449*Config!$B$8</f>
        <v>154.825008349247</v>
      </c>
    </row>
    <row r="1450" customFormat="false" ht="15" hidden="false" customHeight="false" outlineLevel="0" collapsed="false">
      <c r="A1450" s="12" t="n">
        <v>2098.314</v>
      </c>
      <c r="B1450" s="13" t="n">
        <f aca="false">A1450-$A$2</f>
        <v>72.4329999999998</v>
      </c>
      <c r="C1450" s="14" t="n">
        <v>428.79</v>
      </c>
      <c r="D1450" s="13" t="n">
        <f aca="false">C1450*Config!$B$8</f>
        <v>152.994596538702</v>
      </c>
    </row>
    <row r="1451" customFormat="false" ht="15" hidden="false" customHeight="false" outlineLevel="0" collapsed="false">
      <c r="A1451" s="12" t="n">
        <v>2098.364</v>
      </c>
      <c r="B1451" s="13" t="n">
        <f aca="false">A1451-$A$2</f>
        <v>72.483</v>
      </c>
      <c r="C1451" s="14" t="n">
        <v>435.87</v>
      </c>
      <c r="D1451" s="13" t="n">
        <f aca="false">C1451*Config!$B$8</f>
        <v>155.520778920507</v>
      </c>
    </row>
    <row r="1452" customFormat="false" ht="15" hidden="false" customHeight="false" outlineLevel="0" collapsed="false">
      <c r="A1452" s="12" t="n">
        <v>2098.414</v>
      </c>
      <c r="B1452" s="13" t="n">
        <f aca="false">A1452-$A$2</f>
        <v>72.5330000000001</v>
      </c>
      <c r="C1452" s="14" t="n">
        <v>440.48</v>
      </c>
      <c r="D1452" s="13" t="n">
        <f aca="false">C1452*Config!$B$8</f>
        <v>157.165651912049</v>
      </c>
    </row>
    <row r="1453" customFormat="false" ht="15" hidden="false" customHeight="false" outlineLevel="0" collapsed="false">
      <c r="A1453" s="12" t="n">
        <v>2098.464</v>
      </c>
      <c r="B1453" s="13" t="n">
        <f aca="false">A1453-$A$2</f>
        <v>72.5829999999999</v>
      </c>
      <c r="C1453" s="14" t="n">
        <v>437.87</v>
      </c>
      <c r="D1453" s="13" t="n">
        <f aca="false">C1453*Config!$B$8</f>
        <v>156.234389762824</v>
      </c>
    </row>
    <row r="1454" customFormat="false" ht="15" hidden="false" customHeight="false" outlineLevel="0" collapsed="false">
      <c r="A1454" s="12" t="n">
        <v>2098.514</v>
      </c>
      <c r="B1454" s="13" t="n">
        <f aca="false">A1454-$A$2</f>
        <v>72.633</v>
      </c>
      <c r="C1454" s="14" t="n">
        <v>437.37</v>
      </c>
      <c r="D1454" s="13" t="n">
        <f aca="false">C1454*Config!$B$8</f>
        <v>156.055987052245</v>
      </c>
    </row>
    <row r="1455" customFormat="false" ht="15" hidden="false" customHeight="false" outlineLevel="0" collapsed="false">
      <c r="A1455" s="12" t="n">
        <v>2098.564</v>
      </c>
      <c r="B1455" s="13" t="n">
        <f aca="false">A1455-$A$2</f>
        <v>72.6829999999998</v>
      </c>
      <c r="C1455" s="14" t="n">
        <v>432.25</v>
      </c>
      <c r="D1455" s="13" t="n">
        <f aca="false">C1455*Config!$B$8</f>
        <v>154.229143295912</v>
      </c>
    </row>
    <row r="1456" customFormat="false" ht="15" hidden="false" customHeight="false" outlineLevel="0" collapsed="false">
      <c r="A1456" s="12" t="n">
        <v>2098.614</v>
      </c>
      <c r="B1456" s="13" t="n">
        <f aca="false">A1456-$A$2</f>
        <v>72.733</v>
      </c>
      <c r="C1456" s="14" t="n">
        <v>434.19</v>
      </c>
      <c r="D1456" s="13" t="n">
        <f aca="false">C1456*Config!$B$8</f>
        <v>154.92134581296</v>
      </c>
    </row>
    <row r="1457" customFormat="false" ht="15" hidden="false" customHeight="false" outlineLevel="0" collapsed="false">
      <c r="A1457" s="12" t="n">
        <v>2098.664</v>
      </c>
      <c r="B1457" s="13" t="n">
        <f aca="false">A1457-$A$2</f>
        <v>72.7830000000001</v>
      </c>
      <c r="C1457" s="14" t="n">
        <v>435.95</v>
      </c>
      <c r="D1457" s="13" t="n">
        <f aca="false">C1457*Config!$B$8</f>
        <v>155.549323354199</v>
      </c>
    </row>
    <row r="1458" customFormat="false" ht="15" hidden="false" customHeight="false" outlineLevel="0" collapsed="false">
      <c r="A1458" s="12" t="n">
        <v>2098.714</v>
      </c>
      <c r="B1458" s="13" t="n">
        <f aca="false">A1458-$A$2</f>
        <v>72.8329999999999</v>
      </c>
      <c r="C1458" s="14" t="n">
        <v>430.54</v>
      </c>
      <c r="D1458" s="13" t="n">
        <f aca="false">C1458*Config!$B$8</f>
        <v>153.61900602573</v>
      </c>
    </row>
    <row r="1459" customFormat="false" ht="15" hidden="false" customHeight="false" outlineLevel="0" collapsed="false">
      <c r="A1459" s="12" t="n">
        <v>2098.764</v>
      </c>
      <c r="B1459" s="13" t="n">
        <f aca="false">A1459-$A$2</f>
        <v>72.883</v>
      </c>
      <c r="C1459" s="14" t="n">
        <v>431.35</v>
      </c>
      <c r="D1459" s="13" t="n">
        <f aca="false">C1459*Config!$B$8</f>
        <v>153.908018416869</v>
      </c>
    </row>
    <row r="1460" customFormat="false" ht="15" hidden="false" customHeight="false" outlineLevel="0" collapsed="false">
      <c r="A1460" s="12" t="n">
        <v>2098.814</v>
      </c>
      <c r="B1460" s="13" t="n">
        <f aca="false">A1460-$A$2</f>
        <v>72.9329999999998</v>
      </c>
      <c r="C1460" s="14" t="n">
        <v>429.99</v>
      </c>
      <c r="D1460" s="13" t="n">
        <f aca="false">C1460*Config!$B$8</f>
        <v>153.422763044093</v>
      </c>
    </row>
    <row r="1461" customFormat="false" ht="15" hidden="false" customHeight="false" outlineLevel="0" collapsed="false">
      <c r="A1461" s="12" t="n">
        <v>2098.864</v>
      </c>
      <c r="B1461" s="13" t="n">
        <f aca="false">A1461-$A$2</f>
        <v>72.983</v>
      </c>
      <c r="C1461" s="14" t="n">
        <v>436.8</v>
      </c>
      <c r="D1461" s="13" t="n">
        <f aca="false">C1461*Config!$B$8</f>
        <v>155.852607962184</v>
      </c>
    </row>
    <row r="1462" customFormat="false" ht="15" hidden="false" customHeight="false" outlineLevel="0" collapsed="false">
      <c r="A1462" s="12" t="n">
        <v>2098.914</v>
      </c>
      <c r="B1462" s="13" t="n">
        <f aca="false">A1462-$A$2</f>
        <v>73.0330000000001</v>
      </c>
      <c r="C1462" s="14" t="n">
        <v>428.43</v>
      </c>
      <c r="D1462" s="13" t="n">
        <f aca="false">C1462*Config!$B$8</f>
        <v>152.866146587085</v>
      </c>
    </row>
    <row r="1463" customFormat="false" ht="15" hidden="false" customHeight="false" outlineLevel="0" collapsed="false">
      <c r="A1463" s="12" t="n">
        <v>2098.964</v>
      </c>
      <c r="B1463" s="13" t="n">
        <f aca="false">A1463-$A$2</f>
        <v>73.0829999999999</v>
      </c>
      <c r="C1463" s="14" t="n">
        <v>434.17</v>
      </c>
      <c r="D1463" s="13" t="n">
        <f aca="false">C1463*Config!$B$8</f>
        <v>154.914209704537</v>
      </c>
    </row>
    <row r="1464" customFormat="false" ht="15" hidden="false" customHeight="false" outlineLevel="0" collapsed="false">
      <c r="A1464" s="12" t="n">
        <v>2099.014</v>
      </c>
      <c r="B1464" s="13" t="n">
        <f aca="false">A1464-$A$2</f>
        <v>73.133</v>
      </c>
      <c r="C1464" s="14" t="n">
        <v>432.62</v>
      </c>
      <c r="D1464" s="13" t="n">
        <f aca="false">C1464*Config!$B$8</f>
        <v>154.36116130174</v>
      </c>
    </row>
    <row r="1465" customFormat="false" ht="15" hidden="false" customHeight="false" outlineLevel="0" collapsed="false">
      <c r="A1465" s="12" t="n">
        <v>2099.064</v>
      </c>
      <c r="B1465" s="13" t="n">
        <f aca="false">A1465-$A$2</f>
        <v>73.1829999999998</v>
      </c>
      <c r="C1465" s="14" t="n">
        <v>425.97</v>
      </c>
      <c r="D1465" s="13" t="n">
        <f aca="false">C1465*Config!$B$8</f>
        <v>151.988405251034</v>
      </c>
    </row>
    <row r="1466" customFormat="false" ht="15" hidden="false" customHeight="false" outlineLevel="0" collapsed="false">
      <c r="A1466" s="12" t="n">
        <v>2099.115</v>
      </c>
      <c r="B1466" s="13" t="n">
        <f aca="false">A1466-$A$2</f>
        <v>73.2339999999997</v>
      </c>
      <c r="C1466" s="14" t="n">
        <v>425.45</v>
      </c>
      <c r="D1466" s="13" t="n">
        <f aca="false">C1466*Config!$B$8</f>
        <v>151.802866432031</v>
      </c>
    </row>
    <row r="1467" customFormat="false" ht="15" hidden="false" customHeight="false" outlineLevel="0" collapsed="false">
      <c r="A1467" s="12" t="n">
        <v>2099.165</v>
      </c>
      <c r="B1467" s="13" t="n">
        <f aca="false">A1467-$A$2</f>
        <v>73.2839999999999</v>
      </c>
      <c r="C1467" s="14" t="n">
        <v>431.38</v>
      </c>
      <c r="D1467" s="13" t="n">
        <f aca="false">C1467*Config!$B$8</f>
        <v>153.918722579503</v>
      </c>
    </row>
    <row r="1468" customFormat="false" ht="15" hidden="false" customHeight="false" outlineLevel="0" collapsed="false">
      <c r="A1468" s="12" t="n">
        <v>2099.215</v>
      </c>
      <c r="B1468" s="13" t="n">
        <f aca="false">A1468-$A$2</f>
        <v>73.3340000000001</v>
      </c>
      <c r="C1468" s="14" t="n">
        <v>430.03</v>
      </c>
      <c r="D1468" s="13" t="n">
        <f aca="false">C1468*Config!$B$8</f>
        <v>153.437035260939</v>
      </c>
    </row>
    <row r="1469" customFormat="false" ht="15" hidden="false" customHeight="false" outlineLevel="0" collapsed="false">
      <c r="A1469" s="12" t="n">
        <v>2099.265</v>
      </c>
      <c r="B1469" s="13" t="n">
        <f aca="false">A1469-$A$2</f>
        <v>73.3839999999998</v>
      </c>
      <c r="C1469" s="14" t="n">
        <v>426.7</v>
      </c>
      <c r="D1469" s="13" t="n">
        <f aca="false">C1469*Config!$B$8</f>
        <v>152.24887320848</v>
      </c>
    </row>
    <row r="1470" customFormat="false" ht="15" hidden="false" customHeight="false" outlineLevel="0" collapsed="false">
      <c r="A1470" s="12" t="n">
        <v>2099.315</v>
      </c>
      <c r="B1470" s="13" t="n">
        <f aca="false">A1470-$A$2</f>
        <v>73.434</v>
      </c>
      <c r="C1470" s="14" t="n">
        <v>430.67</v>
      </c>
      <c r="D1470" s="13" t="n">
        <f aca="false">C1470*Config!$B$8</f>
        <v>153.665390730481</v>
      </c>
    </row>
    <row r="1471" customFormat="false" ht="15" hidden="false" customHeight="false" outlineLevel="0" collapsed="false">
      <c r="A1471" s="12" t="n">
        <v>2099.365</v>
      </c>
      <c r="B1471" s="13" t="n">
        <f aca="false">A1471-$A$2</f>
        <v>73.4839999999997</v>
      </c>
      <c r="C1471" s="14" t="n">
        <v>439.43</v>
      </c>
      <c r="D1471" s="13" t="n">
        <f aca="false">C1471*Config!$B$8</f>
        <v>156.791006219832</v>
      </c>
    </row>
    <row r="1472" customFormat="false" ht="15" hidden="false" customHeight="false" outlineLevel="0" collapsed="false">
      <c r="A1472" s="12" t="n">
        <v>2099.415</v>
      </c>
      <c r="B1472" s="13" t="n">
        <f aca="false">A1472-$A$2</f>
        <v>73.5339999999999</v>
      </c>
      <c r="C1472" s="14" t="n">
        <v>432.78</v>
      </c>
      <c r="D1472" s="13" t="n">
        <f aca="false">C1472*Config!$B$8</f>
        <v>154.418250169126</v>
      </c>
    </row>
    <row r="1473" customFormat="false" ht="15" hidden="false" customHeight="false" outlineLevel="0" collapsed="false">
      <c r="A1473" s="12" t="n">
        <v>2099.465</v>
      </c>
      <c r="B1473" s="13" t="n">
        <f aca="false">A1473-$A$2</f>
        <v>73.5840000000001</v>
      </c>
      <c r="C1473" s="14" t="n">
        <v>427.72</v>
      </c>
      <c r="D1473" s="13" t="n">
        <f aca="false">C1473*Config!$B$8</f>
        <v>152.612814738062</v>
      </c>
    </row>
    <row r="1474" customFormat="false" ht="15" hidden="false" customHeight="false" outlineLevel="0" collapsed="false">
      <c r="A1474" s="12" t="n">
        <v>2099.515</v>
      </c>
      <c r="B1474" s="13" t="n">
        <f aca="false">A1474-$A$2</f>
        <v>73.6339999999998</v>
      </c>
      <c r="C1474" s="14" t="n">
        <v>433.06</v>
      </c>
      <c r="D1474" s="13" t="n">
        <f aca="false">C1474*Config!$B$8</f>
        <v>154.51815568705</v>
      </c>
    </row>
    <row r="1475" customFormat="false" ht="15" hidden="false" customHeight="false" outlineLevel="0" collapsed="false">
      <c r="A1475" s="12" t="n">
        <v>2099.565</v>
      </c>
      <c r="B1475" s="13" t="n">
        <f aca="false">A1475-$A$2</f>
        <v>73.684</v>
      </c>
      <c r="C1475" s="14" t="n">
        <v>431.55</v>
      </c>
      <c r="D1475" s="13" t="n">
        <f aca="false">C1475*Config!$B$8</f>
        <v>153.9793795011</v>
      </c>
    </row>
    <row r="1476" customFormat="false" ht="15" hidden="false" customHeight="false" outlineLevel="0" collapsed="false">
      <c r="A1476" s="12" t="n">
        <v>2099.615</v>
      </c>
      <c r="B1476" s="13" t="n">
        <f aca="false">A1476-$A$2</f>
        <v>73.7339999999997</v>
      </c>
      <c r="C1476" s="14" t="n">
        <v>429.37</v>
      </c>
      <c r="D1476" s="13" t="n">
        <f aca="false">C1476*Config!$B$8</f>
        <v>153.201543682974</v>
      </c>
    </row>
    <row r="1477" customFormat="false" ht="15" hidden="false" customHeight="false" outlineLevel="0" collapsed="false">
      <c r="A1477" s="12" t="n">
        <v>2099.665</v>
      </c>
      <c r="B1477" s="13" t="n">
        <f aca="false">A1477-$A$2</f>
        <v>73.7839999999999</v>
      </c>
      <c r="C1477" s="14" t="n">
        <v>429.1</v>
      </c>
      <c r="D1477" s="13" t="n">
        <f aca="false">C1477*Config!$B$8</f>
        <v>153.105206219261</v>
      </c>
    </row>
    <row r="1478" customFormat="false" ht="15" hidden="false" customHeight="false" outlineLevel="0" collapsed="false">
      <c r="A1478" s="12" t="n">
        <v>2099.715</v>
      </c>
      <c r="B1478" s="13" t="n">
        <f aca="false">A1478-$A$2</f>
        <v>73.8340000000001</v>
      </c>
      <c r="C1478" s="14" t="n">
        <v>436.16</v>
      </c>
      <c r="D1478" s="13" t="n">
        <f aca="false">C1478*Config!$B$8</f>
        <v>155.624252492643</v>
      </c>
    </row>
    <row r="1479" customFormat="false" ht="15" hidden="false" customHeight="false" outlineLevel="0" collapsed="false">
      <c r="A1479" s="12" t="n">
        <v>2099.765</v>
      </c>
      <c r="B1479" s="13" t="n">
        <f aca="false">A1479-$A$2</f>
        <v>73.8839999999998</v>
      </c>
      <c r="C1479" s="14" t="n">
        <v>430.22</v>
      </c>
      <c r="D1479" s="13" t="n">
        <f aca="false">C1479*Config!$B$8</f>
        <v>153.504828290959</v>
      </c>
    </row>
    <row r="1480" customFormat="false" ht="15" hidden="false" customHeight="false" outlineLevel="0" collapsed="false">
      <c r="A1480" s="12" t="n">
        <v>2099.815</v>
      </c>
      <c r="B1480" s="13" t="n">
        <f aca="false">A1480-$A$2</f>
        <v>73.934</v>
      </c>
      <c r="C1480" s="14" t="n">
        <v>430.63</v>
      </c>
      <c r="D1480" s="13" t="n">
        <f aca="false">C1480*Config!$B$8</f>
        <v>153.651118513634</v>
      </c>
    </row>
    <row r="1481" customFormat="false" ht="15" hidden="false" customHeight="false" outlineLevel="0" collapsed="false">
      <c r="A1481" s="12" t="n">
        <v>2099.865</v>
      </c>
      <c r="B1481" s="13" t="n">
        <f aca="false">A1481-$A$2</f>
        <v>73.9839999999997</v>
      </c>
      <c r="C1481" s="14" t="n">
        <v>435.36</v>
      </c>
      <c r="D1481" s="13" t="n">
        <f aca="false">C1481*Config!$B$8</f>
        <v>155.338808155716</v>
      </c>
    </row>
    <row r="1482" customFormat="false" ht="15" hidden="false" customHeight="false" outlineLevel="0" collapsed="false">
      <c r="A1482" s="12" t="n">
        <v>2099.915</v>
      </c>
      <c r="B1482" s="13" t="n">
        <f aca="false">A1482-$A$2</f>
        <v>74.0339999999999</v>
      </c>
      <c r="C1482" s="14" t="n">
        <v>426.84</v>
      </c>
      <c r="D1482" s="13" t="n">
        <f aca="false">C1482*Config!$B$8</f>
        <v>152.298825967442</v>
      </c>
    </row>
    <row r="1483" customFormat="false" ht="15" hidden="false" customHeight="false" outlineLevel="0" collapsed="false">
      <c r="A1483" s="12" t="n">
        <v>2099.965</v>
      </c>
      <c r="B1483" s="13" t="n">
        <f aca="false">A1483-$A$2</f>
        <v>74.0840000000001</v>
      </c>
      <c r="C1483" s="14" t="n">
        <v>427.16</v>
      </c>
      <c r="D1483" s="13" t="n">
        <f aca="false">C1483*Config!$B$8</f>
        <v>152.413003702213</v>
      </c>
    </row>
    <row r="1484" customFormat="false" ht="15" hidden="false" customHeight="false" outlineLevel="0" collapsed="false">
      <c r="A1484" s="12" t="n">
        <v>2100.015</v>
      </c>
      <c r="B1484" s="13" t="n">
        <f aca="false">A1484-$A$2</f>
        <v>74.1339999999998</v>
      </c>
      <c r="C1484" s="14" t="n">
        <v>429.6</v>
      </c>
      <c r="D1484" s="13" t="n">
        <f aca="false">C1484*Config!$B$8</f>
        <v>153.283608929841</v>
      </c>
    </row>
    <row r="1485" customFormat="false" ht="15" hidden="false" customHeight="false" outlineLevel="0" collapsed="false">
      <c r="A1485" s="12" t="n">
        <v>2100.065</v>
      </c>
      <c r="B1485" s="13" t="n">
        <f aca="false">A1485-$A$2</f>
        <v>74.184</v>
      </c>
      <c r="C1485" s="14" t="n">
        <v>425.76</v>
      </c>
      <c r="D1485" s="13" t="n">
        <f aca="false">C1485*Config!$B$8</f>
        <v>151.913476112591</v>
      </c>
    </row>
    <row r="1486" customFormat="false" ht="15" hidden="false" customHeight="false" outlineLevel="0" collapsed="false">
      <c r="A1486" s="12" t="n">
        <v>2100.115</v>
      </c>
      <c r="B1486" s="13" t="n">
        <f aca="false">A1486-$A$2</f>
        <v>74.2339999999997</v>
      </c>
      <c r="C1486" s="14" t="n">
        <v>417.43</v>
      </c>
      <c r="D1486" s="13" t="n">
        <f aca="false">C1486*Config!$B$8</f>
        <v>148.941286954338</v>
      </c>
    </row>
    <row r="1487" customFormat="false" ht="15" hidden="false" customHeight="false" outlineLevel="0" collapsed="false">
      <c r="A1487" s="12" t="n">
        <v>2100.165</v>
      </c>
      <c r="B1487" s="13" t="n">
        <f aca="false">A1487-$A$2</f>
        <v>74.2839999999999</v>
      </c>
      <c r="C1487" s="14" t="n">
        <v>431.19</v>
      </c>
      <c r="D1487" s="13" t="n">
        <f aca="false">C1487*Config!$B$8</f>
        <v>153.850929549483</v>
      </c>
    </row>
    <row r="1488" customFormat="false" ht="15" hidden="false" customHeight="false" outlineLevel="0" collapsed="false">
      <c r="A1488" s="12" t="n">
        <v>2100.215</v>
      </c>
      <c r="B1488" s="13" t="n">
        <f aca="false">A1488-$A$2</f>
        <v>74.3340000000001</v>
      </c>
      <c r="C1488" s="14" t="n">
        <v>424.04</v>
      </c>
      <c r="D1488" s="13" t="n">
        <f aca="false">C1488*Config!$B$8</f>
        <v>151.299770788198</v>
      </c>
    </row>
    <row r="1489" customFormat="false" ht="15" hidden="false" customHeight="false" outlineLevel="0" collapsed="false">
      <c r="A1489" s="12" t="n">
        <v>2100.265</v>
      </c>
      <c r="B1489" s="13" t="n">
        <f aca="false">A1489-$A$2</f>
        <v>74.3839999999998</v>
      </c>
      <c r="C1489" s="14" t="n">
        <v>422.86</v>
      </c>
      <c r="D1489" s="13" t="n">
        <f aca="false">C1489*Config!$B$8</f>
        <v>150.87874039123</v>
      </c>
    </row>
    <row r="1490" customFormat="false" ht="15" hidden="false" customHeight="false" outlineLevel="0" collapsed="false">
      <c r="A1490" s="12" t="n">
        <v>2100.315</v>
      </c>
      <c r="B1490" s="13" t="n">
        <f aca="false">A1490-$A$2</f>
        <v>74.434</v>
      </c>
      <c r="C1490" s="14" t="n">
        <v>424.93</v>
      </c>
      <c r="D1490" s="13" t="n">
        <f aca="false">C1490*Config!$B$8</f>
        <v>151.617327613029</v>
      </c>
    </row>
    <row r="1491" customFormat="false" ht="15" hidden="false" customHeight="false" outlineLevel="0" collapsed="false">
      <c r="A1491" s="12" t="n">
        <v>2100.365</v>
      </c>
      <c r="B1491" s="13" t="n">
        <f aca="false">A1491-$A$2</f>
        <v>74.4839999999997</v>
      </c>
      <c r="C1491" s="14" t="n">
        <v>423.8</v>
      </c>
      <c r="D1491" s="13" t="n">
        <f aca="false">C1491*Config!$B$8</f>
        <v>151.214137487119</v>
      </c>
    </row>
    <row r="1492" customFormat="false" ht="15" hidden="false" customHeight="false" outlineLevel="0" collapsed="false">
      <c r="A1492" s="12" t="n">
        <v>2100.415</v>
      </c>
      <c r="B1492" s="13" t="n">
        <f aca="false">A1492-$A$2</f>
        <v>74.5339999999999</v>
      </c>
      <c r="C1492" s="14" t="n">
        <v>422.43</v>
      </c>
      <c r="D1492" s="13" t="n">
        <f aca="false">C1492*Config!$B$8</f>
        <v>150.725314060132</v>
      </c>
    </row>
    <row r="1493" customFormat="false" ht="15" hidden="false" customHeight="false" outlineLevel="0" collapsed="false">
      <c r="A1493" s="12" t="n">
        <v>2100.465</v>
      </c>
      <c r="B1493" s="13" t="n">
        <f aca="false">A1493-$A$2</f>
        <v>74.5840000000001</v>
      </c>
      <c r="C1493" s="14" t="n">
        <v>425.17</v>
      </c>
      <c r="D1493" s="13" t="n">
        <f aca="false">C1493*Config!$B$8</f>
        <v>151.702960914107</v>
      </c>
    </row>
    <row r="1494" customFormat="false" ht="15" hidden="false" customHeight="false" outlineLevel="0" collapsed="false">
      <c r="A1494" s="12" t="n">
        <v>2100.515</v>
      </c>
      <c r="B1494" s="13" t="n">
        <f aca="false">A1494-$A$2</f>
        <v>74.6339999999998</v>
      </c>
      <c r="C1494" s="14" t="n">
        <v>431.16</v>
      </c>
      <c r="D1494" s="13" t="n">
        <f aca="false">C1494*Config!$B$8</f>
        <v>153.840225386849</v>
      </c>
    </row>
    <row r="1495" customFormat="false" ht="15" hidden="false" customHeight="false" outlineLevel="0" collapsed="false">
      <c r="A1495" s="12" t="n">
        <v>2100.566</v>
      </c>
      <c r="B1495" s="13" t="n">
        <f aca="false">A1495-$A$2</f>
        <v>74.6849999999997</v>
      </c>
      <c r="C1495" s="14" t="n">
        <v>425.43</v>
      </c>
      <c r="D1495" s="13" t="n">
        <f aca="false">C1495*Config!$B$8</f>
        <v>151.795730323608</v>
      </c>
    </row>
    <row r="1496" customFormat="false" ht="15" hidden="false" customHeight="false" outlineLevel="0" collapsed="false">
      <c r="A1496" s="12" t="n">
        <v>2100.616</v>
      </c>
      <c r="B1496" s="13" t="n">
        <f aca="false">A1496-$A$2</f>
        <v>74.7349999999999</v>
      </c>
      <c r="C1496" s="14" t="n">
        <v>432.4</v>
      </c>
      <c r="D1496" s="13" t="n">
        <f aca="false">C1496*Config!$B$8</f>
        <v>154.282664109085</v>
      </c>
    </row>
    <row r="1497" customFormat="false" ht="15" hidden="false" customHeight="false" outlineLevel="0" collapsed="false">
      <c r="A1497" s="12" t="n">
        <v>2100.666</v>
      </c>
      <c r="B1497" s="13" t="n">
        <f aca="false">A1497-$A$2</f>
        <v>74.7850000000001</v>
      </c>
      <c r="C1497" s="14" t="n">
        <v>423.14</v>
      </c>
      <c r="D1497" s="13" t="n">
        <f aca="false">C1497*Config!$B$8</f>
        <v>150.978645909155</v>
      </c>
    </row>
    <row r="1498" customFormat="false" ht="15" hidden="false" customHeight="false" outlineLevel="0" collapsed="false">
      <c r="A1498" s="12" t="n">
        <v>2100.716</v>
      </c>
      <c r="B1498" s="13" t="n">
        <f aca="false">A1498-$A$2</f>
        <v>74.8349999999998</v>
      </c>
      <c r="C1498" s="14" t="n">
        <v>427.4</v>
      </c>
      <c r="D1498" s="13" t="n">
        <f aca="false">C1498*Config!$B$8</f>
        <v>152.498637003291</v>
      </c>
    </row>
    <row r="1499" customFormat="false" ht="15" hidden="false" customHeight="false" outlineLevel="0" collapsed="false">
      <c r="A1499" s="12" t="n">
        <v>2100.766</v>
      </c>
      <c r="B1499" s="13" t="n">
        <f aca="false">A1499-$A$2</f>
        <v>74.885</v>
      </c>
      <c r="C1499" s="14" t="n">
        <v>421.84</v>
      </c>
      <c r="D1499" s="13" t="n">
        <f aca="false">C1499*Config!$B$8</f>
        <v>150.514798861648</v>
      </c>
    </row>
    <row r="1500" customFormat="false" ht="15" hidden="false" customHeight="false" outlineLevel="0" collapsed="false">
      <c r="A1500" s="12" t="n">
        <v>2100.816</v>
      </c>
      <c r="B1500" s="13" t="n">
        <f aca="false">A1500-$A$2</f>
        <v>74.9349999999997</v>
      </c>
      <c r="C1500" s="14" t="n">
        <v>417.87</v>
      </c>
      <c r="D1500" s="13" t="n">
        <f aca="false">C1500*Config!$B$8</f>
        <v>149.098281339647</v>
      </c>
    </row>
    <row r="1501" customFormat="false" ht="15" hidden="false" customHeight="false" outlineLevel="0" collapsed="false">
      <c r="A1501" s="12" t="n">
        <v>2100.866</v>
      </c>
      <c r="B1501" s="13" t="n">
        <f aca="false">A1501-$A$2</f>
        <v>74.9849999999999</v>
      </c>
      <c r="C1501" s="14" t="n">
        <v>423.75</v>
      </c>
      <c r="D1501" s="13" t="n">
        <f aca="false">C1501*Config!$B$8</f>
        <v>151.196297216061</v>
      </c>
    </row>
  </sheetData>
  <mergeCells count="1">
    <mergeCell ref="F2:K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4" t="s">
        <v>67</v>
      </c>
      <c r="B1" s="4"/>
      <c r="C1" s="4"/>
      <c r="D1" s="4"/>
      <c r="E1" s="4"/>
    </row>
    <row r="3" customFormat="false" ht="15" hidden="false" customHeight="false" outlineLevel="0" collapsed="false">
      <c r="A3" s="3" t="s">
        <v>68</v>
      </c>
      <c r="B3" s="16" t="n">
        <v>2.5</v>
      </c>
    </row>
    <row r="4" customFormat="false" ht="15" hidden="false" customHeight="false" outlineLevel="0" collapsed="false">
      <c r="A4" s="3" t="s">
        <v>69</v>
      </c>
      <c r="B4" s="17" t="n">
        <f aca="false">ROUND(B3/Config!$B$9,0)</f>
        <v>50</v>
      </c>
    </row>
    <row r="6" customFormat="false" ht="15" hidden="false" customHeight="false" outlineLevel="0" collapsed="false">
      <c r="A6" s="3" t="s">
        <v>70</v>
      </c>
      <c r="B6" s="18" t="n">
        <f aca="true" t="array" ref="B6:B6">SKEW(OFFSET(Datos!$D$1,1+$B$4,0,Config!$B$12,1)-OFFSET(Datos!$D$1,1,0,Config!$B$12,1))</f>
        <v>0.286266942290905</v>
      </c>
    </row>
    <row r="7" customFormat="false" ht="15" hidden="false" customHeight="false" outlineLevel="0" collapsed="false">
      <c r="A7" s="3" t="s">
        <v>71</v>
      </c>
      <c r="B7" s="18" t="n">
        <f aca="true" t="array" ref="B7:B7">KURT(OFFSET(Datos!$D$1,1+$B$4,0,Config!$B$12,1)-OFFSET(Datos!$D$1,1,0,Config!$B$12,1))</f>
        <v>0.197587204026557</v>
      </c>
    </row>
    <row r="9" customFormat="false" ht="15" hidden="false" customHeight="false" outlineLevel="0" collapsed="false">
      <c r="A9" s="19" t="s">
        <v>72</v>
      </c>
      <c r="B9" s="19"/>
      <c r="C9" s="19"/>
      <c r="D9" s="19"/>
      <c r="E9" s="19"/>
    </row>
    <row r="11" customFormat="false" ht="15" hidden="false" customHeight="false" outlineLevel="0" collapsed="false">
      <c r="A11" s="5" t="s">
        <v>73</v>
      </c>
      <c r="B11" s="5" t="s">
        <v>74</v>
      </c>
      <c r="C11" s="5" t="s">
        <v>75</v>
      </c>
      <c r="D11" s="5" t="s">
        <v>76</v>
      </c>
      <c r="E11" s="5" t="s">
        <v>77</v>
      </c>
    </row>
    <row r="12" customFormat="false" ht="15" hidden="false" customHeight="false" outlineLevel="0" collapsed="false">
      <c r="A12" s="2" t="n">
        <v>1</v>
      </c>
      <c r="B12" s="13" t="n">
        <f aca="true">OFFSET(Datos!$B$1,1+$B$4+0,0)</f>
        <v>2.50099999999998</v>
      </c>
      <c r="C12" s="13" t="n">
        <f aca="true">OFFSET(Datos!$D$1,1+$B$4+0,0)</f>
        <v>155.253174854638</v>
      </c>
      <c r="D12" s="13" t="n">
        <f aca="true">OFFSET(Datos!$D$1,1+0,0)</f>
        <v>158.275316771853</v>
      </c>
      <c r="E12" s="13" t="n">
        <f aca="false">C12-D12</f>
        <v>-3.02214191721544</v>
      </c>
    </row>
    <row r="13" customFormat="false" ht="15" hidden="false" customHeight="false" outlineLevel="0" collapsed="false">
      <c r="A13" s="2" t="n">
        <v>2</v>
      </c>
      <c r="B13" s="13" t="n">
        <f aca="true">OFFSET(Datos!$B$1,1+$B$4+1,0)</f>
        <v>2.55099999999993</v>
      </c>
      <c r="C13" s="13" t="n">
        <f aca="true">OFFSET(Datos!$D$1,1+$B$4+1,0)</f>
        <v>153.494124128324</v>
      </c>
      <c r="D13" s="13" t="n">
        <f aca="true">OFFSET(Datos!$D$1,1+1,0)</f>
        <v>156.148756461746</v>
      </c>
      <c r="E13" s="13" t="n">
        <f aca="false">C13-D13</f>
        <v>-2.65463233342183</v>
      </c>
    </row>
    <row r="14" customFormat="false" ht="15" hidden="false" customHeight="false" outlineLevel="0" collapsed="false">
      <c r="A14" s="2" t="n">
        <v>3</v>
      </c>
      <c r="B14" s="13" t="n">
        <f aca="true">OFFSET(Datos!$B$1,1+$B$4+2,0)</f>
        <v>2.60099999999989</v>
      </c>
      <c r="C14" s="13" t="n">
        <f aca="true">OFFSET(Datos!$D$1,1+$B$4+2,0)</f>
        <v>155.024819385096</v>
      </c>
      <c r="D14" s="13" t="n">
        <f aca="true">OFFSET(Datos!$D$1,1+2,0)</f>
        <v>156.387816093923</v>
      </c>
      <c r="E14" s="13" t="n">
        <f aca="false">C14-D14</f>
        <v>-1.36299670882681</v>
      </c>
    </row>
    <row r="15" customFormat="false" ht="15" hidden="false" customHeight="false" outlineLevel="0" collapsed="false">
      <c r="A15" s="2" t="n">
        <v>4</v>
      </c>
      <c r="B15" s="13" t="n">
        <f aca="true">OFFSET(Datos!$B$1,1+$B$4+3,0)</f>
        <v>2.65099999999984</v>
      </c>
      <c r="C15" s="13" t="n">
        <f aca="true">OFFSET(Datos!$D$1,1+$B$4+3,0)</f>
        <v>154.646605638667</v>
      </c>
      <c r="D15" s="13" t="n">
        <f aca="true">OFFSET(Datos!$D$1,1+3,0)</f>
        <v>154.368297410164</v>
      </c>
      <c r="E15" s="13" t="n">
        <f aca="false">C15-D15</f>
        <v>0.278308228503903</v>
      </c>
    </row>
    <row r="16" customFormat="false" ht="15" hidden="false" customHeight="false" outlineLevel="0" collapsed="false">
      <c r="A16" s="2" t="n">
        <v>5</v>
      </c>
      <c r="B16" s="13" t="n">
        <f aca="true">OFFSET(Datos!$B$1,1+$B$4+4,0)</f>
        <v>2.70100000000002</v>
      </c>
      <c r="C16" s="13" t="n">
        <f aca="true">OFFSET(Datos!$D$1,1+$B$4+4,0)</f>
        <v>152.941075725528</v>
      </c>
      <c r="D16" s="13" t="n">
        <f aca="true">OFFSET(Datos!$D$1,1+4,0)</f>
        <v>158.036257139677</v>
      </c>
      <c r="E16" s="13" t="n">
        <f aca="false">C16-D16</f>
        <v>-5.09518141414833</v>
      </c>
    </row>
    <row r="17" customFormat="false" ht="15" hidden="false" customHeight="false" outlineLevel="0" collapsed="false">
      <c r="A17" s="2" t="n">
        <v>6</v>
      </c>
      <c r="B17" s="13" t="n">
        <f aca="true">OFFSET(Datos!$B$1,1+$B$4+5,0)</f>
        <v>2.75099999999998</v>
      </c>
      <c r="C17" s="13" t="n">
        <f aca="true">OFFSET(Datos!$D$1,1+$B$4+5,0)</f>
        <v>153.84379344106</v>
      </c>
      <c r="D17" s="13" t="n">
        <f aca="true">OFFSET(Datos!$D$1,1+5,0)</f>
        <v>156.116643973842</v>
      </c>
      <c r="E17" s="13" t="n">
        <f aca="false">C17-D17</f>
        <v>-2.27285053278186</v>
      </c>
    </row>
    <row r="18" customFormat="false" ht="15" hidden="false" customHeight="false" outlineLevel="0" collapsed="false">
      <c r="A18" s="2" t="n">
        <v>7</v>
      </c>
      <c r="B18" s="13" t="n">
        <f aca="true">OFFSET(Datos!$B$1,1+$B$4+6,0)</f>
        <v>2.80099999999993</v>
      </c>
      <c r="C18" s="13" t="n">
        <f aca="true">OFFSET(Datos!$D$1,1+$B$4+6,0)</f>
        <v>155.138997119867</v>
      </c>
      <c r="D18" s="13" t="n">
        <f aca="true">OFFSET(Datos!$D$1,1+6,0)</f>
        <v>158.557193054568</v>
      </c>
      <c r="E18" s="13" t="n">
        <f aca="false">C18-D18</f>
        <v>-3.41819593470174</v>
      </c>
    </row>
    <row r="19" customFormat="false" ht="15" hidden="false" customHeight="false" outlineLevel="0" collapsed="false">
      <c r="A19" s="2" t="n">
        <v>8</v>
      </c>
      <c r="B19" s="13" t="n">
        <f aca="true">OFFSET(Datos!$B$1,1+$B$4+7,0)</f>
        <v>2.85099999999989</v>
      </c>
      <c r="C19" s="13" t="n">
        <f aca="true">OFFSET(Datos!$D$1,1+$B$4+7,0)</f>
        <v>153.800976790521</v>
      </c>
      <c r="D19" s="13" t="n">
        <f aca="true">OFFSET(Datos!$D$1,1+7,0)</f>
        <v>158.26818066343</v>
      </c>
      <c r="E19" s="13" t="n">
        <f aca="false">C19-D19</f>
        <v>-4.46720387290878</v>
      </c>
    </row>
    <row r="20" customFormat="false" ht="15" hidden="false" customHeight="false" outlineLevel="0" collapsed="false">
      <c r="A20" s="2" t="n">
        <v>9</v>
      </c>
      <c r="B20" s="13" t="n">
        <f aca="true">OFFSET(Datos!$B$1,1+$B$4+8,0)</f>
        <v>2.90099999999984</v>
      </c>
      <c r="C20" s="13" t="n">
        <f aca="true">OFFSET(Datos!$D$1,1+$B$4+8,0)</f>
        <v>154.971298571922</v>
      </c>
      <c r="D20" s="13" t="n">
        <f aca="true">OFFSET(Datos!$D$1,1+8,0)</f>
        <v>154.593084825494</v>
      </c>
      <c r="E20" s="13" t="n">
        <f aca="false">C20-D20</f>
        <v>0.378213746428372</v>
      </c>
    </row>
    <row r="21" customFormat="false" ht="15" hidden="false" customHeight="false" outlineLevel="0" collapsed="false">
      <c r="A21" s="2" t="n">
        <v>10</v>
      </c>
      <c r="B21" s="13" t="n">
        <f aca="true">OFFSET(Datos!$B$1,1+$B$4+9,0)</f>
        <v>2.95100000000002</v>
      </c>
      <c r="C21" s="13" t="n">
        <f aca="true">OFFSET(Datos!$D$1,1+$B$4+9,0)</f>
        <v>154.778623644496</v>
      </c>
      <c r="D21" s="13" t="n">
        <f aca="true">OFFSET(Datos!$D$1,1+9,0)</f>
        <v>159.402821902715</v>
      </c>
      <c r="E21" s="13" t="n">
        <f aca="false">C21-D21</f>
        <v>-4.62419825821866</v>
      </c>
    </row>
    <row r="22" customFormat="false" ht="15" hidden="false" customHeight="false" outlineLevel="0" collapsed="false">
      <c r="A22" s="2" t="n">
        <v>11</v>
      </c>
      <c r="B22" s="13" t="n">
        <f aca="true">OFFSET(Datos!$B$1,1+$B$4+10,0)</f>
        <v>3.00099999999998</v>
      </c>
      <c r="C22" s="13" t="n">
        <f aca="true">OFFSET(Datos!$D$1,1+$B$4+10,0)</f>
        <v>154.949890246652</v>
      </c>
      <c r="D22" s="13" t="n">
        <f aca="true">OFFSET(Datos!$D$1,1+10,0)</f>
        <v>155.085476306693</v>
      </c>
      <c r="E22" s="13" t="n">
        <f aca="false">C22-D22</f>
        <v>-0.135586060040367</v>
      </c>
    </row>
    <row r="23" customFormat="false" ht="15" hidden="false" customHeight="false" outlineLevel="0" collapsed="false">
      <c r="A23" s="2" t="n">
        <v>12</v>
      </c>
      <c r="B23" s="13" t="n">
        <f aca="true">OFFSET(Datos!$B$1,1+$B$4+11,0)</f>
        <v>3.05099999999993</v>
      </c>
      <c r="C23" s="13" t="n">
        <f aca="true">OFFSET(Datos!$D$1,1+$B$4+11,0)</f>
        <v>155.717021902144</v>
      </c>
      <c r="D23" s="13" t="n">
        <f aca="true">OFFSET(Datos!$D$1,1+11,0)</f>
        <v>161.293890634857</v>
      </c>
      <c r="E23" s="13" t="n">
        <f aca="false">C23-D23</f>
        <v>-5.57686873271277</v>
      </c>
    </row>
    <row r="24" customFormat="false" ht="15" hidden="false" customHeight="false" outlineLevel="0" collapsed="false">
      <c r="A24" s="2" t="n">
        <v>13</v>
      </c>
      <c r="B24" s="13" t="n">
        <f aca="true">OFFSET(Datos!$B$1,1+$B$4+12,0)</f>
        <v>3.10099999999989</v>
      </c>
      <c r="C24" s="13" t="n">
        <f aca="true">OFFSET(Datos!$D$1,1+$B$4+12,0)</f>
        <v>154.175622482738</v>
      </c>
      <c r="D24" s="13" t="n">
        <f aca="true">OFFSET(Datos!$D$1,1+12,0)</f>
        <v>157.247717158915</v>
      </c>
      <c r="E24" s="13" t="n">
        <f aca="false">C24-D24</f>
        <v>-3.07209467617767</v>
      </c>
    </row>
    <row r="25" customFormat="false" ht="15" hidden="false" customHeight="false" outlineLevel="0" collapsed="false">
      <c r="A25" s="2" t="n">
        <v>14</v>
      </c>
      <c r="B25" s="13" t="n">
        <f aca="true">OFFSET(Datos!$B$1,1+$B$4+13,0)</f>
        <v>3.15099999999984</v>
      </c>
      <c r="C25" s="13" t="n">
        <f aca="true">OFFSET(Datos!$D$1,1+$B$4+13,0)</f>
        <v>153.890178145811</v>
      </c>
      <c r="D25" s="13" t="n">
        <f aca="true">OFFSET(Datos!$D$1,1+13,0)</f>
        <v>154.553836229166</v>
      </c>
      <c r="E25" s="13" t="n">
        <f aca="false">C25-D25</f>
        <v>-0.663658083355443</v>
      </c>
    </row>
    <row r="26" customFormat="false" ht="15" hidden="false" customHeight="false" outlineLevel="0" collapsed="false">
      <c r="A26" s="2" t="n">
        <v>15</v>
      </c>
      <c r="B26" s="13" t="n">
        <f aca="true">OFFSET(Datos!$B$1,1+$B$4+14,0)</f>
        <v>3.20100000000002</v>
      </c>
      <c r="C26" s="13" t="n">
        <f aca="true">OFFSET(Datos!$D$1,1+$B$4+14,0)</f>
        <v>151.735073402011</v>
      </c>
      <c r="D26" s="13" t="n">
        <f aca="true">OFFSET(Datos!$D$1,1+14,0)</f>
        <v>159.552680179602</v>
      </c>
      <c r="E26" s="13" t="n">
        <f aca="false">C26-D26</f>
        <v>-7.81760677759036</v>
      </c>
    </row>
    <row r="27" customFormat="false" ht="15" hidden="false" customHeight="false" outlineLevel="0" collapsed="false">
      <c r="A27" s="2" t="n">
        <v>16</v>
      </c>
      <c r="B27" s="13" t="n">
        <f aca="true">OFFSET(Datos!$B$1,1+$B$4+15,0)</f>
        <v>3.25099999999998</v>
      </c>
      <c r="C27" s="13" t="n">
        <f aca="true">OFFSET(Datos!$D$1,1+$B$4+15,0)</f>
        <v>153.247928387725</v>
      </c>
      <c r="D27" s="13" t="n">
        <f aca="true">OFFSET(Datos!$D$1,1+15,0)</f>
        <v>157.454664303188</v>
      </c>
      <c r="E27" s="13" t="n">
        <f aca="false">C27-D27</f>
        <v>-4.20673591546282</v>
      </c>
    </row>
    <row r="28" customFormat="false" ht="15" hidden="false" customHeight="false" outlineLevel="0" collapsed="false">
      <c r="A28" s="2" t="n">
        <v>17</v>
      </c>
      <c r="B28" s="13" t="n">
        <f aca="true">OFFSET(Datos!$B$1,1+$B$4+16,0)</f>
        <v>3.30099999999993</v>
      </c>
      <c r="C28" s="13" t="n">
        <f aca="true">OFFSET(Datos!$D$1,1+$B$4+16,0)</f>
        <v>153.758160139982</v>
      </c>
      <c r="D28" s="13" t="n">
        <f aca="true">OFFSET(Datos!$D$1,1+16,0)</f>
        <v>158.575033325626</v>
      </c>
      <c r="E28" s="13" t="n">
        <f aca="false">C28-D28</f>
        <v>-4.81687318564443</v>
      </c>
    </row>
    <row r="29" customFormat="false" ht="15" hidden="false" customHeight="false" outlineLevel="0" collapsed="false">
      <c r="A29" s="2" t="n">
        <v>18</v>
      </c>
      <c r="B29" s="13" t="n">
        <f aca="true">OFFSET(Datos!$B$1,1+$B$4+17,0)</f>
        <v>3.35099999999989</v>
      </c>
      <c r="C29" s="13" t="n">
        <f aca="true">OFFSET(Datos!$D$1,1+$B$4+17,0)</f>
        <v>154.771487536073</v>
      </c>
      <c r="D29" s="13" t="n">
        <f aca="true">OFFSET(Datos!$D$1,1+17,0)</f>
        <v>156.341431389172</v>
      </c>
      <c r="E29" s="13" t="n">
        <f aca="false">C29-D29</f>
        <v>-1.56994385309892</v>
      </c>
    </row>
    <row r="30" customFormat="false" ht="15" hidden="false" customHeight="false" outlineLevel="0" collapsed="false">
      <c r="A30" s="2" t="n">
        <v>19</v>
      </c>
      <c r="B30" s="13" t="n">
        <f aca="true">OFFSET(Datos!$B$1,1+$B$4+18,0)</f>
        <v>3.40099999999984</v>
      </c>
      <c r="C30" s="13" t="n">
        <f aca="true">OFFSET(Datos!$D$1,1+$B$4+18,0)</f>
        <v>152.958915996586</v>
      </c>
      <c r="D30" s="13" t="n">
        <f aca="true">OFFSET(Datos!$D$1,1+18,0)</f>
        <v>159.270803896886</v>
      </c>
      <c r="E30" s="13" t="n">
        <f aca="false">C30-D30</f>
        <v>-6.31188790030001</v>
      </c>
    </row>
    <row r="31" customFormat="false" ht="15" hidden="false" customHeight="false" outlineLevel="0" collapsed="false">
      <c r="A31" s="2" t="n">
        <v>20</v>
      </c>
      <c r="B31" s="13" t="n">
        <f aca="true">OFFSET(Datos!$B$1,1+$B$4+19,0)</f>
        <v>3.45100000000002</v>
      </c>
      <c r="C31" s="13" t="n">
        <f aca="true">OFFSET(Datos!$D$1,1+$B$4+19,0)</f>
        <v>152.484364786445</v>
      </c>
      <c r="D31" s="13" t="n">
        <f aca="true">OFFSET(Datos!$D$1,1+19,0)</f>
        <v>155.288855396753</v>
      </c>
      <c r="E31" s="13" t="n">
        <f aca="false">C31-D31</f>
        <v>-2.80449061030853</v>
      </c>
    </row>
    <row r="32" customFormat="false" ht="15" hidden="false" customHeight="false" outlineLevel="0" collapsed="false">
      <c r="A32" s="2" t="n">
        <v>21</v>
      </c>
      <c r="B32" s="13" t="n">
        <f aca="true">OFFSET(Datos!$B$1,1+$B$4+20,0)</f>
        <v>3.50099999999998</v>
      </c>
      <c r="C32" s="13" t="n">
        <f aca="true">OFFSET(Datos!$D$1,1+$B$4+20,0)</f>
        <v>152.352346780616</v>
      </c>
      <c r="D32" s="13" t="n">
        <f aca="true">OFFSET(Datos!$D$1,1+20,0)</f>
        <v>156.391384148134</v>
      </c>
      <c r="E32" s="13" t="n">
        <f aca="false">C32-D32</f>
        <v>-4.03903736751815</v>
      </c>
    </row>
    <row r="33" customFormat="false" ht="15" hidden="false" customHeight="false" outlineLevel="0" collapsed="false">
      <c r="A33" s="2" t="n">
        <v>22</v>
      </c>
      <c r="B33" s="13" t="n">
        <f aca="true">OFFSET(Datos!$B$1,1+$B$4+21,0)</f>
        <v>3.55099999999993</v>
      </c>
      <c r="C33" s="13" t="n">
        <f aca="true">OFFSET(Datos!$D$1,1+$B$4+21,0)</f>
        <v>152.694879984929</v>
      </c>
      <c r="D33" s="13" t="n">
        <f aca="true">OFFSET(Datos!$D$1,1+21,0)</f>
        <v>157.140675532568</v>
      </c>
      <c r="E33" s="13" t="n">
        <f aca="false">C33-D33</f>
        <v>-4.44579554763925</v>
      </c>
    </row>
    <row r="34" customFormat="false" ht="15" hidden="false" customHeight="false" outlineLevel="0" collapsed="false">
      <c r="A34" s="2" t="n">
        <v>23</v>
      </c>
      <c r="B34" s="13" t="n">
        <f aca="true">OFFSET(Datos!$B$1,1+$B$4+22,0)</f>
        <v>3.60199999999986</v>
      </c>
      <c r="C34" s="13" t="n">
        <f aca="true">OFFSET(Datos!$D$1,1+$B$4+22,0)</f>
        <v>153.333561688803</v>
      </c>
      <c r="D34" s="13" t="n">
        <f aca="true">OFFSET(Datos!$D$1,1+22,0)</f>
        <v>155.906128775358</v>
      </c>
      <c r="E34" s="13" t="n">
        <f aca="false">C34-D34</f>
        <v>-2.57256708655527</v>
      </c>
    </row>
    <row r="35" customFormat="false" ht="15" hidden="false" customHeight="false" outlineLevel="0" collapsed="false">
      <c r="A35" s="2" t="n">
        <v>24</v>
      </c>
      <c r="B35" s="13" t="n">
        <f aca="true">OFFSET(Datos!$B$1,1+$B$4+23,0)</f>
        <v>3.65199999999982</v>
      </c>
      <c r="C35" s="13" t="n">
        <f aca="true">OFFSET(Datos!$D$1,1+$B$4+23,0)</f>
        <v>154.857120837151</v>
      </c>
      <c r="D35" s="13" t="n">
        <f aca="true">OFFSET(Datos!$D$1,1+23,0)</f>
        <v>156.016738455917</v>
      </c>
      <c r="E35" s="13" t="n">
        <f aca="false">C35-D35</f>
        <v>-1.15961761876628</v>
      </c>
    </row>
    <row r="36" customFormat="false" ht="15" hidden="false" customHeight="false" outlineLevel="0" collapsed="false">
      <c r="A36" s="2" t="n">
        <v>25</v>
      </c>
      <c r="B36" s="13" t="n">
        <f aca="true">OFFSET(Datos!$B$1,1+$B$4+24,0)</f>
        <v>3.702</v>
      </c>
      <c r="C36" s="13" t="n">
        <f aca="true">OFFSET(Datos!$D$1,1+$B$4+24,0)</f>
        <v>152.730560527044</v>
      </c>
      <c r="D36" s="13" t="n">
        <f aca="true">OFFSET(Datos!$D$1,1+24,0)</f>
        <v>157.636635067979</v>
      </c>
      <c r="E36" s="13" t="n">
        <f aca="false">C36-D36</f>
        <v>-4.90607454093413</v>
      </c>
    </row>
    <row r="37" customFormat="false" ht="15" hidden="false" customHeight="false" outlineLevel="0" collapsed="false">
      <c r="A37" s="2" t="n">
        <v>26</v>
      </c>
      <c r="B37" s="13" t="n">
        <f aca="true">OFFSET(Datos!$B$1,1+$B$4+25,0)</f>
        <v>3.75199999999995</v>
      </c>
      <c r="C37" s="13" t="n">
        <f aca="true">OFFSET(Datos!$D$1,1+$B$4+25,0)</f>
        <v>152.919667400259</v>
      </c>
      <c r="D37" s="13" t="n">
        <f aca="true">OFFSET(Datos!$D$1,1+25,0)</f>
        <v>156.862367304064</v>
      </c>
      <c r="E37" s="13" t="n">
        <f aca="false">C37-D37</f>
        <v>-3.94269990380525</v>
      </c>
    </row>
    <row r="38" customFormat="false" ht="15" hidden="false" customHeight="false" outlineLevel="0" collapsed="false">
      <c r="A38" s="2" t="n">
        <v>27</v>
      </c>
      <c r="B38" s="13" t="n">
        <f aca="true">OFFSET(Datos!$B$1,1+$B$4+26,0)</f>
        <v>3.80199999999991</v>
      </c>
      <c r="C38" s="13" t="n">
        <f aca="true">OFFSET(Datos!$D$1,1+$B$4+26,0)</f>
        <v>152.099014931593</v>
      </c>
      <c r="D38" s="13" t="n">
        <f aca="true">OFFSET(Datos!$D$1,1+26,0)</f>
        <v>157.354758785263</v>
      </c>
      <c r="E38" s="13" t="n">
        <f aca="false">C38-D38</f>
        <v>-5.2557438536698</v>
      </c>
    </row>
    <row r="39" customFormat="false" ht="15" hidden="false" customHeight="false" outlineLevel="0" collapsed="false">
      <c r="A39" s="2" t="n">
        <v>28</v>
      </c>
      <c r="B39" s="13" t="n">
        <f aca="true">OFFSET(Datos!$B$1,1+$B$4+27,0)</f>
        <v>3.85199999999986</v>
      </c>
      <c r="C39" s="13" t="n">
        <f aca="true">OFFSET(Datos!$D$1,1+$B$4+27,0)</f>
        <v>153.447739423574</v>
      </c>
      <c r="D39" s="13" t="n">
        <f aca="true">OFFSET(Datos!$D$1,1+27,0)</f>
        <v>159.356437197964</v>
      </c>
      <c r="E39" s="13" t="n">
        <f aca="false">C39-D39</f>
        <v>-5.9086977743905</v>
      </c>
    </row>
    <row r="40" customFormat="false" ht="15" hidden="false" customHeight="false" outlineLevel="0" collapsed="false">
      <c r="A40" s="2" t="n">
        <v>29</v>
      </c>
      <c r="B40" s="13" t="n">
        <f aca="true">OFFSET(Datos!$B$1,1+$B$4+28,0)</f>
        <v>3.90199999999982</v>
      </c>
      <c r="C40" s="13" t="n">
        <f aca="true">OFFSET(Datos!$D$1,1+$B$4+28,0)</f>
        <v>153.751024031559</v>
      </c>
      <c r="D40" s="13" t="n">
        <f aca="true">OFFSET(Datos!$D$1,1+28,0)</f>
        <v>155.531483083141</v>
      </c>
      <c r="E40" s="13" t="n">
        <f aca="false">C40-D40</f>
        <v>-1.78045905158265</v>
      </c>
    </row>
    <row r="41" customFormat="false" ht="15" hidden="false" customHeight="false" outlineLevel="0" collapsed="false">
      <c r="A41" s="2" t="n">
        <v>30</v>
      </c>
      <c r="B41" s="13" t="n">
        <f aca="true">OFFSET(Datos!$B$1,1+$B$4+29,0)</f>
        <v>3.952</v>
      </c>
      <c r="C41" s="13" t="n">
        <f aca="true">OFFSET(Datos!$D$1,1+$B$4+29,0)</f>
        <v>151.524558203528</v>
      </c>
      <c r="D41" s="13" t="n">
        <f aca="true">OFFSET(Datos!$D$1,1+29,0)</f>
        <v>156.512697991328</v>
      </c>
      <c r="E41" s="13" t="n">
        <f aca="false">C41-D41</f>
        <v>-4.98813978780066</v>
      </c>
    </row>
    <row r="42" customFormat="false" ht="15" hidden="false" customHeight="false" outlineLevel="0" collapsed="false">
      <c r="A42" s="2" t="n">
        <v>31</v>
      </c>
      <c r="B42" s="13" t="n">
        <f aca="true">OFFSET(Datos!$B$1,1+$B$4+30,0)</f>
        <v>4.00199999999995</v>
      </c>
      <c r="C42" s="13" t="n">
        <f aca="true">OFFSET(Datos!$D$1,1+$B$4+30,0)</f>
        <v>152.744832743891</v>
      </c>
      <c r="D42" s="13" t="n">
        <f aca="true">OFFSET(Datos!$D$1,1+30,0)</f>
        <v>159.945166142876</v>
      </c>
      <c r="E42" s="13" t="n">
        <f aca="false">C42-D42</f>
        <v>-7.20033339898552</v>
      </c>
    </row>
    <row r="43" customFormat="false" ht="15" hidden="false" customHeight="false" outlineLevel="0" collapsed="false">
      <c r="A43" s="2" t="n">
        <v>32</v>
      </c>
      <c r="B43" s="13" t="n">
        <f aca="true">OFFSET(Datos!$B$1,1+$B$4+31,0)</f>
        <v>4.05199999999991</v>
      </c>
      <c r="C43" s="13" t="n">
        <f aca="true">OFFSET(Datos!$D$1,1+$B$4+31,0)</f>
        <v>153.654686567846</v>
      </c>
      <c r="D43" s="13" t="n">
        <f aca="true">OFFSET(Datos!$D$1,1+31,0)</f>
        <v>154.139941940622</v>
      </c>
      <c r="E43" s="13" t="n">
        <f aca="false">C43-D43</f>
        <v>-0.485255372776038</v>
      </c>
    </row>
    <row r="44" customFormat="false" ht="15" hidden="false" customHeight="false" outlineLevel="0" collapsed="false">
      <c r="A44" s="2" t="n">
        <v>33</v>
      </c>
      <c r="B44" s="13" t="n">
        <f aca="true">OFFSET(Datos!$B$1,1+$B$4+32,0)</f>
        <v>4.10199999999986</v>
      </c>
      <c r="C44" s="13" t="n">
        <f aca="true">OFFSET(Datos!$D$1,1+$B$4+32,0)</f>
        <v>152.901827129201</v>
      </c>
      <c r="D44" s="13" t="n">
        <f aca="true">OFFSET(Datos!$D$1,1+32,0)</f>
        <v>153.37281028513</v>
      </c>
      <c r="E44" s="13" t="n">
        <f aca="false">C44-D44</f>
        <v>-0.470983155929702</v>
      </c>
    </row>
    <row r="45" customFormat="false" ht="15" hidden="false" customHeight="false" outlineLevel="0" collapsed="false">
      <c r="A45" s="2" t="n">
        <v>34</v>
      </c>
      <c r="B45" s="13" t="n">
        <f aca="true">OFFSET(Datos!$B$1,1+$B$4+33,0)</f>
        <v>4.15199999999982</v>
      </c>
      <c r="C45" s="13" t="n">
        <f aca="true">OFFSET(Datos!$D$1,1+$B$4+33,0)</f>
        <v>153.058821514511</v>
      </c>
      <c r="D45" s="13" t="n">
        <f aca="true">OFFSET(Datos!$D$1,1+33,0)</f>
        <v>153.91158647108</v>
      </c>
      <c r="E45" s="13" t="n">
        <f aca="false">C45-D45</f>
        <v>-0.852764956569644</v>
      </c>
    </row>
    <row r="46" customFormat="false" ht="15" hidden="false" customHeight="false" outlineLevel="0" collapsed="false">
      <c r="A46" s="2" t="n">
        <v>35</v>
      </c>
      <c r="B46" s="13" t="n">
        <f aca="true">OFFSET(Datos!$B$1,1+$B$4+34,0)</f>
        <v>4.202</v>
      </c>
      <c r="C46" s="13" t="n">
        <f aca="true">OFFSET(Datos!$D$1,1+$B$4+34,0)</f>
        <v>153.558349104133</v>
      </c>
      <c r="D46" s="13" t="n">
        <f aca="true">OFFSET(Datos!$D$1,1+34,0)</f>
        <v>153.93299479635</v>
      </c>
      <c r="E46" s="13" t="n">
        <f aca="false">C46-D46</f>
        <v>-0.374645692216802</v>
      </c>
    </row>
    <row r="47" customFormat="false" ht="15" hidden="false" customHeight="false" outlineLevel="0" collapsed="false">
      <c r="A47" s="2" t="n">
        <v>36</v>
      </c>
      <c r="B47" s="13" t="n">
        <f aca="true">OFFSET(Datos!$B$1,1+$B$4+35,0)</f>
        <v>4.25199999999995</v>
      </c>
      <c r="C47" s="13" t="n">
        <f aca="true">OFFSET(Datos!$D$1,1+$B$4+35,0)</f>
        <v>152.106151040016</v>
      </c>
      <c r="D47" s="13" t="n">
        <f aca="true">OFFSET(Datos!$D$1,1+35,0)</f>
        <v>154.118533615352</v>
      </c>
      <c r="E47" s="13" t="n">
        <f aca="false">C47-D47</f>
        <v>-2.01238257533589</v>
      </c>
    </row>
    <row r="48" customFormat="false" ht="15" hidden="false" customHeight="false" outlineLevel="0" collapsed="false">
      <c r="A48" s="2" t="n">
        <v>37</v>
      </c>
      <c r="B48" s="13" t="n">
        <f aca="true">OFFSET(Datos!$B$1,1+$B$4+36,0)</f>
        <v>4.30199999999991</v>
      </c>
      <c r="C48" s="13" t="n">
        <f aca="true">OFFSET(Datos!$D$1,1+$B$4+36,0)</f>
        <v>153.658254622057</v>
      </c>
      <c r="D48" s="13" t="n">
        <f aca="true">OFFSET(Datos!$D$1,1+36,0)</f>
        <v>154.842848620305</v>
      </c>
      <c r="E48" s="13" t="n">
        <f aca="false">C48-D48</f>
        <v>-1.18459399824738</v>
      </c>
    </row>
    <row r="49" customFormat="false" ht="15" hidden="false" customHeight="false" outlineLevel="0" collapsed="false">
      <c r="A49" s="2" t="n">
        <v>38</v>
      </c>
      <c r="B49" s="13" t="n">
        <f aca="true">OFFSET(Datos!$B$1,1+$B$4+37,0)</f>
        <v>4.35199999999986</v>
      </c>
      <c r="C49" s="13" t="n">
        <f aca="true">OFFSET(Datos!$D$1,1+$B$4+37,0)</f>
        <v>153.172999249281</v>
      </c>
      <c r="D49" s="13" t="n">
        <f aca="true">OFFSET(Datos!$D$1,1+37,0)</f>
        <v>155.90969682957</v>
      </c>
      <c r="E49" s="13" t="n">
        <f aca="false">C49-D49</f>
        <v>-2.73669758028834</v>
      </c>
    </row>
    <row r="50" customFormat="false" ht="15" hidden="false" customHeight="false" outlineLevel="0" collapsed="false">
      <c r="A50" s="2" t="n">
        <v>39</v>
      </c>
      <c r="B50" s="13" t="n">
        <f aca="true">OFFSET(Datos!$B$1,1+$B$4+38,0)</f>
        <v>4.40199999999982</v>
      </c>
      <c r="C50" s="13" t="n">
        <f aca="true">OFFSET(Datos!$D$1,1+$B$4+38,0)</f>
        <v>153.369242230919</v>
      </c>
      <c r="D50" s="13" t="n">
        <f aca="true">OFFSET(Datos!$D$1,1+38,0)</f>
        <v>154.150646103257</v>
      </c>
      <c r="E50" s="13" t="n">
        <f aca="false">C50-D50</f>
        <v>-0.781403872337876</v>
      </c>
    </row>
    <row r="51" customFormat="false" ht="15" hidden="false" customHeight="false" outlineLevel="0" collapsed="false">
      <c r="A51" s="2" t="n">
        <v>40</v>
      </c>
      <c r="B51" s="13" t="n">
        <f aca="true">OFFSET(Datos!$B$1,1+$B$4+39,0)</f>
        <v>4.452</v>
      </c>
      <c r="C51" s="13" t="n">
        <f aca="true">OFFSET(Datos!$D$1,1+$B$4+39,0)</f>
        <v>153.055253460299</v>
      </c>
      <c r="D51" s="13" t="n">
        <f aca="true">OFFSET(Datos!$D$1,1+39,0)</f>
        <v>155.549323354199</v>
      </c>
      <c r="E51" s="13" t="n">
        <f aca="false">C51-D51</f>
        <v>-2.49406989390033</v>
      </c>
    </row>
    <row r="52" customFormat="false" ht="15" hidden="false" customHeight="false" outlineLevel="0" collapsed="false">
      <c r="A52" s="2" t="n">
        <v>41</v>
      </c>
      <c r="B52" s="13" t="n">
        <f aca="true">OFFSET(Datos!$B$1,1+$B$4+40,0)</f>
        <v>4.50199999999995</v>
      </c>
      <c r="C52" s="13" t="n">
        <f aca="true">OFFSET(Datos!$D$1,1+$B$4+40,0)</f>
        <v>154.792895861343</v>
      </c>
      <c r="D52" s="13" t="n">
        <f aca="true">OFFSET(Datos!$D$1,1+40,0)</f>
        <v>155.898992666935</v>
      </c>
      <c r="E52" s="13" t="n">
        <f aca="false">C52-D52</f>
        <v>-1.10609680559242</v>
      </c>
    </row>
    <row r="53" customFormat="false" ht="15" hidden="false" customHeight="false" outlineLevel="0" collapsed="false">
      <c r="A53" s="2" t="n">
        <v>42</v>
      </c>
      <c r="B53" s="13" t="n">
        <f aca="true">OFFSET(Datos!$B$1,1+$B$4+41,0)</f>
        <v>4.55199999999991</v>
      </c>
      <c r="C53" s="13" t="n">
        <f aca="true">OFFSET(Datos!$D$1,1+$B$4+41,0)</f>
        <v>151.488877661412</v>
      </c>
      <c r="D53" s="13" t="n">
        <f aca="true">OFFSET(Datos!$D$1,1+41,0)</f>
        <v>156.9658408762</v>
      </c>
      <c r="E53" s="13" t="n">
        <f aca="false">C53-D53</f>
        <v>-5.47696321478833</v>
      </c>
    </row>
    <row r="54" customFormat="false" ht="15" hidden="false" customHeight="false" outlineLevel="0" collapsed="false">
      <c r="A54" s="2" t="n">
        <v>43</v>
      </c>
      <c r="B54" s="13" t="n">
        <f aca="true">OFFSET(Datos!$B$1,1+$B$4+42,0)</f>
        <v>4.60199999999986</v>
      </c>
      <c r="C54" s="13" t="n">
        <f aca="true">OFFSET(Datos!$D$1,1+$B$4+42,0)</f>
        <v>150.960805638097</v>
      </c>
      <c r="D54" s="13" t="n">
        <f aca="true">OFFSET(Datos!$D$1,1+42,0)</f>
        <v>156.127348136477</v>
      </c>
      <c r="E54" s="13" t="n">
        <f aca="false">C54-D54</f>
        <v>-5.16654249838012</v>
      </c>
    </row>
    <row r="55" customFormat="false" ht="15" hidden="false" customHeight="false" outlineLevel="0" collapsed="false">
      <c r="A55" s="2" t="n">
        <v>44</v>
      </c>
      <c r="B55" s="13" t="n">
        <f aca="true">OFFSET(Datos!$B$1,1+$B$4+43,0)</f>
        <v>4.65199999999982</v>
      </c>
      <c r="C55" s="13" t="n">
        <f aca="true">OFFSET(Datos!$D$1,1+$B$4+43,0)</f>
        <v>150.536207186918</v>
      </c>
      <c r="D55" s="13" t="n">
        <f aca="true">OFFSET(Datos!$D$1,1+43,0)</f>
        <v>155.991762076436</v>
      </c>
      <c r="E55" s="13" t="n">
        <f aca="false">C55-D55</f>
        <v>-5.45555488951877</v>
      </c>
    </row>
    <row r="56" customFormat="false" ht="15" hidden="false" customHeight="false" outlineLevel="0" collapsed="false">
      <c r="A56" s="2" t="n">
        <v>45</v>
      </c>
      <c r="B56" s="13" t="n">
        <f aca="true">OFFSET(Datos!$B$1,1+$B$4+44,0)</f>
        <v>4.702</v>
      </c>
      <c r="C56" s="13" t="n">
        <f aca="true">OFFSET(Datos!$D$1,1+$B$4+44,0)</f>
        <v>150.104472627315</v>
      </c>
      <c r="D56" s="13" t="n">
        <f aca="true">OFFSET(Datos!$D$1,1+44,0)</f>
        <v>156.901615900391</v>
      </c>
      <c r="E56" s="13" t="n">
        <f aca="false">C56-D56</f>
        <v>-6.79714327307605</v>
      </c>
    </row>
    <row r="57" customFormat="false" ht="15" hidden="false" customHeight="false" outlineLevel="0" collapsed="false">
      <c r="A57" s="2" t="n">
        <v>46</v>
      </c>
      <c r="B57" s="13" t="n">
        <f aca="true">OFFSET(Datos!$B$1,1+$B$4+45,0)</f>
        <v>4.75199999999995</v>
      </c>
      <c r="C57" s="13" t="n">
        <f aca="true">OFFSET(Datos!$D$1,1+$B$4+45,0)</f>
        <v>150.008135163602</v>
      </c>
      <c r="D57" s="13" t="n">
        <f aca="true">OFFSET(Datos!$D$1,1+45,0)</f>
        <v>156.038146781187</v>
      </c>
      <c r="E57" s="13" t="n">
        <f aca="false">C57-D57</f>
        <v>-6.03001161758451</v>
      </c>
    </row>
    <row r="58" customFormat="false" ht="15" hidden="false" customHeight="false" outlineLevel="0" collapsed="false">
      <c r="A58" s="2" t="n">
        <v>47</v>
      </c>
      <c r="B58" s="13" t="n">
        <f aca="true">OFFSET(Datos!$B$1,1+$B$4+46,0)</f>
        <v>4.80199999999991</v>
      </c>
      <c r="C58" s="13" t="n">
        <f aca="true">OFFSET(Datos!$D$1,1+$B$4+46,0)</f>
        <v>151.899203895744</v>
      </c>
      <c r="D58" s="13" t="n">
        <f aca="true">OFFSET(Datos!$D$1,1+46,0)</f>
        <v>154.2255752417</v>
      </c>
      <c r="E58" s="13" t="n">
        <f aca="false">C58-D58</f>
        <v>-2.32637134595566</v>
      </c>
    </row>
    <row r="59" customFormat="false" ht="15" hidden="false" customHeight="false" outlineLevel="0" collapsed="false">
      <c r="A59" s="2" t="n">
        <v>48</v>
      </c>
      <c r="B59" s="13" t="n">
        <f aca="true">OFFSET(Datos!$B$1,1+$B$4+47,0)</f>
        <v>4.85199999999986</v>
      </c>
      <c r="C59" s="13" t="n">
        <f aca="true">OFFSET(Datos!$D$1,1+$B$4+47,0)</f>
        <v>150.140153169431</v>
      </c>
      <c r="D59" s="13" t="n">
        <f aca="true">OFFSET(Datos!$D$1,1+47,0)</f>
        <v>156.006034293283</v>
      </c>
      <c r="E59" s="13" t="n">
        <f aca="false">C59-D59</f>
        <v>-5.86588112385144</v>
      </c>
    </row>
    <row r="60" customFormat="false" ht="15" hidden="false" customHeight="false" outlineLevel="0" collapsed="false">
      <c r="A60" s="2" t="n">
        <v>49</v>
      </c>
      <c r="B60" s="13" t="n">
        <f aca="true">OFFSET(Datos!$B$1,1+$B$4+48,0)</f>
        <v>4.90199999999982</v>
      </c>
      <c r="C60" s="13" t="n">
        <f aca="true">OFFSET(Datos!$D$1,1+$B$4+48,0)</f>
        <v>151.067847264444</v>
      </c>
      <c r="D60" s="13" t="n">
        <f aca="true">OFFSET(Datos!$D$1,1+48,0)</f>
        <v>154.489611253358</v>
      </c>
      <c r="E60" s="13" t="n">
        <f aca="false">C60-D60</f>
        <v>-3.42176398891337</v>
      </c>
    </row>
    <row r="61" customFormat="false" ht="15" hidden="false" customHeight="false" outlineLevel="0" collapsed="false">
      <c r="A61" s="2" t="n">
        <v>50</v>
      </c>
      <c r="B61" s="13" t="n">
        <f aca="true">OFFSET(Datos!$B$1,1+$B$4+49,0)</f>
        <v>4.952</v>
      </c>
      <c r="C61" s="13" t="n">
        <f aca="true">OFFSET(Datos!$D$1,1+$B$4+49,0)</f>
        <v>149.319500700766</v>
      </c>
      <c r="D61" s="13" t="n">
        <f aca="true">OFFSET(Datos!$D$1,1+49,0)</f>
        <v>153.569053266768</v>
      </c>
      <c r="E61" s="13" t="n">
        <f aca="false">C61-D61</f>
        <v>-4.24955256600188</v>
      </c>
    </row>
    <row r="62" customFormat="false" ht="15" hidden="false" customHeight="false" outlineLevel="0" collapsed="false">
      <c r="A62" s="2" t="n">
        <v>51</v>
      </c>
      <c r="B62" s="13" t="n">
        <f aca="true">OFFSET(Datos!$B$1,1+$B$4+50,0)</f>
        <v>5.00199999999995</v>
      </c>
      <c r="C62" s="13" t="n">
        <f aca="true">OFFSET(Datos!$D$1,1+$B$4+50,0)</f>
        <v>148.334717738367</v>
      </c>
      <c r="D62" s="13" t="n">
        <f aca="true">OFFSET(Datos!$D$1,1+50,0)</f>
        <v>155.253174854638</v>
      </c>
      <c r="E62" s="13" t="n">
        <f aca="false">C62-D62</f>
        <v>-6.91845711627005</v>
      </c>
    </row>
    <row r="63" customFormat="false" ht="15" hidden="false" customHeight="false" outlineLevel="0" collapsed="false">
      <c r="A63" s="2" t="n">
        <v>52</v>
      </c>
      <c r="B63" s="13" t="n">
        <f aca="true">OFFSET(Datos!$B$1,1+$B$4+51,0)</f>
        <v>5.05299999999988</v>
      </c>
      <c r="C63" s="13" t="n">
        <f aca="true">OFFSET(Datos!$D$1,1+$B$4+51,0)</f>
        <v>150.67536130117</v>
      </c>
      <c r="D63" s="13" t="n">
        <f aca="true">OFFSET(Datos!$D$1,1+51,0)</f>
        <v>153.494124128324</v>
      </c>
      <c r="E63" s="13" t="n">
        <f aca="false">C63-D63</f>
        <v>-2.81876282715487</v>
      </c>
    </row>
    <row r="64" customFormat="false" ht="15" hidden="false" customHeight="false" outlineLevel="0" collapsed="false">
      <c r="A64" s="2" t="n">
        <v>53</v>
      </c>
      <c r="B64" s="13" t="n">
        <f aca="true">OFFSET(Datos!$B$1,1+$B$4+52,0)</f>
        <v>5.10299999999984</v>
      </c>
      <c r="C64" s="13" t="n">
        <f aca="true">OFFSET(Datos!$D$1,1+$B$4+52,0)</f>
        <v>149.451518706595</v>
      </c>
      <c r="D64" s="13" t="n">
        <f aca="true">OFFSET(Datos!$D$1,1+52,0)</f>
        <v>155.024819385096</v>
      </c>
      <c r="E64" s="13" t="n">
        <f aca="false">C64-D64</f>
        <v>-5.57330067850117</v>
      </c>
    </row>
    <row r="65" customFormat="false" ht="15" hidden="false" customHeight="false" outlineLevel="0" collapsed="false">
      <c r="A65" s="2" t="n">
        <v>54</v>
      </c>
      <c r="B65" s="13" t="n">
        <f aca="true">OFFSET(Datos!$B$1,1+$B$4+53,0)</f>
        <v>5.15300000000002</v>
      </c>
      <c r="C65" s="13" t="n">
        <f aca="true">OFFSET(Datos!$D$1,1+$B$4+53,0)</f>
        <v>146.604211445747</v>
      </c>
      <c r="D65" s="13" t="n">
        <f aca="true">OFFSET(Datos!$D$1,1+53,0)</f>
        <v>154.646605638667</v>
      </c>
      <c r="E65" s="13" t="n">
        <f aca="false">C65-D65</f>
        <v>-8.0423941929204</v>
      </c>
    </row>
    <row r="66" customFormat="false" ht="15" hidden="false" customHeight="false" outlineLevel="0" collapsed="false">
      <c r="A66" s="2" t="n">
        <v>55</v>
      </c>
      <c r="B66" s="13" t="n">
        <f aca="true">OFFSET(Datos!$B$1,1+$B$4+54,0)</f>
        <v>5.20299999999997</v>
      </c>
      <c r="C66" s="13" t="n">
        <f aca="true">OFFSET(Datos!$D$1,1+$B$4+54,0)</f>
        <v>148.188427515692</v>
      </c>
      <c r="D66" s="13" t="n">
        <f aca="true">OFFSET(Datos!$D$1,1+54,0)</f>
        <v>152.941075725528</v>
      </c>
      <c r="E66" s="13" t="n">
        <f aca="false">C66-D66</f>
        <v>-4.75264820983585</v>
      </c>
    </row>
    <row r="67" customFormat="false" ht="15" hidden="false" customHeight="false" outlineLevel="0" collapsed="false">
      <c r="A67" s="2" t="n">
        <v>56</v>
      </c>
      <c r="B67" s="13" t="n">
        <f aca="true">OFFSET(Datos!$B$1,1+$B$4+55,0)</f>
        <v>5.25299999999993</v>
      </c>
      <c r="C67" s="13" t="n">
        <f aca="true">OFFSET(Datos!$D$1,1+$B$4+55,0)</f>
        <v>150.104472627315</v>
      </c>
      <c r="D67" s="13" t="n">
        <f aca="true">OFFSET(Datos!$D$1,1+55,0)</f>
        <v>153.84379344106</v>
      </c>
      <c r="E67" s="13" t="n">
        <f aca="false">C67-D67</f>
        <v>-3.73932081374471</v>
      </c>
    </row>
    <row r="68" customFormat="false" ht="15" hidden="false" customHeight="false" outlineLevel="0" collapsed="false">
      <c r="A68" s="2" t="n">
        <v>57</v>
      </c>
      <c r="B68" s="13" t="n">
        <f aca="true">OFFSET(Datos!$B$1,1+$B$4+56,0)</f>
        <v>5.30299999999988</v>
      </c>
      <c r="C68" s="13" t="n">
        <f aca="true">OFFSET(Datos!$D$1,1+$B$4+56,0)</f>
        <v>153.390650556188</v>
      </c>
      <c r="D68" s="13" t="n">
        <f aca="true">OFFSET(Datos!$D$1,1+56,0)</f>
        <v>155.138997119867</v>
      </c>
      <c r="E68" s="13" t="n">
        <f aca="false">C68-D68</f>
        <v>-1.74834656367835</v>
      </c>
    </row>
    <row r="69" customFormat="false" ht="15" hidden="false" customHeight="false" outlineLevel="0" collapsed="false">
      <c r="A69" s="2" t="n">
        <v>58</v>
      </c>
      <c r="B69" s="13" t="n">
        <f aca="true">OFFSET(Datos!$B$1,1+$B$4+57,0)</f>
        <v>5.35299999999984</v>
      </c>
      <c r="C69" s="13" t="n">
        <f aca="true">OFFSET(Datos!$D$1,1+$B$4+57,0)</f>
        <v>147.025241842715</v>
      </c>
      <c r="D69" s="13" t="n">
        <f aca="true">OFFSET(Datos!$D$1,1+57,0)</f>
        <v>153.800976790521</v>
      </c>
      <c r="E69" s="13" t="n">
        <f aca="false">C69-D69</f>
        <v>-6.77573494780648</v>
      </c>
    </row>
    <row r="70" customFormat="false" ht="15" hidden="false" customHeight="false" outlineLevel="0" collapsed="false">
      <c r="A70" s="2" t="n">
        <v>59</v>
      </c>
      <c r="B70" s="13" t="n">
        <f aca="true">OFFSET(Datos!$B$1,1+$B$4+58,0)</f>
        <v>5.40300000000002</v>
      </c>
      <c r="C70" s="13" t="n">
        <f aca="true">OFFSET(Datos!$D$1,1+$B$4+58,0)</f>
        <v>147.460544456528</v>
      </c>
      <c r="D70" s="13" t="n">
        <f aca="true">OFFSET(Datos!$D$1,1+58,0)</f>
        <v>154.971298571922</v>
      </c>
      <c r="E70" s="13" t="n">
        <f aca="false">C70-D70</f>
        <v>-7.51075411539372</v>
      </c>
    </row>
    <row r="71" customFormat="false" ht="15" hidden="false" customHeight="false" outlineLevel="0" collapsed="false">
      <c r="A71" s="2" t="n">
        <v>60</v>
      </c>
      <c r="B71" s="13" t="n">
        <f aca="true">OFFSET(Datos!$B$1,1+$B$4+59,0)</f>
        <v>5.45299999999997</v>
      </c>
      <c r="C71" s="13" t="n">
        <f aca="true">OFFSET(Datos!$D$1,1+$B$4+59,0)</f>
        <v>150.147289277854</v>
      </c>
      <c r="D71" s="13" t="n">
        <f aca="true">OFFSET(Datos!$D$1,1+59,0)</f>
        <v>154.778623644496</v>
      </c>
      <c r="E71" s="13" t="n">
        <f aca="false">C71-D71</f>
        <v>-4.63133436664182</v>
      </c>
    </row>
    <row r="72" customFormat="false" ht="15" hidden="false" customHeight="false" outlineLevel="0" collapsed="false">
      <c r="A72" s="2" t="n">
        <v>61</v>
      </c>
      <c r="B72" s="13" t="n">
        <f aca="true">OFFSET(Datos!$B$1,1+$B$4+60,0)</f>
        <v>5.50299999999993</v>
      </c>
      <c r="C72" s="13" t="n">
        <f aca="true">OFFSET(Datos!$D$1,1+$B$4+60,0)</f>
        <v>148.687955105315</v>
      </c>
      <c r="D72" s="13" t="n">
        <f aca="true">OFFSET(Datos!$D$1,1+60,0)</f>
        <v>154.949890246652</v>
      </c>
      <c r="E72" s="13" t="n">
        <f aca="false">C72-D72</f>
        <v>-6.26193514133774</v>
      </c>
    </row>
    <row r="73" customFormat="false" ht="15" hidden="false" customHeight="false" outlineLevel="0" collapsed="false">
      <c r="A73" s="2" t="n">
        <v>62</v>
      </c>
      <c r="B73" s="13" t="n">
        <f aca="true">OFFSET(Datos!$B$1,1+$B$4+61,0)</f>
        <v>5.55299999999988</v>
      </c>
      <c r="C73" s="13" t="n">
        <f aca="true">OFFSET(Datos!$D$1,1+$B$4+61,0)</f>
        <v>148.752180081123</v>
      </c>
      <c r="D73" s="13" t="n">
        <f aca="true">OFFSET(Datos!$D$1,1+61,0)</f>
        <v>155.717021902144</v>
      </c>
      <c r="E73" s="13" t="n">
        <f aca="false">C73-D73</f>
        <v>-6.96484182102071</v>
      </c>
    </row>
    <row r="74" customFormat="false" ht="15" hidden="false" customHeight="false" outlineLevel="0" collapsed="false">
      <c r="A74" s="2" t="n">
        <v>63</v>
      </c>
      <c r="B74" s="13" t="n">
        <f aca="true">OFFSET(Datos!$B$1,1+$B$4+62,0)</f>
        <v>5.60299999999984</v>
      </c>
      <c r="C74" s="13" t="n">
        <f aca="true">OFFSET(Datos!$D$1,1+$B$4+62,0)</f>
        <v>147.59969857078</v>
      </c>
      <c r="D74" s="13" t="n">
        <f aca="true">OFFSET(Datos!$D$1,1+62,0)</f>
        <v>154.175622482738</v>
      </c>
      <c r="E74" s="13" t="n">
        <f aca="false">C74-D74</f>
        <v>-6.57592391195755</v>
      </c>
    </row>
    <row r="75" customFormat="false" ht="15" hidden="false" customHeight="false" outlineLevel="0" collapsed="false">
      <c r="A75" s="2" t="n">
        <v>64</v>
      </c>
      <c r="B75" s="13" t="n">
        <f aca="true">OFFSET(Datos!$B$1,1+$B$4+63,0)</f>
        <v>5.65300000000002</v>
      </c>
      <c r="C75" s="13" t="n">
        <f aca="true">OFFSET(Datos!$D$1,1+$B$4+63,0)</f>
        <v>145.908440874487</v>
      </c>
      <c r="D75" s="13" t="n">
        <f aca="true">OFFSET(Datos!$D$1,1+63,0)</f>
        <v>153.890178145811</v>
      </c>
      <c r="E75" s="13" t="n">
        <f aca="false">C75-D75</f>
        <v>-7.98173727132343</v>
      </c>
    </row>
    <row r="76" customFormat="false" ht="15" hidden="false" customHeight="false" outlineLevel="0" collapsed="false">
      <c r="A76" s="2" t="n">
        <v>65</v>
      </c>
      <c r="B76" s="13" t="n">
        <f aca="true">OFFSET(Datos!$B$1,1+$B$4+64,0)</f>
        <v>5.70299999999997</v>
      </c>
      <c r="C76" s="13" t="n">
        <f aca="true">OFFSET(Datos!$D$1,1+$B$4+64,0)</f>
        <v>147.528337486548</v>
      </c>
      <c r="D76" s="13" t="n">
        <f aca="true">OFFSET(Datos!$D$1,1+64,0)</f>
        <v>151.735073402011</v>
      </c>
      <c r="E76" s="13" t="n">
        <f aca="false">C76-D76</f>
        <v>-4.20673591546279</v>
      </c>
    </row>
    <row r="77" customFormat="false" ht="15" hidden="false" customHeight="false" outlineLevel="0" collapsed="false">
      <c r="A77" s="2" t="n">
        <v>66</v>
      </c>
      <c r="B77" s="13" t="n">
        <f aca="true">OFFSET(Datos!$B$1,1+$B$4+65,0)</f>
        <v>5.75299999999993</v>
      </c>
      <c r="C77" s="13" t="n">
        <f aca="true">OFFSET(Datos!$D$1,1+$B$4+65,0)</f>
        <v>146.293790729339</v>
      </c>
      <c r="D77" s="13" t="n">
        <f aca="true">OFFSET(Datos!$D$1,1+65,0)</f>
        <v>153.247928387725</v>
      </c>
      <c r="E77" s="13" t="n">
        <f aca="false">C77-D77</f>
        <v>-6.95413765838592</v>
      </c>
    </row>
    <row r="78" customFormat="false" ht="15" hidden="false" customHeight="false" outlineLevel="0" collapsed="false">
      <c r="A78" s="2" t="n">
        <v>67</v>
      </c>
      <c r="B78" s="13" t="n">
        <f aca="true">OFFSET(Datos!$B$1,1+$B$4+66,0)</f>
        <v>5.80299999999988</v>
      </c>
      <c r="C78" s="13" t="n">
        <f aca="true">OFFSET(Datos!$D$1,1+$B$4+66,0)</f>
        <v>146.754069722634</v>
      </c>
      <c r="D78" s="13" t="n">
        <f aca="true">OFFSET(Datos!$D$1,1+66,0)</f>
        <v>153.758160139982</v>
      </c>
      <c r="E78" s="13" t="n">
        <f aca="false">C78-D78</f>
        <v>-7.00409041734818</v>
      </c>
    </row>
    <row r="79" customFormat="false" ht="15" hidden="false" customHeight="false" outlineLevel="0" collapsed="false">
      <c r="A79" s="2" t="n">
        <v>68</v>
      </c>
      <c r="B79" s="13" t="n">
        <f aca="true">OFFSET(Datos!$B$1,1+$B$4+67,0)</f>
        <v>5.85299999999984</v>
      </c>
      <c r="C79" s="13" t="n">
        <f aca="true">OFFSET(Datos!$D$1,1+$B$4+67,0)</f>
        <v>148.552369045274</v>
      </c>
      <c r="D79" s="13" t="n">
        <f aca="true">OFFSET(Datos!$D$1,1+67,0)</f>
        <v>154.771487536073</v>
      </c>
      <c r="E79" s="13" t="n">
        <f aca="false">C79-D79</f>
        <v>-6.21911849079871</v>
      </c>
    </row>
    <row r="80" customFormat="false" ht="15" hidden="false" customHeight="false" outlineLevel="0" collapsed="false">
      <c r="A80" s="2" t="n">
        <v>69</v>
      </c>
      <c r="B80" s="13" t="n">
        <f aca="true">OFFSET(Datos!$B$1,1+$B$4+68,0)</f>
        <v>5.90300000000002</v>
      </c>
      <c r="C80" s="13" t="n">
        <f aca="true">OFFSET(Datos!$D$1,1+$B$4+68,0)</f>
        <v>146.985993246387</v>
      </c>
      <c r="D80" s="13" t="n">
        <f aca="true">OFFSET(Datos!$D$1,1+68,0)</f>
        <v>152.958915996586</v>
      </c>
      <c r="E80" s="13" t="n">
        <f aca="false">C80-D80</f>
        <v>-5.9729227501991</v>
      </c>
    </row>
    <row r="81" customFormat="false" ht="15" hidden="false" customHeight="false" outlineLevel="0" collapsed="false">
      <c r="A81" s="2" t="n">
        <v>70</v>
      </c>
      <c r="B81" s="13" t="n">
        <f aca="true">OFFSET(Datos!$B$1,1+$B$4+69,0)</f>
        <v>5.95299999999997</v>
      </c>
      <c r="C81" s="13" t="n">
        <f aca="true">OFFSET(Datos!$D$1,1+$B$4+69,0)</f>
        <v>146.807590535808</v>
      </c>
      <c r="D81" s="13" t="n">
        <f aca="true">OFFSET(Datos!$D$1,1+69,0)</f>
        <v>152.484364786445</v>
      </c>
      <c r="E81" s="13" t="n">
        <f aca="false">C81-D81</f>
        <v>-5.67677425063727</v>
      </c>
    </row>
    <row r="82" customFormat="false" ht="15" hidden="false" customHeight="false" outlineLevel="0" collapsed="false">
      <c r="A82" s="2" t="n">
        <v>71</v>
      </c>
      <c r="B82" s="13" t="n">
        <f aca="true">OFFSET(Datos!$B$1,1+$B$4+70,0)</f>
        <v>6.00299999999993</v>
      </c>
      <c r="C82" s="13" t="n">
        <f aca="true">OFFSET(Datos!$D$1,1+$B$4+70,0)</f>
        <v>148.013592859325</v>
      </c>
      <c r="D82" s="13" t="n">
        <f aca="true">OFFSET(Datos!$D$1,1+70,0)</f>
        <v>152.352346780616</v>
      </c>
      <c r="E82" s="13" t="n">
        <f aca="false">C82-D82</f>
        <v>-4.33875392129158</v>
      </c>
    </row>
    <row r="83" customFormat="false" ht="15" hidden="false" customHeight="false" outlineLevel="0" collapsed="false">
      <c r="A83" s="2" t="n">
        <v>72</v>
      </c>
      <c r="B83" s="13" t="n">
        <f aca="true">OFFSET(Datos!$B$1,1+$B$4+71,0)</f>
        <v>6.05299999999988</v>
      </c>
      <c r="C83" s="13" t="n">
        <f aca="true">OFFSET(Datos!$D$1,1+$B$4+71,0)</f>
        <v>147.592562462357</v>
      </c>
      <c r="D83" s="13" t="n">
        <f aca="true">OFFSET(Datos!$D$1,1+71,0)</f>
        <v>152.694879984929</v>
      </c>
      <c r="E83" s="13" t="n">
        <f aca="false">C83-D83</f>
        <v>-5.10231752257153</v>
      </c>
    </row>
    <row r="84" customFormat="false" ht="15" hidden="false" customHeight="false" outlineLevel="0" collapsed="false">
      <c r="A84" s="2" t="n">
        <v>73</v>
      </c>
      <c r="B84" s="13" t="n">
        <f aca="true">OFFSET(Datos!$B$1,1+$B$4+72,0)</f>
        <v>6.10299999999984</v>
      </c>
      <c r="C84" s="13" t="n">
        <f aca="true">OFFSET(Datos!$D$1,1+$B$4+72,0)</f>
        <v>146.689844746825</v>
      </c>
      <c r="D84" s="13" t="n">
        <f aca="true">OFFSET(Datos!$D$1,1+72,0)</f>
        <v>153.333561688803</v>
      </c>
      <c r="E84" s="13" t="n">
        <f aca="false">C84-D84</f>
        <v>-6.64371694197774</v>
      </c>
    </row>
    <row r="85" customFormat="false" ht="15" hidden="false" customHeight="false" outlineLevel="0" collapsed="false">
      <c r="A85" s="2" t="n">
        <v>74</v>
      </c>
      <c r="B85" s="13" t="n">
        <f aca="true">OFFSET(Datos!$B$1,1+$B$4+73,0)</f>
        <v>6.15300000000002</v>
      </c>
      <c r="C85" s="13" t="n">
        <f aca="true">OFFSET(Datos!$D$1,1+$B$4+73,0)</f>
        <v>146.154636615087</v>
      </c>
      <c r="D85" s="13" t="n">
        <f aca="true">OFFSET(Datos!$D$1,1+73,0)</f>
        <v>154.857120837151</v>
      </c>
      <c r="E85" s="13" t="n">
        <f aca="false">C85-D85</f>
        <v>-8.70248422206427</v>
      </c>
    </row>
    <row r="86" customFormat="false" ht="15" hidden="false" customHeight="false" outlineLevel="0" collapsed="false">
      <c r="A86" s="2" t="n">
        <v>75</v>
      </c>
      <c r="B86" s="13" t="n">
        <f aca="true">OFFSET(Datos!$B$1,1+$B$4+74,0)</f>
        <v>6.20299999999997</v>
      </c>
      <c r="C86" s="13" t="n">
        <f aca="true">OFFSET(Datos!$D$1,1+$B$4+74,0)</f>
        <v>148.434623256292</v>
      </c>
      <c r="D86" s="13" t="n">
        <f aca="true">OFFSET(Datos!$D$1,1+74,0)</f>
        <v>152.730560527044</v>
      </c>
      <c r="E86" s="13" t="n">
        <f aca="false">C86-D86</f>
        <v>-4.29593727075255</v>
      </c>
    </row>
    <row r="87" customFormat="false" ht="15" hidden="false" customHeight="false" outlineLevel="0" collapsed="false">
      <c r="A87" s="2" t="n">
        <v>76</v>
      </c>
      <c r="B87" s="13" t="n">
        <f aca="true">OFFSET(Datos!$B$1,1+$B$4+75,0)</f>
        <v>6.25299999999993</v>
      </c>
      <c r="C87" s="13" t="n">
        <f aca="true">OFFSET(Datos!$D$1,1+$B$4+75,0)</f>
        <v>146.368719867782</v>
      </c>
      <c r="D87" s="13" t="n">
        <f aca="true">OFFSET(Datos!$D$1,1+75,0)</f>
        <v>152.919667400259</v>
      </c>
      <c r="E87" s="13" t="n">
        <f aca="false">C87-D87</f>
        <v>-6.55094753247641</v>
      </c>
    </row>
    <row r="88" customFormat="false" ht="15" hidden="false" customHeight="false" outlineLevel="0" collapsed="false">
      <c r="A88" s="2" t="n">
        <v>77</v>
      </c>
      <c r="B88" s="13" t="n">
        <f aca="true">OFFSET(Datos!$B$1,1+$B$4+76,0)</f>
        <v>6.30299999999988</v>
      </c>
      <c r="C88" s="13" t="n">
        <f aca="true">OFFSET(Datos!$D$1,1+$B$4+76,0)</f>
        <v>146.600643391535</v>
      </c>
      <c r="D88" s="13" t="n">
        <f aca="true">OFFSET(Datos!$D$1,1+76,0)</f>
        <v>152.099014931593</v>
      </c>
      <c r="E88" s="13" t="n">
        <f aca="false">C88-D88</f>
        <v>-5.49837154005783</v>
      </c>
    </row>
    <row r="89" customFormat="false" ht="15" hidden="false" customHeight="false" outlineLevel="0" collapsed="false">
      <c r="A89" s="2" t="n">
        <v>78</v>
      </c>
      <c r="B89" s="13" t="n">
        <f aca="true">OFFSET(Datos!$B$1,1+$B$4+77,0)</f>
        <v>6.35299999999984</v>
      </c>
      <c r="C89" s="13" t="n">
        <f aca="true">OFFSET(Datos!$D$1,1+$B$4+77,0)</f>
        <v>146.754069722634</v>
      </c>
      <c r="D89" s="13" t="n">
        <f aca="true">OFFSET(Datos!$D$1,1+77,0)</f>
        <v>153.447739423574</v>
      </c>
      <c r="E89" s="13" t="n">
        <f aca="false">C89-D89</f>
        <v>-6.69366970093998</v>
      </c>
    </row>
    <row r="90" customFormat="false" ht="15" hidden="false" customHeight="false" outlineLevel="0" collapsed="false">
      <c r="A90" s="2" t="n">
        <v>79</v>
      </c>
      <c r="B90" s="13" t="n">
        <f aca="true">OFFSET(Datos!$B$1,1+$B$4+78,0)</f>
        <v>6.40300000000002</v>
      </c>
      <c r="C90" s="13" t="n">
        <f aca="true">OFFSET(Datos!$D$1,1+$B$4+78,0)</f>
        <v>146.668436421556</v>
      </c>
      <c r="D90" s="13" t="n">
        <f aca="true">OFFSET(Datos!$D$1,1+78,0)</f>
        <v>153.751024031559</v>
      </c>
      <c r="E90" s="13" t="n">
        <f aca="false">C90-D90</f>
        <v>-7.08258761000312</v>
      </c>
    </row>
    <row r="91" customFormat="false" ht="15" hidden="false" customHeight="false" outlineLevel="0" collapsed="false">
      <c r="A91" s="2" t="n">
        <v>80</v>
      </c>
      <c r="B91" s="13" t="n">
        <f aca="true">OFFSET(Datos!$B$1,1+$B$4+79,0)</f>
        <v>6.45299999999997</v>
      </c>
      <c r="C91" s="13" t="n">
        <f aca="true">OFFSET(Datos!$D$1,1+$B$4+79,0)</f>
        <v>146.539986469938</v>
      </c>
      <c r="D91" s="13" t="n">
        <f aca="true">OFFSET(Datos!$D$1,1+79,0)</f>
        <v>151.524558203528</v>
      </c>
      <c r="E91" s="13" t="n">
        <f aca="false">C91-D91</f>
        <v>-4.98457173358909</v>
      </c>
    </row>
    <row r="92" customFormat="false" ht="15" hidden="false" customHeight="false" outlineLevel="0" collapsed="false">
      <c r="A92" s="2" t="n">
        <v>81</v>
      </c>
      <c r="B92" s="13" t="n">
        <f aca="true">OFFSET(Datos!$B$1,1+$B$4+80,0)</f>
        <v>6.50299999999993</v>
      </c>
      <c r="C92" s="13" t="n">
        <f aca="true">OFFSET(Datos!$D$1,1+$B$4+80,0)</f>
        <v>146.486465656765</v>
      </c>
      <c r="D92" s="13" t="n">
        <f aca="true">OFFSET(Datos!$D$1,1+80,0)</f>
        <v>152.744832743891</v>
      </c>
      <c r="E92" s="13" t="n">
        <f aca="false">C92-D92</f>
        <v>-6.25836708712617</v>
      </c>
    </row>
    <row r="93" customFormat="false" ht="15" hidden="false" customHeight="false" outlineLevel="0" collapsed="false">
      <c r="A93" s="2" t="n">
        <v>82</v>
      </c>
      <c r="B93" s="13" t="n">
        <f aca="true">OFFSET(Datos!$B$1,1+$B$4+81,0)</f>
        <v>6.55299999999988</v>
      </c>
      <c r="C93" s="13" t="n">
        <f aca="true">OFFSET(Datos!$D$1,1+$B$4+81,0)</f>
        <v>146.647028096286</v>
      </c>
      <c r="D93" s="13" t="n">
        <f aca="true">OFFSET(Datos!$D$1,1+81,0)</f>
        <v>153.654686567846</v>
      </c>
      <c r="E93" s="13" t="n">
        <f aca="false">C93-D93</f>
        <v>-7.00765847155975</v>
      </c>
    </row>
    <row r="94" customFormat="false" ht="15" hidden="false" customHeight="false" outlineLevel="0" collapsed="false">
      <c r="A94" s="2" t="n">
        <v>83</v>
      </c>
      <c r="B94" s="13" t="n">
        <f aca="true">OFFSET(Datos!$B$1,1+$B$4+82,0)</f>
        <v>6.60299999999984</v>
      </c>
      <c r="C94" s="13" t="n">
        <f aca="true">OFFSET(Datos!$D$1,1+$B$4+82,0)</f>
        <v>144.713142713605</v>
      </c>
      <c r="D94" s="13" t="n">
        <f aca="true">OFFSET(Datos!$D$1,1+82,0)</f>
        <v>152.901827129201</v>
      </c>
      <c r="E94" s="13" t="n">
        <f aca="false">C94-D94</f>
        <v>-8.18868441559553</v>
      </c>
    </row>
    <row r="95" customFormat="false" ht="15" hidden="false" customHeight="false" outlineLevel="0" collapsed="false">
      <c r="A95" s="2" t="n">
        <v>84</v>
      </c>
      <c r="B95" s="13" t="n">
        <f aca="true">OFFSET(Datos!$B$1,1+$B$4+83,0)</f>
        <v>6.65300000000002</v>
      </c>
      <c r="C95" s="13" t="n">
        <f aca="true">OFFSET(Datos!$D$1,1+$B$4+83,0)</f>
        <v>146.311631000397</v>
      </c>
      <c r="D95" s="13" t="n">
        <f aca="true">OFFSET(Datos!$D$1,1+83,0)</f>
        <v>153.058821514511</v>
      </c>
      <c r="E95" s="13" t="n">
        <f aca="false">C95-D95</f>
        <v>-6.74719051411381</v>
      </c>
    </row>
    <row r="96" customFormat="false" ht="15" hidden="false" customHeight="false" outlineLevel="0" collapsed="false">
      <c r="A96" s="2" t="n">
        <v>85</v>
      </c>
      <c r="B96" s="13" t="n">
        <f aca="true">OFFSET(Datos!$B$1,1+$B$4+84,0)</f>
        <v>6.70299999999997</v>
      </c>
      <c r="C96" s="13" t="n">
        <f aca="true">OFFSET(Datos!$D$1,1+$B$4+84,0)</f>
        <v>147.103739035369</v>
      </c>
      <c r="D96" s="13" t="n">
        <f aca="true">OFFSET(Datos!$D$1,1+84,0)</f>
        <v>153.558349104133</v>
      </c>
      <c r="E96" s="13" t="n">
        <f aca="false">C96-D96</f>
        <v>-6.45461006876354</v>
      </c>
    </row>
    <row r="97" customFormat="false" ht="15" hidden="false" customHeight="false" outlineLevel="0" collapsed="false">
      <c r="A97" s="2" t="n">
        <v>86</v>
      </c>
      <c r="B97" s="13" t="n">
        <f aca="true">OFFSET(Datos!$B$1,1+$B$4+85,0)</f>
        <v>6.75299999999993</v>
      </c>
      <c r="C97" s="13" t="n">
        <f aca="true">OFFSET(Datos!$D$1,1+$B$4+85,0)</f>
        <v>146.597075337324</v>
      </c>
      <c r="D97" s="13" t="n">
        <f aca="true">OFFSET(Datos!$D$1,1+85,0)</f>
        <v>152.106151040016</v>
      </c>
      <c r="E97" s="13" t="n">
        <f aca="false">C97-D97</f>
        <v>-5.5090757026926</v>
      </c>
    </row>
    <row r="98" customFormat="false" ht="15" hidden="false" customHeight="false" outlineLevel="0" collapsed="false">
      <c r="A98" s="2" t="n">
        <v>87</v>
      </c>
      <c r="B98" s="13" t="n">
        <f aca="true">OFFSET(Datos!$B$1,1+$B$4+86,0)</f>
        <v>6.80299999999988</v>
      </c>
      <c r="C98" s="13" t="n">
        <f aca="true">OFFSET(Datos!$D$1,1+$B$4+86,0)</f>
        <v>146.45435316886</v>
      </c>
      <c r="D98" s="13" t="n">
        <f aca="true">OFFSET(Datos!$D$1,1+86,0)</f>
        <v>153.658254622057</v>
      </c>
      <c r="E98" s="13" t="n">
        <f aca="false">C98-D98</f>
        <v>-7.20390145319712</v>
      </c>
    </row>
    <row r="99" customFormat="false" ht="15" hidden="false" customHeight="false" outlineLevel="0" collapsed="false">
      <c r="A99" s="2" t="n">
        <v>88</v>
      </c>
      <c r="B99" s="13" t="n">
        <f aca="true">OFFSET(Datos!$B$1,1+$B$4+87,0)</f>
        <v>6.85299999999984</v>
      </c>
      <c r="C99" s="13" t="n">
        <f aca="true">OFFSET(Datos!$D$1,1+$B$4+87,0)</f>
        <v>145.876328386583</v>
      </c>
      <c r="D99" s="13" t="n">
        <f aca="true">OFFSET(Datos!$D$1,1+87,0)</f>
        <v>153.172999249281</v>
      </c>
      <c r="E99" s="13" t="n">
        <f aca="false">C99-D99</f>
        <v>-7.29667086269845</v>
      </c>
    </row>
    <row r="100" customFormat="false" ht="15" hidden="false" customHeight="false" outlineLevel="0" collapsed="false">
      <c r="A100" s="2" t="n">
        <v>89</v>
      </c>
      <c r="B100" s="13" t="n">
        <f aca="true">OFFSET(Datos!$B$1,1+$B$4+88,0)</f>
        <v>6.90300000000002</v>
      </c>
      <c r="C100" s="13" t="n">
        <f aca="true">OFFSET(Datos!$D$1,1+$B$4+88,0)</f>
        <v>146.550690632573</v>
      </c>
      <c r="D100" s="13" t="n">
        <f aca="true">OFFSET(Datos!$D$1,1+88,0)</f>
        <v>153.369242230919</v>
      </c>
      <c r="E100" s="13" t="n">
        <f aca="false">C100-D100</f>
        <v>-6.81855159834555</v>
      </c>
    </row>
    <row r="101" customFormat="false" ht="15" hidden="false" customHeight="false" outlineLevel="0" collapsed="false">
      <c r="A101" s="2" t="n">
        <v>90</v>
      </c>
      <c r="B101" s="13" t="n">
        <f aca="true">OFFSET(Datos!$B$1,1+$B$4+89,0)</f>
        <v>6.95299999999997</v>
      </c>
      <c r="C101" s="13" t="n">
        <f aca="true">OFFSET(Datos!$D$1,1+$B$4+89,0)</f>
        <v>145.551635453328</v>
      </c>
      <c r="D101" s="13" t="n">
        <f aca="true">OFFSET(Datos!$D$1,1+89,0)</f>
        <v>153.055253460299</v>
      </c>
      <c r="E101" s="13" t="n">
        <f aca="false">C101-D101</f>
        <v>-7.50361800697056</v>
      </c>
    </row>
    <row r="102" customFormat="false" ht="15" hidden="false" customHeight="false" outlineLevel="0" collapsed="false">
      <c r="A102" s="2" t="n">
        <v>91</v>
      </c>
      <c r="B102" s="13" t="n">
        <f aca="true">OFFSET(Datos!$B$1,1+$B$4+90,0)</f>
        <v>7.00299999999993</v>
      </c>
      <c r="C102" s="13" t="n">
        <f aca="true">OFFSET(Datos!$D$1,1+$B$4+90,0)</f>
        <v>146.393696247263</v>
      </c>
      <c r="D102" s="13" t="n">
        <f aca="true">OFFSET(Datos!$D$1,1+90,0)</f>
        <v>154.792895861343</v>
      </c>
      <c r="E102" s="13" t="n">
        <f aca="false">C102-D102</f>
        <v>-8.39919961407927</v>
      </c>
    </row>
    <row r="103" customFormat="false" ht="15" hidden="false" customHeight="false" outlineLevel="0" collapsed="false">
      <c r="A103" s="2" t="n">
        <v>92</v>
      </c>
      <c r="B103" s="13" t="n">
        <f aca="true">OFFSET(Datos!$B$1,1+$B$4+91,0)</f>
        <v>7.05299999999988</v>
      </c>
      <c r="C103" s="13" t="n">
        <f aca="true">OFFSET(Datos!$D$1,1+$B$4+91,0)</f>
        <v>145.515954911213</v>
      </c>
      <c r="D103" s="13" t="n">
        <f aca="true">OFFSET(Datos!$D$1,1+91,0)</f>
        <v>151.488877661412</v>
      </c>
      <c r="E103" s="13" t="n">
        <f aca="false">C103-D103</f>
        <v>-5.9729227501991</v>
      </c>
    </row>
    <row r="104" customFormat="false" ht="15" hidden="false" customHeight="false" outlineLevel="0" collapsed="false">
      <c r="A104" s="2" t="n">
        <v>93</v>
      </c>
      <c r="B104" s="13" t="n">
        <f aca="true">OFFSET(Datos!$B$1,1+$B$4+92,0)</f>
        <v>7.10299999999984</v>
      </c>
      <c r="C104" s="13" t="n">
        <f aca="true">OFFSET(Datos!$D$1,1+$B$4+92,0)</f>
        <v>146.878951620039</v>
      </c>
      <c r="D104" s="13" t="n">
        <f aca="true">OFFSET(Datos!$D$1,1+92,0)</f>
        <v>150.960805638097</v>
      </c>
      <c r="E104" s="13" t="n">
        <f aca="false">C104-D104</f>
        <v>-4.08185401805719</v>
      </c>
    </row>
    <row r="105" customFormat="false" ht="15" hidden="false" customHeight="false" outlineLevel="0" collapsed="false">
      <c r="A105" s="2" t="n">
        <v>94</v>
      </c>
      <c r="B105" s="13" t="n">
        <f aca="true">OFFSET(Datos!$B$1,1+$B$4+93,0)</f>
        <v>7.15300000000002</v>
      </c>
      <c r="C105" s="13" t="n">
        <f aca="true">OFFSET(Datos!$D$1,1+$B$4+93,0)</f>
        <v>145.93698530818</v>
      </c>
      <c r="D105" s="13" t="n">
        <f aca="true">OFFSET(Datos!$D$1,1+93,0)</f>
        <v>150.536207186918</v>
      </c>
      <c r="E105" s="13" t="n">
        <f aca="false">C105-D105</f>
        <v>-4.59922187873755</v>
      </c>
    </row>
    <row r="106" customFormat="false" ht="15" hidden="false" customHeight="false" outlineLevel="0" collapsed="false">
      <c r="A106" s="2" t="n">
        <v>95</v>
      </c>
      <c r="B106" s="13" t="n">
        <f aca="true">OFFSET(Datos!$B$1,1+$B$4+94,0)</f>
        <v>7.20299999999997</v>
      </c>
      <c r="C106" s="13" t="n">
        <f aca="true">OFFSET(Datos!$D$1,1+$B$4+94,0)</f>
        <v>147.581858299722</v>
      </c>
      <c r="D106" s="13" t="n">
        <f aca="true">OFFSET(Datos!$D$1,1+94,0)</f>
        <v>150.104472627315</v>
      </c>
      <c r="E106" s="13" t="n">
        <f aca="false">C106-D106</f>
        <v>-2.52261432759306</v>
      </c>
    </row>
    <row r="107" customFormat="false" ht="15" hidden="false" customHeight="false" outlineLevel="0" collapsed="false">
      <c r="A107" s="2" t="n">
        <v>96</v>
      </c>
      <c r="B107" s="13" t="n">
        <f aca="true">OFFSET(Datos!$B$1,1+$B$4+95,0)</f>
        <v>7.25299999999993</v>
      </c>
      <c r="C107" s="13" t="n">
        <f aca="true">OFFSET(Datos!$D$1,1+$B$4+95,0)</f>
        <v>148.327581629944</v>
      </c>
      <c r="D107" s="13" t="n">
        <f aca="true">OFFSET(Datos!$D$1,1+95,0)</f>
        <v>150.008135163602</v>
      </c>
      <c r="E107" s="13" t="n">
        <f aca="false">C107-D107</f>
        <v>-1.68055353365818</v>
      </c>
    </row>
    <row r="108" customFormat="false" ht="15" hidden="false" customHeight="false" outlineLevel="0" collapsed="false">
      <c r="A108" s="2" t="n">
        <v>97</v>
      </c>
      <c r="B108" s="13" t="n">
        <f aca="true">OFFSET(Datos!$B$1,1+$B$4+96,0)</f>
        <v>7.30299999999988</v>
      </c>
      <c r="C108" s="13" t="n">
        <f aca="true">OFFSET(Datos!$D$1,1+$B$4+96,0)</f>
        <v>149.744099151945</v>
      </c>
      <c r="D108" s="13" t="n">
        <f aca="true">OFFSET(Datos!$D$1,1+96,0)</f>
        <v>151.899203895744</v>
      </c>
      <c r="E108" s="13" t="n">
        <f aca="false">C108-D108</f>
        <v>-2.15510474379946</v>
      </c>
    </row>
    <row r="109" customFormat="false" ht="15" hidden="false" customHeight="false" outlineLevel="0" collapsed="false">
      <c r="A109" s="2" t="n">
        <v>98</v>
      </c>
      <c r="B109" s="13" t="n">
        <f aca="true">OFFSET(Datos!$B$1,1+$B$4+97,0)</f>
        <v>7.35299999999984</v>
      </c>
      <c r="C109" s="13" t="n">
        <f aca="true">OFFSET(Datos!$D$1,1+$B$4+97,0)</f>
        <v>148.994807767511</v>
      </c>
      <c r="D109" s="13" t="n">
        <f aca="true">OFFSET(Datos!$D$1,1+97,0)</f>
        <v>150.140153169431</v>
      </c>
      <c r="E109" s="13" t="n">
        <f aca="false">C109-D109</f>
        <v>-1.14534540191991</v>
      </c>
    </row>
    <row r="110" customFormat="false" ht="15" hidden="false" customHeight="false" outlineLevel="0" collapsed="false">
      <c r="A110" s="2" t="n">
        <v>99</v>
      </c>
      <c r="B110" s="13" t="n">
        <f aca="true">OFFSET(Datos!$B$1,1+$B$4+98,0)</f>
        <v>7.40300000000002</v>
      </c>
      <c r="C110" s="13" t="n">
        <f aca="true">OFFSET(Datos!$D$1,1+$B$4+98,0)</f>
        <v>151.157048619734</v>
      </c>
      <c r="D110" s="13" t="n">
        <f aca="true">OFFSET(Datos!$D$1,1+98,0)</f>
        <v>151.067847264444</v>
      </c>
      <c r="E110" s="13" t="n">
        <f aca="false">C110-D110</f>
        <v>0.0892013552897026</v>
      </c>
    </row>
    <row r="111" customFormat="false" ht="15" hidden="false" customHeight="false" outlineLevel="0" collapsed="false">
      <c r="A111" s="2" t="n">
        <v>100</v>
      </c>
      <c r="B111" s="13" t="n">
        <f aca="true">OFFSET(Datos!$B$1,1+$B$4+99,0)</f>
        <v>7.45299999999997</v>
      </c>
      <c r="C111" s="13" t="n">
        <f aca="true">OFFSET(Datos!$D$1,1+$B$4+99,0)</f>
        <v>149.776211639849</v>
      </c>
      <c r="D111" s="13" t="n">
        <f aca="true">OFFSET(Datos!$D$1,1+99,0)</f>
        <v>149.319500700766</v>
      </c>
      <c r="E111" s="13" t="n">
        <f aca="false">C111-D111</f>
        <v>0.456710939083337</v>
      </c>
    </row>
    <row r="112" customFormat="false" ht="15" hidden="false" customHeight="false" outlineLevel="0" collapsed="false">
      <c r="A112" s="2" t="n">
        <v>101</v>
      </c>
      <c r="B112" s="13" t="n">
        <f aca="true">OFFSET(Datos!$B$1,1+$B$4+100,0)</f>
        <v>7.50299999999993</v>
      </c>
      <c r="C112" s="13" t="n">
        <f aca="true">OFFSET(Datos!$D$1,1+$B$4+100,0)</f>
        <v>150.939397312827</v>
      </c>
      <c r="D112" s="13" t="n">
        <f aca="true">OFFSET(Datos!$D$1,1+100,0)</f>
        <v>148.334717738367</v>
      </c>
      <c r="E112" s="13" t="n">
        <f aca="false">C112-D112</f>
        <v>2.60467957445957</v>
      </c>
    </row>
    <row r="113" customFormat="false" ht="15" hidden="false" customHeight="false" outlineLevel="0" collapsed="false">
      <c r="A113" s="2" t="n">
        <v>102</v>
      </c>
      <c r="B113" s="13" t="n">
        <f aca="true">OFFSET(Datos!$B$1,1+$B$4+101,0)</f>
        <v>7.55299999999988</v>
      </c>
      <c r="C113" s="13" t="n">
        <f aca="true">OFFSET(Datos!$D$1,1+$B$4+101,0)</f>
        <v>151.146344457099</v>
      </c>
      <c r="D113" s="13" t="n">
        <f aca="true">OFFSET(Datos!$D$1,1+101,0)</f>
        <v>150.67536130117</v>
      </c>
      <c r="E113" s="13" t="n">
        <f aca="false">C113-D113</f>
        <v>0.470983155929673</v>
      </c>
    </row>
    <row r="114" customFormat="false" ht="15" hidden="false" customHeight="false" outlineLevel="0" collapsed="false">
      <c r="A114" s="2" t="n">
        <v>103</v>
      </c>
      <c r="B114" s="13" t="n">
        <f aca="true">OFFSET(Datos!$B$1,1+$B$4+102,0)</f>
        <v>7.60299999999984</v>
      </c>
      <c r="C114" s="13" t="n">
        <f aca="true">OFFSET(Datos!$D$1,1+$B$4+102,0)</f>
        <v>149.918933808313</v>
      </c>
      <c r="D114" s="13" t="n">
        <f aca="true">OFFSET(Datos!$D$1,1+102,0)</f>
        <v>149.451518706595</v>
      </c>
      <c r="E114" s="13" t="n">
        <f aca="false">C114-D114</f>
        <v>0.467415101718075</v>
      </c>
    </row>
    <row r="115" customFormat="false" ht="15" hidden="false" customHeight="false" outlineLevel="0" collapsed="false">
      <c r="A115" s="2" t="n">
        <v>104</v>
      </c>
      <c r="B115" s="13" t="n">
        <f aca="true">OFFSET(Datos!$B$1,1+$B$4+103,0)</f>
        <v>7.65300000000002</v>
      </c>
      <c r="C115" s="13" t="n">
        <f aca="true">OFFSET(Datos!$D$1,1+$B$4+103,0)</f>
        <v>151.132072240253</v>
      </c>
      <c r="D115" s="13" t="n">
        <f aca="true">OFFSET(Datos!$D$1,1+103,0)</f>
        <v>146.604211445747</v>
      </c>
      <c r="E115" s="13" t="n">
        <f aca="false">C115-D115</f>
        <v>4.52786079450576</v>
      </c>
    </row>
    <row r="116" customFormat="false" ht="15" hidden="false" customHeight="false" outlineLevel="0" collapsed="false">
      <c r="A116" s="2" t="n">
        <v>105</v>
      </c>
      <c r="B116" s="13" t="n">
        <f aca="true">OFFSET(Datos!$B$1,1+$B$4+104,0)</f>
        <v>7.70299999999997</v>
      </c>
      <c r="C116" s="13" t="n">
        <f aca="true">OFFSET(Datos!$D$1,1+$B$4+104,0)</f>
        <v>151.367563818218</v>
      </c>
      <c r="D116" s="13" t="n">
        <f aca="true">OFFSET(Datos!$D$1,1+104,0)</f>
        <v>148.188427515692</v>
      </c>
      <c r="E116" s="13" t="n">
        <f aca="false">C116-D116</f>
        <v>3.17913630252534</v>
      </c>
    </row>
    <row r="117" customFormat="false" ht="15" hidden="false" customHeight="false" outlineLevel="0" collapsed="false">
      <c r="A117" s="2" t="n">
        <v>106</v>
      </c>
      <c r="B117" s="13" t="n">
        <f aca="true">OFFSET(Datos!$B$1,1+$B$4+105,0)</f>
        <v>7.75299999999993</v>
      </c>
      <c r="C117" s="13" t="n">
        <f aca="true">OFFSET(Datos!$D$1,1+$B$4+105,0)</f>
        <v>151.738641456223</v>
      </c>
      <c r="D117" s="13" t="n">
        <f aca="true">OFFSET(Datos!$D$1,1+105,0)</f>
        <v>150.104472627315</v>
      </c>
      <c r="E117" s="13" t="n">
        <f aca="false">C117-D117</f>
        <v>1.63416882890752</v>
      </c>
    </row>
    <row r="118" customFormat="false" ht="15" hidden="false" customHeight="false" outlineLevel="0" collapsed="false">
      <c r="A118" s="2" t="n">
        <v>107</v>
      </c>
      <c r="B118" s="13" t="n">
        <f aca="true">OFFSET(Datos!$B$1,1+$B$4+106,0)</f>
        <v>7.80299999999988</v>
      </c>
      <c r="C118" s="13" t="n">
        <f aca="true">OFFSET(Datos!$D$1,1+$B$4+106,0)</f>
        <v>150.703905734862</v>
      </c>
      <c r="D118" s="13" t="n">
        <f aca="true">OFFSET(Datos!$D$1,1+106,0)</f>
        <v>153.390650556188</v>
      </c>
      <c r="E118" s="13" t="n">
        <f aca="false">C118-D118</f>
        <v>-2.6867448213261</v>
      </c>
    </row>
    <row r="119" customFormat="false" ht="15" hidden="false" customHeight="false" outlineLevel="0" collapsed="false">
      <c r="A119" s="2" t="n">
        <v>108</v>
      </c>
      <c r="B119" s="13" t="n">
        <f aca="true">OFFSET(Datos!$B$1,1+$B$4+107,0)</f>
        <v>7.85299999999984</v>
      </c>
      <c r="C119" s="13" t="n">
        <f aca="true">OFFSET(Datos!$D$1,1+$B$4+107,0)</f>
        <v>153.469147748843</v>
      </c>
      <c r="D119" s="13" t="n">
        <f aca="true">OFFSET(Datos!$D$1,1+107,0)</f>
        <v>147.025241842715</v>
      </c>
      <c r="E119" s="13" t="n">
        <f aca="false">C119-D119</f>
        <v>6.44390590612878</v>
      </c>
    </row>
    <row r="120" customFormat="false" ht="15" hidden="false" customHeight="false" outlineLevel="0" collapsed="false">
      <c r="A120" s="2" t="n">
        <v>109</v>
      </c>
      <c r="B120" s="13" t="n">
        <f aca="true">OFFSET(Datos!$B$1,1+$B$4+108,0)</f>
        <v>7.90300000000002</v>
      </c>
      <c r="C120" s="13" t="n">
        <f aca="true">OFFSET(Datos!$D$1,1+$B$4+108,0)</f>
        <v>152.555725870677</v>
      </c>
      <c r="D120" s="13" t="n">
        <f aca="true">OFFSET(Datos!$D$1,1+108,0)</f>
        <v>147.460544456528</v>
      </c>
      <c r="E120" s="13" t="n">
        <f aca="false">C120-D120</f>
        <v>5.09518141414836</v>
      </c>
    </row>
    <row r="121" customFormat="false" ht="15" hidden="false" customHeight="false" outlineLevel="0" collapsed="false">
      <c r="A121" s="2" t="n">
        <v>110</v>
      </c>
      <c r="B121" s="13" t="n">
        <f aca="true">OFFSET(Datos!$B$1,1+$B$4+109,0)</f>
        <v>7.95399999999995</v>
      </c>
      <c r="C121" s="13" t="n">
        <f aca="true">OFFSET(Datos!$D$1,1+$B$4+109,0)</f>
        <v>153.105206219261</v>
      </c>
      <c r="D121" s="13" t="n">
        <f aca="true">OFFSET(Datos!$D$1,1+109,0)</f>
        <v>150.147289277854</v>
      </c>
      <c r="E121" s="13" t="n">
        <f aca="false">C121-D121</f>
        <v>2.95791694140684</v>
      </c>
    </row>
    <row r="122" customFormat="false" ht="15" hidden="false" customHeight="false" outlineLevel="0" collapsed="false">
      <c r="A122" s="2" t="n">
        <v>111</v>
      </c>
      <c r="B122" s="13" t="n">
        <f aca="true">OFFSET(Datos!$B$1,1+$B$4+110,0)</f>
        <v>8.00399999999991</v>
      </c>
      <c r="C122" s="13" t="n">
        <f aca="true">OFFSET(Datos!$D$1,1+$B$4+110,0)</f>
        <v>154.172054428526</v>
      </c>
      <c r="D122" s="13" t="n">
        <f aca="true">OFFSET(Datos!$D$1,1+110,0)</f>
        <v>148.687955105315</v>
      </c>
      <c r="E122" s="13" t="n">
        <f aca="false">C122-D122</f>
        <v>5.48409932321147</v>
      </c>
    </row>
    <row r="123" customFormat="false" ht="15" hidden="false" customHeight="false" outlineLevel="0" collapsed="false">
      <c r="A123" s="2" t="n">
        <v>112</v>
      </c>
      <c r="B123" s="13" t="n">
        <f aca="true">OFFSET(Datos!$B$1,1+$B$4+111,0)</f>
        <v>8.05399999999986</v>
      </c>
      <c r="C123" s="13" t="n">
        <f aca="true">OFFSET(Datos!$D$1,1+$B$4+111,0)</f>
        <v>150.443437777416</v>
      </c>
      <c r="D123" s="13" t="n">
        <f aca="true">OFFSET(Datos!$D$1,1+111,0)</f>
        <v>148.752180081123</v>
      </c>
      <c r="E123" s="13" t="n">
        <f aca="false">C123-D123</f>
        <v>1.69125769629295</v>
      </c>
    </row>
    <row r="124" customFormat="false" ht="15" hidden="false" customHeight="false" outlineLevel="0" collapsed="false">
      <c r="A124" s="2" t="n">
        <v>113</v>
      </c>
      <c r="B124" s="13" t="n">
        <f aca="true">OFFSET(Datos!$B$1,1+$B$4+112,0)</f>
        <v>8.10399999999981</v>
      </c>
      <c r="C124" s="13" t="n">
        <f aca="true">OFFSET(Datos!$D$1,1+$B$4+112,0)</f>
        <v>155.602844167373</v>
      </c>
      <c r="D124" s="13" t="n">
        <f aca="true">OFFSET(Datos!$D$1,1+112,0)</f>
        <v>147.59969857078</v>
      </c>
      <c r="E124" s="13" t="n">
        <f aca="false">C124-D124</f>
        <v>8.00314559659293</v>
      </c>
    </row>
    <row r="125" customFormat="false" ht="15" hidden="false" customHeight="false" outlineLevel="0" collapsed="false">
      <c r="A125" s="2" t="n">
        <v>114</v>
      </c>
      <c r="B125" s="13" t="n">
        <f aca="true">OFFSET(Datos!$B$1,1+$B$4+113,0)</f>
        <v>8.154</v>
      </c>
      <c r="C125" s="13" t="n">
        <f aca="true">OFFSET(Datos!$D$1,1+$B$4+113,0)</f>
        <v>156.262934196517</v>
      </c>
      <c r="D125" s="13" t="n">
        <f aca="true">OFFSET(Datos!$D$1,1+113,0)</f>
        <v>145.908440874487</v>
      </c>
      <c r="E125" s="13" t="n">
        <f aca="false">C125-D125</f>
        <v>10.3544933220298</v>
      </c>
    </row>
    <row r="126" customFormat="false" ht="15" hidden="false" customHeight="false" outlineLevel="0" collapsed="false">
      <c r="A126" s="2" t="n">
        <v>115</v>
      </c>
      <c r="B126" s="13" t="n">
        <f aca="true">OFFSET(Datos!$B$1,1+$B$4+114,0)</f>
        <v>8.20399999999995</v>
      </c>
      <c r="C126" s="13" t="n">
        <f aca="true">OFFSET(Datos!$D$1,1+$B$4+114,0)</f>
        <v>156.466313286578</v>
      </c>
      <c r="D126" s="13" t="n">
        <f aca="true">OFFSET(Datos!$D$1,1+114,0)</f>
        <v>147.528337486548</v>
      </c>
      <c r="E126" s="13" t="n">
        <f aca="false">C126-D126</f>
        <v>8.93797580002911</v>
      </c>
    </row>
    <row r="127" customFormat="false" ht="15" hidden="false" customHeight="false" outlineLevel="0" collapsed="false">
      <c r="A127" s="2" t="n">
        <v>116</v>
      </c>
      <c r="B127" s="13" t="n">
        <f aca="true">OFFSET(Datos!$B$1,1+$B$4+115,0)</f>
        <v>8.25399999999991</v>
      </c>
      <c r="C127" s="13" t="n">
        <f aca="true">OFFSET(Datos!$D$1,1+$B$4+115,0)</f>
        <v>153.658254622057</v>
      </c>
      <c r="D127" s="13" t="n">
        <f aca="true">OFFSET(Datos!$D$1,1+115,0)</f>
        <v>146.293790729339</v>
      </c>
      <c r="E127" s="13" t="n">
        <f aca="false">C127-D127</f>
        <v>7.36446389271859</v>
      </c>
    </row>
    <row r="128" customFormat="false" ht="15" hidden="false" customHeight="false" outlineLevel="0" collapsed="false">
      <c r="A128" s="2" t="n">
        <v>117</v>
      </c>
      <c r="B128" s="13" t="n">
        <f aca="true">OFFSET(Datos!$B$1,1+$B$4+116,0)</f>
        <v>8.30399999999986</v>
      </c>
      <c r="C128" s="13" t="n">
        <f aca="true">OFFSET(Datos!$D$1,1+$B$4+116,0)</f>
        <v>155.966785696955</v>
      </c>
      <c r="D128" s="13" t="n">
        <f aca="true">OFFSET(Datos!$D$1,1+116,0)</f>
        <v>146.754069722634</v>
      </c>
      <c r="E128" s="13" t="n">
        <f aca="false">C128-D128</f>
        <v>9.21271597432144</v>
      </c>
    </row>
    <row r="129" customFormat="false" ht="15" hidden="false" customHeight="false" outlineLevel="0" collapsed="false">
      <c r="A129" s="2" t="n">
        <v>118</v>
      </c>
      <c r="B129" s="13" t="n">
        <f aca="true">OFFSET(Datos!$B$1,1+$B$4+117,0)</f>
        <v>8.35399999999981</v>
      </c>
      <c r="C129" s="13" t="n">
        <f aca="true">OFFSET(Datos!$D$1,1+$B$4+117,0)</f>
        <v>160.084320257128</v>
      </c>
      <c r="D129" s="13" t="n">
        <f aca="true">OFFSET(Datos!$D$1,1+117,0)</f>
        <v>148.552369045274</v>
      </c>
      <c r="E129" s="13" t="n">
        <f aca="false">C129-D129</f>
        <v>11.5319512118539</v>
      </c>
    </row>
    <row r="130" customFormat="false" ht="15" hidden="false" customHeight="false" outlineLevel="0" collapsed="false">
      <c r="A130" s="2" t="n">
        <v>119</v>
      </c>
      <c r="B130" s="13" t="n">
        <f aca="true">OFFSET(Datos!$B$1,1+$B$4+118,0)</f>
        <v>8.404</v>
      </c>
      <c r="C130" s="13" t="n">
        <f aca="true">OFFSET(Datos!$D$1,1+$B$4+118,0)</f>
        <v>153.833089278425</v>
      </c>
      <c r="D130" s="13" t="n">
        <f aca="true">OFFSET(Datos!$D$1,1+118,0)</f>
        <v>146.985993246387</v>
      </c>
      <c r="E130" s="13" t="n">
        <f aca="false">C130-D130</f>
        <v>6.84709603203828</v>
      </c>
    </row>
    <row r="131" customFormat="false" ht="15" hidden="false" customHeight="false" outlineLevel="0" collapsed="false">
      <c r="A131" s="2" t="n">
        <v>120</v>
      </c>
      <c r="B131" s="13" t="n">
        <f aca="true">OFFSET(Datos!$B$1,1+$B$4+119,0)</f>
        <v>8.45399999999995</v>
      </c>
      <c r="C131" s="13" t="n">
        <f aca="true">OFFSET(Datos!$D$1,1+$B$4+119,0)</f>
        <v>157.547433712689</v>
      </c>
      <c r="D131" s="13" t="n">
        <f aca="true">OFFSET(Datos!$D$1,1+119,0)</f>
        <v>146.807590535808</v>
      </c>
      <c r="E131" s="13" t="n">
        <f aca="false">C131-D131</f>
        <v>10.7398431768813</v>
      </c>
    </row>
    <row r="132" customFormat="false" ht="15" hidden="false" customHeight="false" outlineLevel="0" collapsed="false">
      <c r="A132" s="2" t="n">
        <v>121</v>
      </c>
      <c r="B132" s="13" t="n">
        <f aca="true">OFFSET(Datos!$B$1,1+$B$4+120,0)</f>
        <v>8.50399999999991</v>
      </c>
      <c r="C132" s="13" t="n">
        <f aca="true">OFFSET(Datos!$D$1,1+$B$4+120,0)</f>
        <v>157.215604671011</v>
      </c>
      <c r="D132" s="13" t="n">
        <f aca="true">OFFSET(Datos!$D$1,1+120,0)</f>
        <v>148.013592859325</v>
      </c>
      <c r="E132" s="13" t="n">
        <f aca="false">C132-D132</f>
        <v>9.20201181168667</v>
      </c>
    </row>
    <row r="133" customFormat="false" ht="15" hidden="false" customHeight="false" outlineLevel="0" collapsed="false">
      <c r="A133" s="2" t="n">
        <v>122</v>
      </c>
      <c r="B133" s="13" t="n">
        <f aca="true">OFFSET(Datos!$B$1,1+$B$4+121,0)</f>
        <v>8.55399999999986</v>
      </c>
      <c r="C133" s="13" t="n">
        <f aca="true">OFFSET(Datos!$D$1,1+$B$4+121,0)</f>
        <v>151.224841649754</v>
      </c>
      <c r="D133" s="13" t="n">
        <f aca="true">OFFSET(Datos!$D$1,1+121,0)</f>
        <v>147.592562462357</v>
      </c>
      <c r="E133" s="13" t="n">
        <f aca="false">C133-D133</f>
        <v>3.63227918739707</v>
      </c>
    </row>
    <row r="134" customFormat="false" ht="15" hidden="false" customHeight="false" outlineLevel="0" collapsed="false">
      <c r="A134" s="2" t="n">
        <v>123</v>
      </c>
      <c r="B134" s="13" t="n">
        <f aca="true">OFFSET(Datos!$B$1,1+$B$4+122,0)</f>
        <v>8.60399999999981</v>
      </c>
      <c r="C134" s="13" t="n">
        <f aca="true">OFFSET(Datos!$D$1,1+$B$4+122,0)</f>
        <v>158.318133422392</v>
      </c>
      <c r="D134" s="13" t="n">
        <f aca="true">OFFSET(Datos!$D$1,1+122,0)</f>
        <v>146.689844746825</v>
      </c>
      <c r="E134" s="13" t="n">
        <f aca="false">C134-D134</f>
        <v>11.6282886755668</v>
      </c>
    </row>
    <row r="135" customFormat="false" ht="15" hidden="false" customHeight="false" outlineLevel="0" collapsed="false">
      <c r="A135" s="2" t="n">
        <v>124</v>
      </c>
      <c r="B135" s="13" t="n">
        <f aca="true">OFFSET(Datos!$B$1,1+$B$4+123,0)</f>
        <v>8.654</v>
      </c>
      <c r="C135" s="13" t="n">
        <f aca="true">OFFSET(Datos!$D$1,1+$B$4+123,0)</f>
        <v>153.661822676269</v>
      </c>
      <c r="D135" s="13" t="n">
        <f aca="true">OFFSET(Datos!$D$1,1+123,0)</f>
        <v>146.154636615087</v>
      </c>
      <c r="E135" s="13" t="n">
        <f aca="false">C135-D135</f>
        <v>7.50718606118215</v>
      </c>
    </row>
    <row r="136" customFormat="false" ht="15" hidden="false" customHeight="false" outlineLevel="0" collapsed="false">
      <c r="A136" s="2" t="n">
        <v>125</v>
      </c>
      <c r="B136" s="13" t="n">
        <f aca="true">OFFSET(Datos!$B$1,1+$B$4+124,0)</f>
        <v>8.70399999999995</v>
      </c>
      <c r="C136" s="13" t="n">
        <f aca="true">OFFSET(Datos!$D$1,1+$B$4+124,0)</f>
        <v>154.957026355076</v>
      </c>
      <c r="D136" s="13" t="n">
        <f aca="true">OFFSET(Datos!$D$1,1+124,0)</f>
        <v>148.434623256292</v>
      </c>
      <c r="E136" s="13" t="n">
        <f aca="false">C136-D136</f>
        <v>6.52240309878374</v>
      </c>
    </row>
    <row r="137" customFormat="false" ht="15" hidden="false" customHeight="false" outlineLevel="0" collapsed="false">
      <c r="A137" s="2" t="n">
        <v>126</v>
      </c>
      <c r="B137" s="13" t="n">
        <f aca="true">OFFSET(Datos!$B$1,1+$B$4+125,0)</f>
        <v>8.75399999999991</v>
      </c>
      <c r="C137" s="13" t="n">
        <f aca="true">OFFSET(Datos!$D$1,1+$B$4+125,0)</f>
        <v>152.826897990757</v>
      </c>
      <c r="D137" s="13" t="n">
        <f aca="true">OFFSET(Datos!$D$1,1+125,0)</f>
        <v>146.368719867782</v>
      </c>
      <c r="E137" s="13" t="n">
        <f aca="false">C137-D137</f>
        <v>6.45817812297511</v>
      </c>
    </row>
    <row r="138" customFormat="false" ht="15" hidden="false" customHeight="false" outlineLevel="0" collapsed="false">
      <c r="A138" s="2" t="n">
        <v>127</v>
      </c>
      <c r="B138" s="13" t="n">
        <f aca="true">OFFSET(Datos!$B$1,1+$B$4+126,0)</f>
        <v>8.80399999999986</v>
      </c>
      <c r="C138" s="13" t="n">
        <f aca="true">OFFSET(Datos!$D$1,1+$B$4+126,0)</f>
        <v>154.553836229166</v>
      </c>
      <c r="D138" s="13" t="n">
        <f aca="true">OFFSET(Datos!$D$1,1+126,0)</f>
        <v>146.600643391535</v>
      </c>
      <c r="E138" s="13" t="n">
        <f aca="false">C138-D138</f>
        <v>7.9531928376307</v>
      </c>
    </row>
    <row r="139" customFormat="false" ht="15" hidden="false" customHeight="false" outlineLevel="0" collapsed="false">
      <c r="A139" s="2" t="n">
        <v>128</v>
      </c>
      <c r="B139" s="13" t="n">
        <f aca="true">OFFSET(Datos!$B$1,1+$B$4+127,0)</f>
        <v>8.85399999999981</v>
      </c>
      <c r="C139" s="13" t="n">
        <f aca="true">OFFSET(Datos!$D$1,1+$B$4+127,0)</f>
        <v>151.977701088399</v>
      </c>
      <c r="D139" s="13" t="n">
        <f aca="true">OFFSET(Datos!$D$1,1+127,0)</f>
        <v>146.754069722634</v>
      </c>
      <c r="E139" s="13" t="n">
        <f aca="false">C139-D139</f>
        <v>5.22363136576553</v>
      </c>
    </row>
    <row r="140" customFormat="false" ht="15" hidden="false" customHeight="false" outlineLevel="0" collapsed="false">
      <c r="A140" s="2" t="n">
        <v>129</v>
      </c>
      <c r="B140" s="13" t="n">
        <f aca="true">OFFSET(Datos!$B$1,1+$B$4+128,0)</f>
        <v>8.904</v>
      </c>
      <c r="C140" s="13" t="n">
        <f aca="true">OFFSET(Datos!$D$1,1+$B$4+128,0)</f>
        <v>154.261255783816</v>
      </c>
      <c r="D140" s="13" t="n">
        <f aca="true">OFFSET(Datos!$D$1,1+128,0)</f>
        <v>146.668436421556</v>
      </c>
      <c r="E140" s="13" t="n">
        <f aca="false">C140-D140</f>
        <v>7.59281936226026</v>
      </c>
    </row>
    <row r="141" customFormat="false" ht="15" hidden="false" customHeight="false" outlineLevel="0" collapsed="false">
      <c r="A141" s="2" t="n">
        <v>130</v>
      </c>
      <c r="B141" s="13" t="n">
        <f aca="true">OFFSET(Datos!$B$1,1+$B$4+129,0)</f>
        <v>8.95399999999995</v>
      </c>
      <c r="C141" s="13" t="n">
        <f aca="true">OFFSET(Datos!$D$1,1+$B$4+129,0)</f>
        <v>149.176778532302</v>
      </c>
      <c r="D141" s="13" t="n">
        <f aca="true">OFFSET(Datos!$D$1,1+129,0)</f>
        <v>146.539986469938</v>
      </c>
      <c r="E141" s="13" t="n">
        <f aca="false">C141-D141</f>
        <v>2.63679206236387</v>
      </c>
    </row>
    <row r="142" customFormat="false" ht="15" hidden="false" customHeight="false" outlineLevel="0" collapsed="false">
      <c r="A142" s="2" t="n">
        <v>131</v>
      </c>
      <c r="B142" s="13" t="n">
        <f aca="true">OFFSET(Datos!$B$1,1+$B$4+130,0)</f>
        <v>9.00399999999991</v>
      </c>
      <c r="C142" s="13" t="n">
        <f aca="true">OFFSET(Datos!$D$1,1+$B$4+130,0)</f>
        <v>155.374488697832</v>
      </c>
      <c r="D142" s="13" t="n">
        <f aca="true">OFFSET(Datos!$D$1,1+130,0)</f>
        <v>146.486465656765</v>
      </c>
      <c r="E142" s="13" t="n">
        <f aca="false">C142-D142</f>
        <v>8.88802304106687</v>
      </c>
    </row>
    <row r="143" customFormat="false" ht="15" hidden="false" customHeight="false" outlineLevel="0" collapsed="false">
      <c r="A143" s="2" t="n">
        <v>132</v>
      </c>
      <c r="B143" s="13" t="n">
        <f aca="true">OFFSET(Datos!$B$1,1+$B$4+131,0)</f>
        <v>9.05399999999986</v>
      </c>
      <c r="C143" s="13" t="n">
        <f aca="true">OFFSET(Datos!$D$1,1+$B$4+131,0)</f>
        <v>150.825219578056</v>
      </c>
      <c r="D143" s="13" t="n">
        <f aca="true">OFFSET(Datos!$D$1,1+131,0)</f>
        <v>146.647028096286</v>
      </c>
      <c r="E143" s="13" t="n">
        <f aca="false">C143-D143</f>
        <v>4.17819148177011</v>
      </c>
    </row>
    <row r="144" customFormat="false" ht="15" hidden="false" customHeight="false" outlineLevel="0" collapsed="false">
      <c r="A144" s="2" t="n">
        <v>133</v>
      </c>
      <c r="B144" s="13" t="n">
        <f aca="true">OFFSET(Datos!$B$1,1+$B$4+132,0)</f>
        <v>9.10399999999981</v>
      </c>
      <c r="C144" s="13" t="n">
        <f aca="true">OFFSET(Datos!$D$1,1+$B$4+132,0)</f>
        <v>147.728148522397</v>
      </c>
      <c r="D144" s="13" t="n">
        <f aca="true">OFFSET(Datos!$D$1,1+132,0)</f>
        <v>144.713142713605</v>
      </c>
      <c r="E144" s="13" t="n">
        <f aca="false">C144-D144</f>
        <v>3.01500580879227</v>
      </c>
    </row>
    <row r="145" customFormat="false" ht="15" hidden="false" customHeight="false" outlineLevel="0" collapsed="false">
      <c r="A145" s="2" t="n">
        <v>134</v>
      </c>
      <c r="B145" s="13" t="n">
        <f aca="true">OFFSET(Datos!$B$1,1+$B$4+133,0)</f>
        <v>9.154</v>
      </c>
      <c r="C145" s="13" t="n">
        <f aca="true">OFFSET(Datos!$D$1,1+$B$4+133,0)</f>
        <v>148.224108057808</v>
      </c>
      <c r="D145" s="13" t="n">
        <f aca="true">OFFSET(Datos!$D$1,1+133,0)</f>
        <v>146.311631000397</v>
      </c>
      <c r="E145" s="13" t="n">
        <f aca="false">C145-D145</f>
        <v>1.91247705741142</v>
      </c>
    </row>
    <row r="146" customFormat="false" ht="15" hidden="false" customHeight="false" outlineLevel="0" collapsed="false">
      <c r="A146" s="2" t="n">
        <v>135</v>
      </c>
      <c r="B146" s="13" t="n">
        <f aca="true">OFFSET(Datos!$B$1,1+$B$4+134,0)</f>
        <v>9.20399999999995</v>
      </c>
      <c r="C146" s="13" t="n">
        <f aca="true">OFFSET(Datos!$D$1,1+$B$4+134,0)</f>
        <v>154.357593247529</v>
      </c>
      <c r="D146" s="13" t="n">
        <f aca="true">OFFSET(Datos!$D$1,1+134,0)</f>
        <v>147.103739035369</v>
      </c>
      <c r="E146" s="13" t="n">
        <f aca="false">C146-D146</f>
        <v>7.25385421215935</v>
      </c>
    </row>
    <row r="147" customFormat="false" ht="15" hidden="false" customHeight="false" outlineLevel="0" collapsed="false">
      <c r="A147" s="2" t="n">
        <v>136</v>
      </c>
      <c r="B147" s="13" t="n">
        <f aca="true">OFFSET(Datos!$B$1,1+$B$4+135,0)</f>
        <v>9.25399999999991</v>
      </c>
      <c r="C147" s="13" t="n">
        <f aca="true">OFFSET(Datos!$D$1,1+$B$4+135,0)</f>
        <v>148.859221707471</v>
      </c>
      <c r="D147" s="13" t="n">
        <f aca="true">OFFSET(Datos!$D$1,1+135,0)</f>
        <v>146.597075337324</v>
      </c>
      <c r="E147" s="13" t="n">
        <f aca="false">C147-D147</f>
        <v>2.26214637014709</v>
      </c>
    </row>
    <row r="148" customFormat="false" ht="15" hidden="false" customHeight="false" outlineLevel="0" collapsed="false">
      <c r="A148" s="2" t="n">
        <v>137</v>
      </c>
      <c r="B148" s="13" t="n">
        <f aca="true">OFFSET(Datos!$B$1,1+$B$4+136,0)</f>
        <v>9.30399999999986</v>
      </c>
      <c r="C148" s="13" t="n">
        <f aca="true">OFFSET(Datos!$D$1,1+$B$4+136,0)</f>
        <v>150.104472627315</v>
      </c>
      <c r="D148" s="13" t="n">
        <f aca="true">OFFSET(Datos!$D$1,1+136,0)</f>
        <v>146.45435316886</v>
      </c>
      <c r="E148" s="13" t="n">
        <f aca="false">C148-D148</f>
        <v>3.65011945845501</v>
      </c>
    </row>
    <row r="149" customFormat="false" ht="15" hidden="false" customHeight="false" outlineLevel="0" collapsed="false">
      <c r="A149" s="2" t="n">
        <v>138</v>
      </c>
      <c r="B149" s="13" t="n">
        <f aca="true">OFFSET(Datos!$B$1,1+$B$4+137,0)</f>
        <v>9.35399999999981</v>
      </c>
      <c r="C149" s="13" t="n">
        <f aca="true">OFFSET(Datos!$D$1,1+$B$4+137,0)</f>
        <v>153.654686567846</v>
      </c>
      <c r="D149" s="13" t="n">
        <f aca="true">OFFSET(Datos!$D$1,1+137,0)</f>
        <v>145.876328386583</v>
      </c>
      <c r="E149" s="13" t="n">
        <f aca="false">C149-D149</f>
        <v>7.77835818126286</v>
      </c>
    </row>
    <row r="150" customFormat="false" ht="15" hidden="false" customHeight="false" outlineLevel="0" collapsed="false">
      <c r="A150" s="2" t="n">
        <v>139</v>
      </c>
      <c r="B150" s="13" t="n">
        <f aca="true">OFFSET(Datos!$B$1,1+$B$4+138,0)</f>
        <v>9.40499999999997</v>
      </c>
      <c r="C150" s="13" t="n">
        <f aca="true">OFFSET(Datos!$D$1,1+$B$4+138,0)</f>
        <v>156.013170401706</v>
      </c>
      <c r="D150" s="13" t="n">
        <f aca="true">OFFSET(Datos!$D$1,1+138,0)</f>
        <v>146.550690632573</v>
      </c>
      <c r="E150" s="13" t="n">
        <f aca="false">C150-D150</f>
        <v>9.46247976913261</v>
      </c>
    </row>
    <row r="151" customFormat="false" ht="15" hidden="false" customHeight="false" outlineLevel="0" collapsed="false">
      <c r="A151" s="2" t="n">
        <v>140</v>
      </c>
      <c r="B151" s="13" t="n">
        <f aca="true">OFFSET(Datos!$B$1,1+$B$4+139,0)</f>
        <v>9.45499999999993</v>
      </c>
      <c r="C151" s="13" t="n">
        <f aca="true">OFFSET(Datos!$D$1,1+$B$4+139,0)</f>
        <v>151.55310263722</v>
      </c>
      <c r="D151" s="13" t="n">
        <f aca="true">OFFSET(Datos!$D$1,1+139,0)</f>
        <v>145.551635453328</v>
      </c>
      <c r="E151" s="13" t="n">
        <f aca="false">C151-D151</f>
        <v>6.00146718389181</v>
      </c>
    </row>
    <row r="152" customFormat="false" ht="15" hidden="false" customHeight="false" outlineLevel="0" collapsed="false">
      <c r="A152" s="2" t="n">
        <v>141</v>
      </c>
      <c r="B152" s="13" t="n">
        <f aca="true">OFFSET(Datos!$B$1,1+$B$4+140,0)</f>
        <v>9.50499999999988</v>
      </c>
      <c r="C152" s="13" t="n">
        <f aca="true">OFFSET(Datos!$D$1,1+$B$4+140,0)</f>
        <v>150.714609897497</v>
      </c>
      <c r="D152" s="13" t="n">
        <f aca="true">OFFSET(Datos!$D$1,1+140,0)</f>
        <v>146.393696247263</v>
      </c>
      <c r="E152" s="13" t="n">
        <f aca="false">C152-D152</f>
        <v>4.32091365023362</v>
      </c>
    </row>
    <row r="153" customFormat="false" ht="15" hidden="false" customHeight="false" outlineLevel="0" collapsed="false">
      <c r="A153" s="2" t="n">
        <v>142</v>
      </c>
      <c r="B153" s="13" t="n">
        <f aca="true">OFFSET(Datos!$B$1,1+$B$4+141,0)</f>
        <v>9.55499999999984</v>
      </c>
      <c r="C153" s="13" t="n">
        <f aca="true">OFFSET(Datos!$D$1,1+$B$4+141,0)</f>
        <v>152.120423256863</v>
      </c>
      <c r="D153" s="13" t="n">
        <f aca="true">OFFSET(Datos!$D$1,1+141,0)</f>
        <v>145.515954911213</v>
      </c>
      <c r="E153" s="13" t="n">
        <f aca="false">C153-D153</f>
        <v>6.60446834565028</v>
      </c>
    </row>
    <row r="154" customFormat="false" ht="15" hidden="false" customHeight="false" outlineLevel="0" collapsed="false">
      <c r="A154" s="2" t="n">
        <v>143</v>
      </c>
      <c r="B154" s="13" t="n">
        <f aca="true">OFFSET(Datos!$B$1,1+$B$4+142,0)</f>
        <v>9.60500000000002</v>
      </c>
      <c r="C154" s="13" t="n">
        <f aca="true">OFFSET(Datos!$D$1,1+$B$4+142,0)</f>
        <v>153.32642558038</v>
      </c>
      <c r="D154" s="13" t="n">
        <f aca="true">OFFSET(Datos!$D$1,1+142,0)</f>
        <v>146.878951620039</v>
      </c>
      <c r="E154" s="13" t="n">
        <f aca="false">C154-D154</f>
        <v>6.44747396034038</v>
      </c>
    </row>
    <row r="155" customFormat="false" ht="15" hidden="false" customHeight="false" outlineLevel="0" collapsed="false">
      <c r="A155" s="2" t="n">
        <v>144</v>
      </c>
      <c r="B155" s="13" t="n">
        <f aca="true">OFFSET(Datos!$B$1,1+$B$4+143,0)</f>
        <v>9.65499999999997</v>
      </c>
      <c r="C155" s="13" t="n">
        <f aca="true">OFFSET(Datos!$D$1,1+$B$4+143,0)</f>
        <v>152.912531291835</v>
      </c>
      <c r="D155" s="13" t="n">
        <f aca="true">OFFSET(Datos!$D$1,1+143,0)</f>
        <v>145.93698530818</v>
      </c>
      <c r="E155" s="13" t="n">
        <f aca="false">C155-D155</f>
        <v>6.97554598365548</v>
      </c>
    </row>
    <row r="156" customFormat="false" ht="15" hidden="false" customHeight="false" outlineLevel="0" collapsed="false">
      <c r="A156" s="2" t="n">
        <v>145</v>
      </c>
      <c r="B156" s="13" t="n">
        <f aca="true">OFFSET(Datos!$B$1,1+$B$4+144,0)</f>
        <v>9.70499999999993</v>
      </c>
      <c r="C156" s="13" t="n">
        <f aca="true">OFFSET(Datos!$D$1,1+$B$4+144,0)</f>
        <v>154.243415512758</v>
      </c>
      <c r="D156" s="13" t="n">
        <f aca="true">OFFSET(Datos!$D$1,1+144,0)</f>
        <v>147.581858299722</v>
      </c>
      <c r="E156" s="13" t="n">
        <f aca="false">C156-D156</f>
        <v>6.66155721303571</v>
      </c>
    </row>
    <row r="157" customFormat="false" ht="15" hidden="false" customHeight="false" outlineLevel="0" collapsed="false">
      <c r="A157" s="2" t="n">
        <v>146</v>
      </c>
      <c r="B157" s="13" t="n">
        <f aca="true">OFFSET(Datos!$B$1,1+$B$4+145,0)</f>
        <v>9.75499999999988</v>
      </c>
      <c r="C157" s="13" t="n">
        <f aca="true">OFFSET(Datos!$D$1,1+$B$4+145,0)</f>
        <v>154.903505541902</v>
      </c>
      <c r="D157" s="13" t="n">
        <f aca="true">OFFSET(Datos!$D$1,1+145,0)</f>
        <v>148.327581629944</v>
      </c>
      <c r="E157" s="13" t="n">
        <f aca="false">C157-D157</f>
        <v>6.57592391195755</v>
      </c>
    </row>
    <row r="158" customFormat="false" ht="15" hidden="false" customHeight="false" outlineLevel="0" collapsed="false">
      <c r="A158" s="2" t="n">
        <v>147</v>
      </c>
      <c r="B158" s="13" t="n">
        <f aca="true">OFFSET(Datos!$B$1,1+$B$4+146,0)</f>
        <v>9.80499999999984</v>
      </c>
      <c r="C158" s="13" t="n">
        <f aca="true">OFFSET(Datos!$D$1,1+$B$4+146,0)</f>
        <v>153.879473983176</v>
      </c>
      <c r="D158" s="13" t="n">
        <f aca="true">OFFSET(Datos!$D$1,1+146,0)</f>
        <v>149.744099151945</v>
      </c>
      <c r="E158" s="13" t="n">
        <f aca="false">C158-D158</f>
        <v>4.13537483123102</v>
      </c>
    </row>
    <row r="159" customFormat="false" ht="15" hidden="false" customHeight="false" outlineLevel="0" collapsed="false">
      <c r="A159" s="2" t="n">
        <v>148</v>
      </c>
      <c r="B159" s="13" t="n">
        <f aca="true">OFFSET(Datos!$B$1,1+$B$4+147,0)</f>
        <v>9.85500000000002</v>
      </c>
      <c r="C159" s="13" t="n">
        <f aca="true">OFFSET(Datos!$D$1,1+$B$4+147,0)</f>
        <v>158.682074951974</v>
      </c>
      <c r="D159" s="13" t="n">
        <f aca="true">OFFSET(Datos!$D$1,1+147,0)</f>
        <v>148.994807767511</v>
      </c>
      <c r="E159" s="13" t="n">
        <f aca="false">C159-D159</f>
        <v>9.68726718446271</v>
      </c>
    </row>
    <row r="160" customFormat="false" ht="15" hidden="false" customHeight="false" outlineLevel="0" collapsed="false">
      <c r="A160" s="2" t="n">
        <v>149</v>
      </c>
      <c r="B160" s="13" t="n">
        <f aca="true">OFFSET(Datos!$B$1,1+$B$4+148,0)</f>
        <v>9.90499999999997</v>
      </c>
      <c r="C160" s="13" t="n">
        <f aca="true">OFFSET(Datos!$D$1,1+$B$4+148,0)</f>
        <v>154.468202928088</v>
      </c>
      <c r="D160" s="13" t="n">
        <f aca="true">OFFSET(Datos!$D$1,1+148,0)</f>
        <v>151.157048619734</v>
      </c>
      <c r="E160" s="13" t="n">
        <f aca="false">C160-D160</f>
        <v>3.31115430835413</v>
      </c>
    </row>
    <row r="161" customFormat="false" ht="15" hidden="false" customHeight="false" outlineLevel="0" collapsed="false">
      <c r="A161" s="2" t="n">
        <v>150</v>
      </c>
      <c r="B161" s="13" t="n">
        <f aca="true">OFFSET(Datos!$B$1,1+$B$4+149,0)</f>
        <v>9.95499999999993</v>
      </c>
      <c r="C161" s="13" t="n">
        <f aca="true">OFFSET(Datos!$D$1,1+$B$4+149,0)</f>
        <v>156.33786333496</v>
      </c>
      <c r="D161" s="13" t="n">
        <f aca="true">OFFSET(Datos!$D$1,1+149,0)</f>
        <v>149.776211639849</v>
      </c>
      <c r="E161" s="13" t="n">
        <f aca="false">C161-D161</f>
        <v>6.56165169511121</v>
      </c>
    </row>
    <row r="162" customFormat="false" ht="15" hidden="false" customHeight="false" outlineLevel="0" collapsed="false">
      <c r="A162" s="2" t="n">
        <v>151</v>
      </c>
      <c r="B162" s="13" t="n">
        <f aca="true">OFFSET(Datos!$B$1,1+$B$4+150,0)</f>
        <v>10.0049999999999</v>
      </c>
      <c r="C162" s="13" t="n">
        <f aca="true">OFFSET(Datos!$D$1,1+$B$4+150,0)</f>
        <v>155.827631582703</v>
      </c>
      <c r="D162" s="13" t="n">
        <f aca="true">OFFSET(Datos!$D$1,1+150,0)</f>
        <v>150.939397312827</v>
      </c>
      <c r="E162" s="13" t="n">
        <f aca="false">C162-D162</f>
        <v>4.88823426987622</v>
      </c>
    </row>
    <row r="163" customFormat="false" ht="15" hidden="false" customHeight="false" outlineLevel="0" collapsed="false">
      <c r="A163" s="2" t="n">
        <v>152</v>
      </c>
      <c r="B163" s="13" t="n">
        <f aca="true">OFFSET(Datos!$B$1,1+$B$4+151,0)</f>
        <v>10.0549999999998</v>
      </c>
      <c r="C163" s="13" t="n">
        <f aca="true">OFFSET(Datos!$D$1,1+$B$4+151,0)</f>
        <v>166.128604091559</v>
      </c>
      <c r="D163" s="13" t="n">
        <f aca="true">OFFSET(Datos!$D$1,1+151,0)</f>
        <v>151.146344457099</v>
      </c>
      <c r="E163" s="13" t="n">
        <f aca="false">C163-D163</f>
        <v>14.98225963446</v>
      </c>
    </row>
    <row r="164" customFormat="false" ht="15" hidden="false" customHeight="false" outlineLevel="0" collapsed="false">
      <c r="A164" s="2" t="n">
        <v>153</v>
      </c>
      <c r="B164" s="13" t="n">
        <f aca="true">OFFSET(Datos!$B$1,1+$B$4+152,0)</f>
        <v>10.105</v>
      </c>
      <c r="C164" s="13" t="n">
        <f aca="true">OFFSET(Datos!$D$1,1+$B$4+152,0)</f>
        <v>155.602844167373</v>
      </c>
      <c r="D164" s="13" t="n">
        <f aca="true">OFFSET(Datos!$D$1,1+152,0)</f>
        <v>149.918933808313</v>
      </c>
      <c r="E164" s="13" t="n">
        <f aca="false">C164-D164</f>
        <v>5.68391035906043</v>
      </c>
    </row>
    <row r="165" customFormat="false" ht="15" hidden="false" customHeight="false" outlineLevel="0" collapsed="false">
      <c r="A165" s="2" t="n">
        <v>154</v>
      </c>
      <c r="B165" s="13" t="n">
        <f aca="true">OFFSET(Datos!$B$1,1+$B$4+153,0)</f>
        <v>10.155</v>
      </c>
      <c r="C165" s="13" t="n">
        <f aca="true">OFFSET(Datos!$D$1,1+$B$4+153,0)</f>
        <v>160.230610479803</v>
      </c>
      <c r="D165" s="13" t="n">
        <f aca="true">OFFSET(Datos!$D$1,1+153,0)</f>
        <v>151.132072240253</v>
      </c>
      <c r="E165" s="13" t="n">
        <f aca="false">C165-D165</f>
        <v>9.09853823955061</v>
      </c>
    </row>
    <row r="166" customFormat="false" ht="15" hidden="false" customHeight="false" outlineLevel="0" collapsed="false">
      <c r="A166" s="2" t="n">
        <v>155</v>
      </c>
      <c r="B166" s="13" t="n">
        <f aca="true">OFFSET(Datos!$B$1,1+$B$4+154,0)</f>
        <v>10.2049999999999</v>
      </c>
      <c r="C166" s="13" t="n">
        <f aca="true">OFFSET(Datos!$D$1,1+$B$4+154,0)</f>
        <v>158.646394409858</v>
      </c>
      <c r="D166" s="13" t="n">
        <f aca="true">OFFSET(Datos!$D$1,1+154,0)</f>
        <v>151.367563818218</v>
      </c>
      <c r="E166" s="13" t="n">
        <f aca="false">C166-D166</f>
        <v>7.27883059164049</v>
      </c>
    </row>
    <row r="167" customFormat="false" ht="15" hidden="false" customHeight="false" outlineLevel="0" collapsed="false">
      <c r="A167" s="2" t="n">
        <v>156</v>
      </c>
      <c r="B167" s="13" t="n">
        <f aca="true">OFFSET(Datos!$B$1,1+$B$4+155,0)</f>
        <v>10.2549999999999</v>
      </c>
      <c r="C167" s="13" t="n">
        <f aca="true">OFFSET(Datos!$D$1,1+$B$4+155,0)</f>
        <v>154.08998918166</v>
      </c>
      <c r="D167" s="13" t="n">
        <f aca="true">OFFSET(Datos!$D$1,1+155,0)</f>
        <v>151.738641456223</v>
      </c>
      <c r="E167" s="13" t="n">
        <f aca="false">C167-D167</f>
        <v>2.3513477254368</v>
      </c>
    </row>
    <row r="168" customFormat="false" ht="15" hidden="false" customHeight="false" outlineLevel="0" collapsed="false">
      <c r="A168" s="2" t="n">
        <v>157</v>
      </c>
      <c r="B168" s="13" t="n">
        <f aca="true">OFFSET(Datos!$B$1,1+$B$4+156,0)</f>
        <v>10.3049999999998</v>
      </c>
      <c r="C168" s="13" t="n">
        <f aca="true">OFFSET(Datos!$D$1,1+$B$4+156,0)</f>
        <v>158.903294313093</v>
      </c>
      <c r="D168" s="13" t="n">
        <f aca="true">OFFSET(Datos!$D$1,1+156,0)</f>
        <v>150.703905734862</v>
      </c>
      <c r="E168" s="13" t="n">
        <f aca="false">C168-D168</f>
        <v>8.1993885782303</v>
      </c>
    </row>
    <row r="169" customFormat="false" ht="15" hidden="false" customHeight="false" outlineLevel="0" collapsed="false">
      <c r="A169" s="2" t="n">
        <v>158</v>
      </c>
      <c r="B169" s="13" t="n">
        <f aca="true">OFFSET(Datos!$B$1,1+$B$4+157,0)</f>
        <v>10.355</v>
      </c>
      <c r="C169" s="13" t="n">
        <f aca="true">OFFSET(Datos!$D$1,1+$B$4+157,0)</f>
        <v>157.433255977918</v>
      </c>
      <c r="D169" s="13" t="n">
        <f aca="true">OFFSET(Datos!$D$1,1+157,0)</f>
        <v>153.469147748843</v>
      </c>
      <c r="E169" s="13" t="n">
        <f aca="false">C169-D169</f>
        <v>3.96410822907478</v>
      </c>
    </row>
    <row r="170" customFormat="false" ht="15" hidden="false" customHeight="false" outlineLevel="0" collapsed="false">
      <c r="A170" s="2" t="n">
        <v>159</v>
      </c>
      <c r="B170" s="13" t="n">
        <f aca="true">OFFSET(Datos!$B$1,1+$B$4+158,0)</f>
        <v>10.405</v>
      </c>
      <c r="C170" s="13" t="n">
        <f aca="true">OFFSET(Datos!$D$1,1+$B$4+158,0)</f>
        <v>159.39211774008</v>
      </c>
      <c r="D170" s="13" t="n">
        <f aca="true">OFFSET(Datos!$D$1,1+158,0)</f>
        <v>152.555725870677</v>
      </c>
      <c r="E170" s="13" t="n">
        <f aca="false">C170-D170</f>
        <v>6.83639186940351</v>
      </c>
    </row>
    <row r="171" customFormat="false" ht="15" hidden="false" customHeight="false" outlineLevel="0" collapsed="false">
      <c r="A171" s="2" t="n">
        <v>160</v>
      </c>
      <c r="B171" s="13" t="n">
        <f aca="true">OFFSET(Datos!$B$1,1+$B$4+159,0)</f>
        <v>10.4549999999999</v>
      </c>
      <c r="C171" s="13" t="n">
        <f aca="true">OFFSET(Datos!$D$1,1+$B$4+159,0)</f>
        <v>159.117377565788</v>
      </c>
      <c r="D171" s="13" t="n">
        <f aca="true">OFFSET(Datos!$D$1,1+159,0)</f>
        <v>153.105206219261</v>
      </c>
      <c r="E171" s="13" t="n">
        <f aca="false">C171-D171</f>
        <v>6.01217134652657</v>
      </c>
    </row>
    <row r="172" customFormat="false" ht="15" hidden="false" customHeight="false" outlineLevel="0" collapsed="false">
      <c r="A172" s="2" t="n">
        <v>161</v>
      </c>
      <c r="B172" s="13" t="n">
        <f aca="true">OFFSET(Datos!$B$1,1+$B$4+160,0)</f>
        <v>10.5049999999999</v>
      </c>
      <c r="C172" s="13" t="n">
        <f aca="true">OFFSET(Datos!$D$1,1+$B$4+160,0)</f>
        <v>160.22347437138</v>
      </c>
      <c r="D172" s="13" t="n">
        <f aca="true">OFFSET(Datos!$D$1,1+160,0)</f>
        <v>154.172054428526</v>
      </c>
      <c r="E172" s="13" t="n">
        <f aca="false">C172-D172</f>
        <v>6.05141994285407</v>
      </c>
    </row>
    <row r="173" customFormat="false" ht="15" hidden="false" customHeight="false" outlineLevel="0" collapsed="false">
      <c r="A173" s="2" t="n">
        <v>162</v>
      </c>
      <c r="B173" s="13" t="n">
        <f aca="true">OFFSET(Datos!$B$1,1+$B$4+161,0)</f>
        <v>10.5549999999998</v>
      </c>
      <c r="C173" s="13" t="n">
        <f aca="true">OFFSET(Datos!$D$1,1+$B$4+161,0)</f>
        <v>155.228198475156</v>
      </c>
      <c r="D173" s="13" t="n">
        <f aca="true">OFFSET(Datos!$D$1,1+161,0)</f>
        <v>150.443437777416</v>
      </c>
      <c r="E173" s="13" t="n">
        <f aca="false">C173-D173</f>
        <v>4.78476069774015</v>
      </c>
    </row>
    <row r="174" customFormat="false" ht="15" hidden="false" customHeight="false" outlineLevel="0" collapsed="false">
      <c r="A174" s="2" t="n">
        <v>163</v>
      </c>
      <c r="B174" s="13" t="n">
        <f aca="true">OFFSET(Datos!$B$1,1+$B$4+162,0)</f>
        <v>10.605</v>
      </c>
      <c r="C174" s="13" t="n">
        <f aca="true">OFFSET(Datos!$D$1,1+$B$4+162,0)</f>
        <v>157.822173886981</v>
      </c>
      <c r="D174" s="13" t="n">
        <f aca="true">OFFSET(Datos!$D$1,1+162,0)</f>
        <v>155.602844167373</v>
      </c>
      <c r="E174" s="13" t="n">
        <f aca="false">C174-D174</f>
        <v>2.21932971960803</v>
      </c>
    </row>
    <row r="175" customFormat="false" ht="15" hidden="false" customHeight="false" outlineLevel="0" collapsed="false">
      <c r="A175" s="2" t="n">
        <v>164</v>
      </c>
      <c r="B175" s="13" t="n">
        <f aca="true">OFFSET(Datos!$B$1,1+$B$4+163,0)</f>
        <v>10.655</v>
      </c>
      <c r="C175" s="13" t="n">
        <f aca="true">OFFSET(Datos!$D$1,1+$B$4+163,0)</f>
        <v>164.33387282313</v>
      </c>
      <c r="D175" s="13" t="n">
        <f aca="true">OFFSET(Datos!$D$1,1+163,0)</f>
        <v>156.262934196517</v>
      </c>
      <c r="E175" s="13" t="n">
        <f aca="false">C175-D175</f>
        <v>8.0709386266131</v>
      </c>
    </row>
    <row r="176" customFormat="false" ht="15" hidden="false" customHeight="false" outlineLevel="0" collapsed="false">
      <c r="A176" s="2" t="n">
        <v>165</v>
      </c>
      <c r="B176" s="13" t="n">
        <f aca="true">OFFSET(Datos!$B$1,1+$B$4+164,0)</f>
        <v>10.7049999999999</v>
      </c>
      <c r="C176" s="13" t="n">
        <f aca="true">OFFSET(Datos!$D$1,1+$B$4+164,0)</f>
        <v>154.296936325932</v>
      </c>
      <c r="D176" s="13" t="n">
        <f aca="true">OFFSET(Datos!$D$1,1+164,0)</f>
        <v>156.466313286578</v>
      </c>
      <c r="E176" s="13" t="n">
        <f aca="false">C176-D176</f>
        <v>-2.16937696064579</v>
      </c>
    </row>
    <row r="177" customFormat="false" ht="15" hidden="false" customHeight="false" outlineLevel="0" collapsed="false">
      <c r="A177" s="2" t="n">
        <v>166</v>
      </c>
      <c r="B177" s="13" t="n">
        <f aca="true">OFFSET(Datos!$B$1,1+$B$4+165,0)</f>
        <v>10.7549999999999</v>
      </c>
      <c r="C177" s="13" t="n">
        <f aca="true">OFFSET(Datos!$D$1,1+$B$4+165,0)</f>
        <v>157.583114254805</v>
      </c>
      <c r="D177" s="13" t="n">
        <f aca="true">OFFSET(Datos!$D$1,1+165,0)</f>
        <v>153.658254622057</v>
      </c>
      <c r="E177" s="13" t="n">
        <f aca="false">C177-D177</f>
        <v>3.92485963274731</v>
      </c>
    </row>
    <row r="178" customFormat="false" ht="15" hidden="false" customHeight="false" outlineLevel="0" collapsed="false">
      <c r="A178" s="2" t="n">
        <v>167</v>
      </c>
      <c r="B178" s="13" t="n">
        <f aca="true">OFFSET(Datos!$B$1,1+$B$4+166,0)</f>
        <v>10.8049999999998</v>
      </c>
      <c r="C178" s="13" t="n">
        <f aca="true">OFFSET(Datos!$D$1,1+$B$4+166,0)</f>
        <v>160.095024419763</v>
      </c>
      <c r="D178" s="13" t="n">
        <f aca="true">OFFSET(Datos!$D$1,1+166,0)</f>
        <v>155.966785696955</v>
      </c>
      <c r="E178" s="13" t="n">
        <f aca="false">C178-D178</f>
        <v>4.12823872280785</v>
      </c>
    </row>
    <row r="179" customFormat="false" ht="15" hidden="false" customHeight="false" outlineLevel="0" collapsed="false">
      <c r="A179" s="2" t="n">
        <v>168</v>
      </c>
      <c r="B179" s="13" t="n">
        <f aca="true">OFFSET(Datos!$B$1,1+$B$4+167,0)</f>
        <v>10.855</v>
      </c>
      <c r="C179" s="13" t="n">
        <f aca="true">OFFSET(Datos!$D$1,1+$B$4+167,0)</f>
        <v>160.473238166191</v>
      </c>
      <c r="D179" s="13" t="n">
        <f aca="true">OFFSET(Datos!$D$1,1+167,0)</f>
        <v>160.084320257128</v>
      </c>
      <c r="E179" s="13" t="n">
        <f aca="false">C179-D179</f>
        <v>0.388917909063139</v>
      </c>
    </row>
    <row r="180" customFormat="false" ht="15" hidden="false" customHeight="false" outlineLevel="0" collapsed="false">
      <c r="A180" s="2" t="n">
        <v>169</v>
      </c>
      <c r="B180" s="13" t="n">
        <f aca="true">OFFSET(Datos!$B$1,1+$B$4+168,0)</f>
        <v>10.905</v>
      </c>
      <c r="C180" s="13" t="n">
        <f aca="true">OFFSET(Datos!$D$1,1+$B$4+168,0)</f>
        <v>158.40376672347</v>
      </c>
      <c r="D180" s="13" t="n">
        <f aca="true">OFFSET(Datos!$D$1,1+168,0)</f>
        <v>153.833089278425</v>
      </c>
      <c r="E180" s="13" t="n">
        <f aca="false">C180-D180</f>
        <v>4.57067744504482</v>
      </c>
    </row>
    <row r="181" customFormat="false" ht="15" hidden="false" customHeight="false" outlineLevel="0" collapsed="false">
      <c r="A181" s="2" t="n">
        <v>170</v>
      </c>
      <c r="B181" s="13" t="n">
        <f aca="true">OFFSET(Datos!$B$1,1+$B$4+169,0)</f>
        <v>10.9549999999999</v>
      </c>
      <c r="C181" s="13" t="n">
        <f aca="true">OFFSET(Datos!$D$1,1+$B$4+169,0)</f>
        <v>165.293679406047</v>
      </c>
      <c r="D181" s="13" t="n">
        <f aca="true">OFFSET(Datos!$D$1,1+169,0)</f>
        <v>157.547433712689</v>
      </c>
      <c r="E181" s="13" t="n">
        <f aca="false">C181-D181</f>
        <v>7.74624569335856</v>
      </c>
    </row>
    <row r="182" customFormat="false" ht="15" hidden="false" customHeight="false" outlineLevel="0" collapsed="false">
      <c r="A182" s="2" t="n">
        <v>171</v>
      </c>
      <c r="B182" s="13" t="n">
        <f aca="true">OFFSET(Datos!$B$1,1+$B$4+170,0)</f>
        <v>11.0049999999999</v>
      </c>
      <c r="C182" s="13" t="n">
        <f aca="true">OFFSET(Datos!$D$1,1+$B$4+170,0)</f>
        <v>160.237746588227</v>
      </c>
      <c r="D182" s="13" t="n">
        <f aca="true">OFFSET(Datos!$D$1,1+170,0)</f>
        <v>157.215604671011</v>
      </c>
      <c r="E182" s="13" t="n">
        <f aca="false">C182-D182</f>
        <v>3.02214191721544</v>
      </c>
    </row>
    <row r="183" customFormat="false" ht="15" hidden="false" customHeight="false" outlineLevel="0" collapsed="false">
      <c r="A183" s="2" t="n">
        <v>172</v>
      </c>
      <c r="B183" s="13" t="n">
        <f aca="true">OFFSET(Datos!$B$1,1+$B$4+171,0)</f>
        <v>11.0549999999998</v>
      </c>
      <c r="C183" s="13" t="n">
        <f aca="true">OFFSET(Datos!$D$1,1+$B$4+171,0)</f>
        <v>162.885242813225</v>
      </c>
      <c r="D183" s="13" t="n">
        <f aca="true">OFFSET(Datos!$D$1,1+171,0)</f>
        <v>151.224841649754</v>
      </c>
      <c r="E183" s="13" t="n">
        <f aca="false">C183-D183</f>
        <v>11.6604011634711</v>
      </c>
    </row>
    <row r="184" customFormat="false" ht="15" hidden="false" customHeight="false" outlineLevel="0" collapsed="false">
      <c r="A184" s="2" t="n">
        <v>173</v>
      </c>
      <c r="B184" s="13" t="n">
        <f aca="true">OFFSET(Datos!$B$1,1+$B$4+172,0)</f>
        <v>11.105</v>
      </c>
      <c r="C184" s="13" t="n">
        <f aca="true">OFFSET(Datos!$D$1,1+$B$4+172,0)</f>
        <v>159.067424806826</v>
      </c>
      <c r="D184" s="13" t="n">
        <f aca="true">OFFSET(Datos!$D$1,1+172,0)</f>
        <v>158.318133422392</v>
      </c>
      <c r="E184" s="13" t="n">
        <f aca="false">C184-D184</f>
        <v>0.749291384433576</v>
      </c>
    </row>
    <row r="185" customFormat="false" ht="15" hidden="false" customHeight="false" outlineLevel="0" collapsed="false">
      <c r="A185" s="2" t="n">
        <v>174</v>
      </c>
      <c r="B185" s="13" t="n">
        <f aca="true">OFFSET(Datos!$B$1,1+$B$4+173,0)</f>
        <v>11.155</v>
      </c>
      <c r="C185" s="13" t="n">
        <f aca="true">OFFSET(Datos!$D$1,1+$B$4+173,0)</f>
        <v>159.806012028624</v>
      </c>
      <c r="D185" s="13" t="n">
        <f aca="true">OFFSET(Datos!$D$1,1+173,0)</f>
        <v>153.661822676269</v>
      </c>
      <c r="E185" s="13" t="n">
        <f aca="false">C185-D185</f>
        <v>6.14418935235534</v>
      </c>
    </row>
    <row r="186" customFormat="false" ht="15" hidden="false" customHeight="false" outlineLevel="0" collapsed="false">
      <c r="A186" s="2" t="n">
        <v>175</v>
      </c>
      <c r="B186" s="13" t="n">
        <f aca="true">OFFSET(Datos!$B$1,1+$B$4+174,0)</f>
        <v>11.2049999999999</v>
      </c>
      <c r="C186" s="13" t="n">
        <f aca="true">OFFSET(Datos!$D$1,1+$B$4+174,0)</f>
        <v>168.876005834482</v>
      </c>
      <c r="D186" s="13" t="n">
        <f aca="true">OFFSET(Datos!$D$1,1+174,0)</f>
        <v>154.957026355076</v>
      </c>
      <c r="E186" s="13" t="n">
        <f aca="false">C186-D186</f>
        <v>13.9189794794066</v>
      </c>
    </row>
    <row r="187" customFormat="false" ht="15" hidden="false" customHeight="false" outlineLevel="0" collapsed="false">
      <c r="A187" s="2" t="n">
        <v>176</v>
      </c>
      <c r="B187" s="13" t="n">
        <f aca="true">OFFSET(Datos!$B$1,1+$B$4+175,0)</f>
        <v>11.2549999999999</v>
      </c>
      <c r="C187" s="13" t="n">
        <f aca="true">OFFSET(Datos!$D$1,1+$B$4+175,0)</f>
        <v>153.733183760501</v>
      </c>
      <c r="D187" s="13" t="n">
        <f aca="true">OFFSET(Datos!$D$1,1+175,0)</f>
        <v>152.826897990757</v>
      </c>
      <c r="E187" s="13" t="n">
        <f aca="false">C187-D187</f>
        <v>0.906285769743477</v>
      </c>
    </row>
    <row r="188" customFormat="false" ht="15" hidden="false" customHeight="false" outlineLevel="0" collapsed="false">
      <c r="A188" s="2" t="n">
        <v>177</v>
      </c>
      <c r="B188" s="13" t="n">
        <f aca="true">OFFSET(Datos!$B$1,1+$B$4+176,0)</f>
        <v>11.3049999999998</v>
      </c>
      <c r="C188" s="13" t="n">
        <f aca="true">OFFSET(Datos!$D$1,1+$B$4+176,0)</f>
        <v>162.011069531386</v>
      </c>
      <c r="D188" s="13" t="n">
        <f aca="true">OFFSET(Datos!$D$1,1+176,0)</f>
        <v>154.553836229166</v>
      </c>
      <c r="E188" s="13" t="n">
        <f aca="false">C188-D188</f>
        <v>7.45723330221992</v>
      </c>
    </row>
    <row r="189" customFormat="false" ht="15" hidden="false" customHeight="false" outlineLevel="0" collapsed="false">
      <c r="A189" s="2" t="n">
        <v>178</v>
      </c>
      <c r="B189" s="13" t="n">
        <f aca="true">OFFSET(Datos!$B$1,1+$B$4+177,0)</f>
        <v>11.355</v>
      </c>
      <c r="C189" s="13" t="n">
        <f aca="true">OFFSET(Datos!$D$1,1+$B$4+177,0)</f>
        <v>163.645238360294</v>
      </c>
      <c r="D189" s="13" t="n">
        <f aca="true">OFFSET(Datos!$D$1,1+177,0)</f>
        <v>151.977701088399</v>
      </c>
      <c r="E189" s="13" t="n">
        <f aca="false">C189-D189</f>
        <v>11.6675372718943</v>
      </c>
    </row>
    <row r="190" customFormat="false" ht="15" hidden="false" customHeight="false" outlineLevel="0" collapsed="false">
      <c r="A190" s="2" t="n">
        <v>179</v>
      </c>
      <c r="B190" s="13" t="n">
        <f aca="true">OFFSET(Datos!$B$1,1+$B$4+178,0)</f>
        <v>11.405</v>
      </c>
      <c r="C190" s="13" t="n">
        <f aca="true">OFFSET(Datos!$D$1,1+$B$4+178,0)</f>
        <v>163.0315330359</v>
      </c>
      <c r="D190" s="13" t="n">
        <f aca="true">OFFSET(Datos!$D$1,1+178,0)</f>
        <v>154.261255783816</v>
      </c>
      <c r="E190" s="13" t="n">
        <f aca="false">C190-D190</f>
        <v>8.77027725208447</v>
      </c>
    </row>
    <row r="191" customFormat="false" ht="15" hidden="false" customHeight="false" outlineLevel="0" collapsed="false">
      <c r="A191" s="2" t="n">
        <v>180</v>
      </c>
      <c r="B191" s="13" t="n">
        <f aca="true">OFFSET(Datos!$B$1,1+$B$4+179,0)</f>
        <v>11.4549999999999</v>
      </c>
      <c r="C191" s="13" t="n">
        <f aca="true">OFFSET(Datos!$D$1,1+$B$4+179,0)</f>
        <v>163.713031390314</v>
      </c>
      <c r="D191" s="13" t="n">
        <f aca="true">OFFSET(Datos!$D$1,1+179,0)</f>
        <v>149.176778532302</v>
      </c>
      <c r="E191" s="13" t="n">
        <f aca="false">C191-D191</f>
        <v>14.5362528580114</v>
      </c>
    </row>
    <row r="192" customFormat="false" ht="15" hidden="false" customHeight="false" outlineLevel="0" collapsed="false">
      <c r="A192" s="2" t="n">
        <v>181</v>
      </c>
      <c r="B192" s="13" t="n">
        <f aca="true">OFFSET(Datos!$B$1,1+$B$4+180,0)</f>
        <v>11.5049999999999</v>
      </c>
      <c r="C192" s="13" t="n">
        <f aca="true">OFFSET(Datos!$D$1,1+$B$4+180,0)</f>
        <v>160.394740973536</v>
      </c>
      <c r="D192" s="13" t="n">
        <f aca="true">OFFSET(Datos!$D$1,1+180,0)</f>
        <v>155.374488697832</v>
      </c>
      <c r="E192" s="13" t="n">
        <f aca="false">C192-D192</f>
        <v>5.02025227570496</v>
      </c>
    </row>
    <row r="193" customFormat="false" ht="15" hidden="false" customHeight="false" outlineLevel="0" collapsed="false">
      <c r="A193" s="2" t="n">
        <v>182</v>
      </c>
      <c r="B193" s="13" t="n">
        <f aca="true">OFFSET(Datos!$B$1,1+$B$4+181,0)</f>
        <v>11.5549999999998</v>
      </c>
      <c r="C193" s="13" t="n">
        <f aca="true">OFFSET(Datos!$D$1,1+$B$4+181,0)</f>
        <v>160.384036810902</v>
      </c>
      <c r="D193" s="13" t="n">
        <f aca="true">OFFSET(Datos!$D$1,1+181,0)</f>
        <v>150.825219578056</v>
      </c>
      <c r="E193" s="13" t="n">
        <f aca="false">C193-D193</f>
        <v>9.55881723284551</v>
      </c>
    </row>
    <row r="194" customFormat="false" ht="15" hidden="false" customHeight="false" outlineLevel="0" collapsed="false">
      <c r="A194" s="2" t="n">
        <v>183</v>
      </c>
      <c r="B194" s="13" t="n">
        <f aca="true">OFFSET(Datos!$B$1,1+$B$4+182,0)</f>
        <v>11.605</v>
      </c>
      <c r="C194" s="13" t="n">
        <f aca="true">OFFSET(Datos!$D$1,1+$B$4+182,0)</f>
        <v>163.887866046682</v>
      </c>
      <c r="D194" s="13" t="n">
        <f aca="true">OFFSET(Datos!$D$1,1+182,0)</f>
        <v>147.728148522397</v>
      </c>
      <c r="E194" s="13" t="n">
        <f aca="false">C194-D194</f>
        <v>16.1597175242842</v>
      </c>
    </row>
    <row r="195" customFormat="false" ht="15" hidden="false" customHeight="false" outlineLevel="0" collapsed="false">
      <c r="A195" s="2" t="n">
        <v>184</v>
      </c>
      <c r="B195" s="13" t="n">
        <f aca="true">OFFSET(Datos!$B$1,1+$B$4+183,0)</f>
        <v>11.655</v>
      </c>
      <c r="C195" s="13" t="n">
        <f aca="true">OFFSET(Datos!$D$1,1+$B$4+183,0)</f>
        <v>163.152846879094</v>
      </c>
      <c r="D195" s="13" t="n">
        <f aca="true">OFFSET(Datos!$D$1,1+183,0)</f>
        <v>148.224108057808</v>
      </c>
      <c r="E195" s="13" t="n">
        <f aca="false">C195-D195</f>
        <v>14.9287388212861</v>
      </c>
    </row>
    <row r="196" customFormat="false" ht="15" hidden="false" customHeight="false" outlineLevel="0" collapsed="false">
      <c r="A196" s="2" t="n">
        <v>185</v>
      </c>
      <c r="B196" s="13" t="n">
        <f aca="true">OFFSET(Datos!$B$1,1+$B$4+184,0)</f>
        <v>11.7049999999999</v>
      </c>
      <c r="C196" s="13" t="n">
        <f aca="true">OFFSET(Datos!$D$1,1+$B$4+184,0)</f>
        <v>166.613859464335</v>
      </c>
      <c r="D196" s="13" t="n">
        <f aca="true">OFFSET(Datos!$D$1,1+184,0)</f>
        <v>154.357593247529</v>
      </c>
      <c r="E196" s="13" t="n">
        <f aca="false">C196-D196</f>
        <v>12.2562662168064</v>
      </c>
    </row>
    <row r="197" customFormat="false" ht="15" hidden="false" customHeight="false" outlineLevel="0" collapsed="false">
      <c r="A197" s="2" t="n">
        <v>186</v>
      </c>
      <c r="B197" s="13" t="n">
        <f aca="true">OFFSET(Datos!$B$1,1+$B$4+185,0)</f>
        <v>11.7549999999999</v>
      </c>
      <c r="C197" s="13" t="n">
        <f aca="true">OFFSET(Datos!$D$1,1+$B$4+185,0)</f>
        <v>169.489711158876</v>
      </c>
      <c r="D197" s="13" t="n">
        <f aca="true">OFFSET(Datos!$D$1,1+185,0)</f>
        <v>148.859221707471</v>
      </c>
      <c r="E197" s="13" t="n">
        <f aca="false">C197-D197</f>
        <v>20.6304894514045</v>
      </c>
    </row>
    <row r="198" customFormat="false" ht="15" hidden="false" customHeight="false" outlineLevel="0" collapsed="false">
      <c r="A198" s="2" t="n">
        <v>187</v>
      </c>
      <c r="B198" s="13" t="n">
        <f aca="true">OFFSET(Datos!$B$1,1+$B$4+186,0)</f>
        <v>11.8049999999998</v>
      </c>
      <c r="C198" s="13" t="n">
        <f aca="true">OFFSET(Datos!$D$1,1+$B$4+186,0)</f>
        <v>161.029854623199</v>
      </c>
      <c r="D198" s="13" t="n">
        <f aca="true">OFFSET(Datos!$D$1,1+186,0)</f>
        <v>150.104472627315</v>
      </c>
      <c r="E198" s="13" t="n">
        <f aca="false">C198-D198</f>
        <v>10.9253819958839</v>
      </c>
    </row>
    <row r="199" customFormat="false" ht="15" hidden="false" customHeight="false" outlineLevel="0" collapsed="false">
      <c r="A199" s="2" t="n">
        <v>188</v>
      </c>
      <c r="B199" s="13" t="n">
        <f aca="true">OFFSET(Datos!$B$1,1+$B$4+187,0)</f>
        <v>11.855</v>
      </c>
      <c r="C199" s="13" t="n">
        <f aca="true">OFFSET(Datos!$D$1,1+$B$4+187,0)</f>
        <v>161.133328195335</v>
      </c>
      <c r="D199" s="13" t="n">
        <f aca="true">OFFSET(Datos!$D$1,1+187,0)</f>
        <v>153.654686567846</v>
      </c>
      <c r="E199" s="13" t="n">
        <f aca="false">C199-D199</f>
        <v>7.47864162748945</v>
      </c>
    </row>
    <row r="200" customFormat="false" ht="15" hidden="false" customHeight="false" outlineLevel="0" collapsed="false">
      <c r="A200" s="2" t="n">
        <v>189</v>
      </c>
      <c r="B200" s="13" t="n">
        <f aca="true">OFFSET(Datos!$B$1,1+$B$4+188,0)</f>
        <v>11.905</v>
      </c>
      <c r="C200" s="13" t="n">
        <f aca="true">OFFSET(Datos!$D$1,1+$B$4+188,0)</f>
        <v>161.015582406353</v>
      </c>
      <c r="D200" s="13" t="n">
        <f aca="true">OFFSET(Datos!$D$1,1+188,0)</f>
        <v>156.013170401706</v>
      </c>
      <c r="E200" s="13" t="n">
        <f aca="false">C200-D200</f>
        <v>5.00241200464703</v>
      </c>
    </row>
    <row r="201" customFormat="false" ht="15" hidden="false" customHeight="false" outlineLevel="0" collapsed="false">
      <c r="A201" s="2" t="n">
        <v>190</v>
      </c>
      <c r="B201" s="13" t="n">
        <f aca="true">OFFSET(Datos!$B$1,1+$B$4+189,0)</f>
        <v>11.9549999999999</v>
      </c>
      <c r="C201" s="13" t="n">
        <f aca="true">OFFSET(Datos!$D$1,1+$B$4+189,0)</f>
        <v>170.024919290614</v>
      </c>
      <c r="D201" s="13" t="n">
        <f aca="true">OFFSET(Datos!$D$1,1+189,0)</f>
        <v>151.55310263722</v>
      </c>
      <c r="E201" s="13" t="n">
        <f aca="false">C201-D201</f>
        <v>18.4718166533935</v>
      </c>
    </row>
    <row r="202" customFormat="false" ht="15" hidden="false" customHeight="false" outlineLevel="0" collapsed="false">
      <c r="A202" s="2" t="n">
        <v>191</v>
      </c>
      <c r="B202" s="13" t="n">
        <f aca="true">OFFSET(Datos!$B$1,1+$B$4+190,0)</f>
        <v>12.0049999999999</v>
      </c>
      <c r="C202" s="13" t="n">
        <f aca="true">OFFSET(Datos!$D$1,1+$B$4+190,0)</f>
        <v>162.025341748232</v>
      </c>
      <c r="D202" s="13" t="n">
        <f aca="true">OFFSET(Datos!$D$1,1+190,0)</f>
        <v>150.714609897497</v>
      </c>
      <c r="E202" s="13" t="n">
        <f aca="false">C202-D202</f>
        <v>11.3107318507355</v>
      </c>
    </row>
    <row r="203" customFormat="false" ht="15" hidden="false" customHeight="false" outlineLevel="0" collapsed="false">
      <c r="A203" s="2" t="n">
        <v>192</v>
      </c>
      <c r="B203" s="13" t="n">
        <f aca="true">OFFSET(Datos!$B$1,1+$B$4+191,0)</f>
        <v>12.0549999999998</v>
      </c>
      <c r="C203" s="13" t="n">
        <f aca="true">OFFSET(Datos!$D$1,1+$B$4+191,0)</f>
        <v>159.067424806826</v>
      </c>
      <c r="D203" s="13" t="n">
        <f aca="true">OFFSET(Datos!$D$1,1+191,0)</f>
        <v>152.120423256863</v>
      </c>
      <c r="E203" s="13" t="n">
        <f aca="false">C203-D203</f>
        <v>6.94700154996275</v>
      </c>
    </row>
    <row r="204" customFormat="false" ht="15" hidden="false" customHeight="false" outlineLevel="0" collapsed="false">
      <c r="A204" s="2" t="n">
        <v>193</v>
      </c>
      <c r="B204" s="13" t="n">
        <f aca="true">OFFSET(Datos!$B$1,1+$B$4+192,0)</f>
        <v>12.105</v>
      </c>
      <c r="C204" s="13" t="n">
        <f aca="true">OFFSET(Datos!$D$1,1+$B$4+192,0)</f>
        <v>170.627920452372</v>
      </c>
      <c r="D204" s="13" t="n">
        <f aca="true">OFFSET(Datos!$D$1,1+192,0)</f>
        <v>153.32642558038</v>
      </c>
      <c r="E204" s="13" t="n">
        <f aca="false">C204-D204</f>
        <v>17.3014948719925</v>
      </c>
    </row>
    <row r="205" customFormat="false" ht="15" hidden="false" customHeight="false" outlineLevel="0" collapsed="false">
      <c r="A205" s="2" t="n">
        <v>194</v>
      </c>
      <c r="B205" s="13" t="n">
        <f aca="true">OFFSET(Datos!$B$1,1+$B$4+193,0)</f>
        <v>12.155</v>
      </c>
      <c r="C205" s="13" t="n">
        <f aca="true">OFFSET(Datos!$D$1,1+$B$4+193,0)</f>
        <v>160.687321418887</v>
      </c>
      <c r="D205" s="13" t="n">
        <f aca="true">OFFSET(Datos!$D$1,1+193,0)</f>
        <v>152.912531291835</v>
      </c>
      <c r="E205" s="13" t="n">
        <f aca="false">C205-D205</f>
        <v>7.77479012705129</v>
      </c>
    </row>
    <row r="206" customFormat="false" ht="15" hidden="false" customHeight="false" outlineLevel="0" collapsed="false">
      <c r="A206" s="2" t="n">
        <v>195</v>
      </c>
      <c r="B206" s="13" t="n">
        <f aca="true">OFFSET(Datos!$B$1,1+$B$4+194,0)</f>
        <v>12.2049999999999</v>
      </c>
      <c r="C206" s="13" t="n">
        <f aca="true">OFFSET(Datos!$D$1,1+$B$4+194,0)</f>
        <v>166.474705350083</v>
      </c>
      <c r="D206" s="13" t="n">
        <f aca="true">OFFSET(Datos!$D$1,1+194,0)</f>
        <v>154.243415512758</v>
      </c>
      <c r="E206" s="13" t="n">
        <f aca="false">C206-D206</f>
        <v>12.2312898373253</v>
      </c>
    </row>
    <row r="207" customFormat="false" ht="15" hidden="false" customHeight="false" outlineLevel="0" collapsed="false">
      <c r="A207" s="2" t="n">
        <v>196</v>
      </c>
      <c r="B207" s="13" t="n">
        <f aca="true">OFFSET(Datos!$B$1,1+$B$4+195,0)</f>
        <v>12.2549999999999</v>
      </c>
      <c r="C207" s="13" t="n">
        <f aca="true">OFFSET(Datos!$D$1,1+$B$4+195,0)</f>
        <v>162.107406995099</v>
      </c>
      <c r="D207" s="13" t="n">
        <f aca="true">OFFSET(Datos!$D$1,1+195,0)</f>
        <v>154.903505541902</v>
      </c>
      <c r="E207" s="13" t="n">
        <f aca="false">C207-D207</f>
        <v>7.20390145319712</v>
      </c>
    </row>
    <row r="208" customFormat="false" ht="15" hidden="false" customHeight="false" outlineLevel="0" collapsed="false">
      <c r="A208" s="2" t="n">
        <v>197</v>
      </c>
      <c r="B208" s="13" t="n">
        <f aca="true">OFFSET(Datos!$B$1,1+$B$4+196,0)</f>
        <v>12.3059999999998</v>
      </c>
      <c r="C208" s="13" t="n">
        <f aca="true">OFFSET(Datos!$D$1,1+$B$4+196,0)</f>
        <v>162.578390151029</v>
      </c>
      <c r="D208" s="13" t="n">
        <f aca="true">OFFSET(Datos!$D$1,1+196,0)</f>
        <v>153.879473983176</v>
      </c>
      <c r="E208" s="13" t="n">
        <f aca="false">C208-D208</f>
        <v>8.6989161678527</v>
      </c>
    </row>
    <row r="209" customFormat="false" ht="15" hidden="false" customHeight="false" outlineLevel="0" collapsed="false">
      <c r="A209" s="2" t="n">
        <v>198</v>
      </c>
      <c r="B209" s="13" t="n">
        <f aca="true">OFFSET(Datos!$B$1,1+$B$4+197,0)</f>
        <v>12.356</v>
      </c>
      <c r="C209" s="13" t="n">
        <f aca="true">OFFSET(Datos!$D$1,1+$B$4+197,0)</f>
        <v>160.187793829264</v>
      </c>
      <c r="D209" s="13" t="n">
        <f aca="true">OFFSET(Datos!$D$1,1+197,0)</f>
        <v>158.682074951974</v>
      </c>
      <c r="E209" s="13" t="n">
        <f aca="false">C209-D209</f>
        <v>1.50571887729032</v>
      </c>
    </row>
    <row r="210" customFormat="false" ht="15" hidden="false" customHeight="false" outlineLevel="0" collapsed="false">
      <c r="A210" s="2" t="n">
        <v>199</v>
      </c>
      <c r="B210" s="13" t="n">
        <f aca="true">OFFSET(Datos!$B$1,1+$B$4+198,0)</f>
        <v>12.4059999999999</v>
      </c>
      <c r="C210" s="13" t="n">
        <f aca="true">OFFSET(Datos!$D$1,1+$B$4+198,0)</f>
        <v>152.958915996586</v>
      </c>
      <c r="D210" s="13" t="n">
        <f aca="true">OFFSET(Datos!$D$1,1+198,0)</f>
        <v>154.468202928088</v>
      </c>
      <c r="E210" s="13" t="n">
        <f aca="false">C210-D210</f>
        <v>-1.50928693150195</v>
      </c>
    </row>
    <row r="211" customFormat="false" ht="15" hidden="false" customHeight="false" outlineLevel="0" collapsed="false">
      <c r="A211" s="2" t="n">
        <v>200</v>
      </c>
      <c r="B211" s="13" t="n">
        <f aca="true">OFFSET(Datos!$B$1,1+$B$4+199,0)</f>
        <v>12.4559999999999</v>
      </c>
      <c r="C211" s="13" t="n">
        <f aca="true">OFFSET(Datos!$D$1,1+$B$4+199,0)</f>
        <v>159.823852299682</v>
      </c>
      <c r="D211" s="13" t="n">
        <f aca="true">OFFSET(Datos!$D$1,1+199,0)</f>
        <v>156.33786333496</v>
      </c>
      <c r="E211" s="13" t="n">
        <f aca="false">C211-D211</f>
        <v>3.48598896472191</v>
      </c>
    </row>
    <row r="212" customFormat="false" ht="15" hidden="false" customHeight="false" outlineLevel="0" collapsed="false">
      <c r="A212" s="2" t="n">
        <v>201</v>
      </c>
      <c r="B212" s="13" t="n">
        <f aca="true">OFFSET(Datos!$B$1,1+$B$4+200,0)</f>
        <v>12.5059999999999</v>
      </c>
      <c r="C212" s="13" t="n">
        <f aca="true">OFFSET(Datos!$D$1,1+$B$4+200,0)</f>
        <v>165.689733423534</v>
      </c>
      <c r="D212" s="13" t="n">
        <f aca="true">OFFSET(Datos!$D$1,1+200,0)</f>
        <v>155.827631582703</v>
      </c>
      <c r="E212" s="13" t="n">
        <f aca="false">C212-D212</f>
        <v>9.86210184083055</v>
      </c>
    </row>
    <row r="213" customFormat="false" ht="15" hidden="false" customHeight="false" outlineLevel="0" collapsed="false">
      <c r="A213" s="2" t="n">
        <v>202</v>
      </c>
      <c r="B213" s="13" t="n">
        <f aca="true">OFFSET(Datos!$B$1,1+$B$4+201,0)</f>
        <v>12.5559999999998</v>
      </c>
      <c r="C213" s="13" t="n">
        <f aca="true">OFFSET(Datos!$D$1,1+$B$4+201,0)</f>
        <v>165.768230616189</v>
      </c>
      <c r="D213" s="13" t="n">
        <f aca="true">OFFSET(Datos!$D$1,1+201,0)</f>
        <v>166.128604091559</v>
      </c>
      <c r="E213" s="13" t="n">
        <f aca="false">C213-D213</f>
        <v>-0.360373475370437</v>
      </c>
    </row>
    <row r="214" customFormat="false" ht="15" hidden="false" customHeight="false" outlineLevel="0" collapsed="false">
      <c r="A214" s="2" t="n">
        <v>203</v>
      </c>
      <c r="B214" s="13" t="n">
        <f aca="true">OFFSET(Datos!$B$1,1+$B$4+202,0)</f>
        <v>12.606</v>
      </c>
      <c r="C214" s="13" t="n">
        <f aca="true">OFFSET(Datos!$D$1,1+$B$4+202,0)</f>
        <v>161.411636423839</v>
      </c>
      <c r="D214" s="13" t="n">
        <f aca="true">OFFSET(Datos!$D$1,1+202,0)</f>
        <v>155.602844167373</v>
      </c>
      <c r="E214" s="13" t="n">
        <f aca="false">C214-D214</f>
        <v>5.80879225646604</v>
      </c>
    </row>
    <row r="215" customFormat="false" ht="15" hidden="false" customHeight="false" outlineLevel="0" collapsed="false">
      <c r="A215" s="2" t="n">
        <v>204</v>
      </c>
      <c r="B215" s="13" t="n">
        <f aca="true">OFFSET(Datos!$B$1,1+$B$4+203,0)</f>
        <v>12.6559999999999</v>
      </c>
      <c r="C215" s="13" t="n">
        <f aca="true">OFFSET(Datos!$D$1,1+$B$4+203,0)</f>
        <v>162.435667982565</v>
      </c>
      <c r="D215" s="13" t="n">
        <f aca="true">OFFSET(Datos!$D$1,1+203,0)</f>
        <v>160.230610479803</v>
      </c>
      <c r="E215" s="13" t="n">
        <f aca="false">C215-D215</f>
        <v>2.20505750276166</v>
      </c>
    </row>
    <row r="216" customFormat="false" ht="15" hidden="false" customHeight="false" outlineLevel="0" collapsed="false">
      <c r="A216" s="2" t="n">
        <v>205</v>
      </c>
      <c r="B216" s="13" t="n">
        <f aca="true">OFFSET(Datos!$B$1,1+$B$4+204,0)</f>
        <v>12.7059999999999</v>
      </c>
      <c r="C216" s="13" t="n">
        <f aca="true">OFFSET(Datos!$D$1,1+$B$4+204,0)</f>
        <v>174.096069146036</v>
      </c>
      <c r="D216" s="13" t="n">
        <f aca="true">OFFSET(Datos!$D$1,1+204,0)</f>
        <v>158.646394409858</v>
      </c>
      <c r="E216" s="13" t="n">
        <f aca="false">C216-D216</f>
        <v>15.4496747361781</v>
      </c>
    </row>
    <row r="217" customFormat="false" ht="15" hidden="false" customHeight="false" outlineLevel="0" collapsed="false">
      <c r="A217" s="2" t="n">
        <v>206</v>
      </c>
      <c r="B217" s="13" t="n">
        <f aca="true">OFFSET(Datos!$B$1,1+$B$4+205,0)</f>
        <v>12.7559999999999</v>
      </c>
      <c r="C217" s="13" t="n">
        <f aca="true">OFFSET(Datos!$D$1,1+$B$4+205,0)</f>
        <v>159.955870305511</v>
      </c>
      <c r="D217" s="13" t="n">
        <f aca="true">OFFSET(Datos!$D$1,1+205,0)</f>
        <v>154.08998918166</v>
      </c>
      <c r="E217" s="13" t="n">
        <f aca="false">C217-D217</f>
        <v>5.86588112385147</v>
      </c>
    </row>
    <row r="218" customFormat="false" ht="15" hidden="false" customHeight="false" outlineLevel="0" collapsed="false">
      <c r="A218" s="2" t="n">
        <v>207</v>
      </c>
      <c r="B218" s="13" t="n">
        <f aca="true">OFFSET(Datos!$B$1,1+$B$4+206,0)</f>
        <v>12.8059999999998</v>
      </c>
      <c r="C218" s="13" t="n">
        <f aca="true">OFFSET(Datos!$D$1,1+$B$4+206,0)</f>
        <v>160.594552009385</v>
      </c>
      <c r="D218" s="13" t="n">
        <f aca="true">OFFSET(Datos!$D$1,1+206,0)</f>
        <v>158.903294313093</v>
      </c>
      <c r="E218" s="13" t="n">
        <f aca="false">C218-D218</f>
        <v>1.69125769629292</v>
      </c>
    </row>
    <row r="219" customFormat="false" ht="15" hidden="false" customHeight="false" outlineLevel="0" collapsed="false">
      <c r="A219" s="2" t="n">
        <v>208</v>
      </c>
      <c r="B219" s="13" t="n">
        <f aca="true">OFFSET(Datos!$B$1,1+$B$4+207,0)</f>
        <v>12.856</v>
      </c>
      <c r="C219" s="13" t="n">
        <f aca="true">OFFSET(Datos!$D$1,1+$B$4+207,0)</f>
        <v>166.992073210764</v>
      </c>
      <c r="D219" s="13" t="n">
        <f aca="true">OFFSET(Datos!$D$1,1+207,0)</f>
        <v>157.433255977918</v>
      </c>
      <c r="E219" s="13" t="n">
        <f aca="false">C219-D219</f>
        <v>9.55881723284551</v>
      </c>
    </row>
    <row r="220" customFormat="false" ht="15" hidden="false" customHeight="false" outlineLevel="0" collapsed="false">
      <c r="A220" s="2" t="n">
        <v>209</v>
      </c>
      <c r="B220" s="13" t="n">
        <f aca="true">OFFSET(Datos!$B$1,1+$B$4+208,0)</f>
        <v>12.9059999999999</v>
      </c>
      <c r="C220" s="13" t="n">
        <f aca="true">OFFSET(Datos!$D$1,1+$B$4+208,0)</f>
        <v>162.853130325321</v>
      </c>
      <c r="D220" s="13" t="n">
        <f aca="true">OFFSET(Datos!$D$1,1+208,0)</f>
        <v>159.39211774008</v>
      </c>
      <c r="E220" s="13" t="n">
        <f aca="false">C220-D220</f>
        <v>3.46101258524081</v>
      </c>
    </row>
    <row r="221" customFormat="false" ht="15" hidden="false" customHeight="false" outlineLevel="0" collapsed="false">
      <c r="A221" s="2" t="n">
        <v>210</v>
      </c>
      <c r="B221" s="13" t="n">
        <f aca="true">OFFSET(Datos!$B$1,1+$B$4+209,0)</f>
        <v>12.9559999999999</v>
      </c>
      <c r="C221" s="13" t="n">
        <f aca="true">OFFSET(Datos!$D$1,1+$B$4+209,0)</f>
        <v>164.505139425286</v>
      </c>
      <c r="D221" s="13" t="n">
        <f aca="true">OFFSET(Datos!$D$1,1+209,0)</f>
        <v>159.117377565788</v>
      </c>
      <c r="E221" s="13" t="n">
        <f aca="false">C221-D221</f>
        <v>5.3877618594986</v>
      </c>
    </row>
    <row r="222" customFormat="false" ht="15" hidden="false" customHeight="false" outlineLevel="0" collapsed="false">
      <c r="A222" s="2" t="n">
        <v>211</v>
      </c>
      <c r="B222" s="13" t="n">
        <f aca="true">OFFSET(Datos!$B$1,1+$B$4+210,0)</f>
        <v>13.0059999999999</v>
      </c>
      <c r="C222" s="13" t="n">
        <f aca="true">OFFSET(Datos!$D$1,1+$B$4+210,0)</f>
        <v>165.315087731317</v>
      </c>
      <c r="D222" s="13" t="n">
        <f aca="true">OFFSET(Datos!$D$1,1+210,0)</f>
        <v>160.22347437138</v>
      </c>
      <c r="E222" s="13" t="n">
        <f aca="false">C222-D222</f>
        <v>5.09161335993673</v>
      </c>
    </row>
    <row r="223" customFormat="false" ht="15" hidden="false" customHeight="false" outlineLevel="0" collapsed="false">
      <c r="A223" s="2" t="n">
        <v>212</v>
      </c>
      <c r="B223" s="13" t="n">
        <f aca="true">OFFSET(Datos!$B$1,1+$B$4+211,0)</f>
        <v>13.0559999999998</v>
      </c>
      <c r="C223" s="13" t="n">
        <f aca="true">OFFSET(Datos!$D$1,1+$B$4+211,0)</f>
        <v>166.578178922219</v>
      </c>
      <c r="D223" s="13" t="n">
        <f aca="true">OFFSET(Datos!$D$1,1+211,0)</f>
        <v>155.228198475156</v>
      </c>
      <c r="E223" s="13" t="n">
        <f aca="false">C223-D223</f>
        <v>11.3499804470629</v>
      </c>
    </row>
    <row r="224" customFormat="false" ht="15" hidden="false" customHeight="false" outlineLevel="0" collapsed="false">
      <c r="A224" s="2" t="n">
        <v>213</v>
      </c>
      <c r="B224" s="13" t="n">
        <f aca="true">OFFSET(Datos!$B$1,1+$B$4+212,0)</f>
        <v>13.106</v>
      </c>
      <c r="C224" s="13" t="n">
        <f aca="true">OFFSET(Datos!$D$1,1+$B$4+212,0)</f>
        <v>165.293679406047</v>
      </c>
      <c r="D224" s="13" t="n">
        <f aca="true">OFFSET(Datos!$D$1,1+212,0)</f>
        <v>157.822173886981</v>
      </c>
      <c r="E224" s="13" t="n">
        <f aca="false">C224-D224</f>
        <v>7.47150551906626</v>
      </c>
    </row>
    <row r="225" customFormat="false" ht="15" hidden="false" customHeight="false" outlineLevel="0" collapsed="false">
      <c r="A225" s="2" t="n">
        <v>214</v>
      </c>
      <c r="B225" s="13" t="n">
        <f aca="true">OFFSET(Datos!$B$1,1+$B$4+213,0)</f>
        <v>13.1559999999999</v>
      </c>
      <c r="C225" s="13" t="n">
        <f aca="true">OFFSET(Datos!$D$1,1+$B$4+213,0)</f>
        <v>171.841058884312</v>
      </c>
      <c r="D225" s="13" t="n">
        <f aca="true">OFFSET(Datos!$D$1,1+213,0)</f>
        <v>164.33387282313</v>
      </c>
      <c r="E225" s="13" t="n">
        <f aca="false">C225-D225</f>
        <v>7.50718606118215</v>
      </c>
    </row>
    <row r="226" customFormat="false" ht="15" hidden="false" customHeight="false" outlineLevel="0" collapsed="false">
      <c r="A226" s="2" t="n">
        <v>215</v>
      </c>
      <c r="B226" s="13" t="n">
        <f aca="true">OFFSET(Datos!$B$1,1+$B$4+214,0)</f>
        <v>13.2059999999999</v>
      </c>
      <c r="C226" s="13" t="n">
        <f aca="true">OFFSET(Datos!$D$1,1+$B$4+214,0)</f>
        <v>170.688577373969</v>
      </c>
      <c r="D226" s="13" t="n">
        <f aca="true">OFFSET(Datos!$D$1,1+214,0)</f>
        <v>154.296936325932</v>
      </c>
      <c r="E226" s="13" t="n">
        <f aca="false">C226-D226</f>
        <v>16.3916410480374</v>
      </c>
    </row>
    <row r="227" customFormat="false" ht="15" hidden="false" customHeight="false" outlineLevel="0" collapsed="false">
      <c r="A227" s="2" t="n">
        <v>216</v>
      </c>
      <c r="B227" s="13" t="n">
        <f aca="true">OFFSET(Datos!$B$1,1+$B$4+215,0)</f>
        <v>13.2559999999999</v>
      </c>
      <c r="C227" s="13" t="n">
        <f aca="true">OFFSET(Datos!$D$1,1+$B$4+215,0)</f>
        <v>165.796775049881</v>
      </c>
      <c r="D227" s="13" t="n">
        <f aca="true">OFFSET(Datos!$D$1,1+215,0)</f>
        <v>157.583114254805</v>
      </c>
      <c r="E227" s="13" t="n">
        <f aca="false">C227-D227</f>
        <v>8.21366079507666</v>
      </c>
    </row>
    <row r="228" customFormat="false" ht="15" hidden="false" customHeight="false" outlineLevel="0" collapsed="false">
      <c r="A228" s="2" t="n">
        <v>217</v>
      </c>
      <c r="B228" s="13" t="n">
        <f aca="true">OFFSET(Datos!$B$1,1+$B$4+216,0)</f>
        <v>13.3059999999998</v>
      </c>
      <c r="C228" s="13" t="n">
        <f aca="true">OFFSET(Datos!$D$1,1+$B$4+216,0)</f>
        <v>166.62456362697</v>
      </c>
      <c r="D228" s="13" t="n">
        <f aca="true">OFFSET(Datos!$D$1,1+216,0)</f>
        <v>160.095024419763</v>
      </c>
      <c r="E228" s="13" t="n">
        <f aca="false">C228-D228</f>
        <v>6.52953920720691</v>
      </c>
    </row>
    <row r="229" customFormat="false" ht="15" hidden="false" customHeight="false" outlineLevel="0" collapsed="false">
      <c r="A229" s="2" t="n">
        <v>218</v>
      </c>
      <c r="B229" s="13" t="n">
        <f aca="true">OFFSET(Datos!$B$1,1+$B$4+217,0)</f>
        <v>13.356</v>
      </c>
      <c r="C229" s="13" t="n">
        <f aca="true">OFFSET(Datos!$D$1,1+$B$4+217,0)</f>
        <v>165.611236230879</v>
      </c>
      <c r="D229" s="13" t="n">
        <f aca="true">OFFSET(Datos!$D$1,1+217,0)</f>
        <v>160.473238166191</v>
      </c>
      <c r="E229" s="13" t="n">
        <f aca="false">C229-D229</f>
        <v>5.1379980646874</v>
      </c>
    </row>
    <row r="230" customFormat="false" ht="15" hidden="false" customHeight="false" outlineLevel="0" collapsed="false">
      <c r="A230" s="2" t="n">
        <v>219</v>
      </c>
      <c r="B230" s="13" t="n">
        <f aca="true">OFFSET(Datos!$B$1,1+$B$4+218,0)</f>
        <v>13.4059999999999</v>
      </c>
      <c r="C230" s="13" t="n">
        <f aca="true">OFFSET(Datos!$D$1,1+$B$4+218,0)</f>
        <v>163.431155107598</v>
      </c>
      <c r="D230" s="13" t="n">
        <f aca="true">OFFSET(Datos!$D$1,1+218,0)</f>
        <v>158.40376672347</v>
      </c>
      <c r="E230" s="13" t="n">
        <f aca="false">C230-D230</f>
        <v>5.02738838412819</v>
      </c>
    </row>
    <row r="231" customFormat="false" ht="15" hidden="false" customHeight="false" outlineLevel="0" collapsed="false">
      <c r="A231" s="2" t="n">
        <v>220</v>
      </c>
      <c r="B231" s="13" t="n">
        <f aca="true">OFFSET(Datos!$B$1,1+$B$4+219,0)</f>
        <v>13.4559999999999</v>
      </c>
      <c r="C231" s="13" t="n">
        <f aca="true">OFFSET(Datos!$D$1,1+$B$4+219,0)</f>
        <v>159.227987246347</v>
      </c>
      <c r="D231" s="13" t="n">
        <f aca="true">OFFSET(Datos!$D$1,1+219,0)</f>
        <v>165.293679406047</v>
      </c>
      <c r="E231" s="13" t="n">
        <f aca="false">C231-D231</f>
        <v>-6.0656921597004</v>
      </c>
    </row>
    <row r="232" customFormat="false" ht="15" hidden="false" customHeight="false" outlineLevel="0" collapsed="false">
      <c r="A232" s="2" t="n">
        <v>221</v>
      </c>
      <c r="B232" s="13" t="n">
        <f aca="true">OFFSET(Datos!$B$1,1+$B$4+220,0)</f>
        <v>13.5059999999999</v>
      </c>
      <c r="C232" s="13" t="n">
        <f aca="true">OFFSET(Datos!$D$1,1+$B$4+220,0)</f>
        <v>161.522246104398</v>
      </c>
      <c r="D232" s="13" t="n">
        <f aca="true">OFFSET(Datos!$D$1,1+220,0)</f>
        <v>160.237746588227</v>
      </c>
      <c r="E232" s="13" t="n">
        <f aca="false">C232-D232</f>
        <v>1.28449951617185</v>
      </c>
    </row>
    <row r="233" customFormat="false" ht="15" hidden="false" customHeight="false" outlineLevel="0" collapsed="false">
      <c r="A233" s="2" t="n">
        <v>222</v>
      </c>
      <c r="B233" s="13" t="n">
        <f aca="true">OFFSET(Datos!$B$1,1+$B$4+221,0)</f>
        <v>13.5559999999998</v>
      </c>
      <c r="C233" s="13" t="n">
        <f aca="true">OFFSET(Datos!$D$1,1+$B$4+221,0)</f>
        <v>164.797719870637</v>
      </c>
      <c r="D233" s="13" t="n">
        <f aca="true">OFFSET(Datos!$D$1,1+221,0)</f>
        <v>162.885242813225</v>
      </c>
      <c r="E233" s="13" t="n">
        <f aca="false">C233-D233</f>
        <v>1.91247705741142</v>
      </c>
    </row>
    <row r="234" customFormat="false" ht="15" hidden="false" customHeight="false" outlineLevel="0" collapsed="false">
      <c r="A234" s="2" t="n">
        <v>223</v>
      </c>
      <c r="B234" s="13" t="n">
        <f aca="true">OFFSET(Datos!$B$1,1+$B$4+222,0)</f>
        <v>13.606</v>
      </c>
      <c r="C234" s="13" t="n">
        <f aca="true">OFFSET(Datos!$D$1,1+$B$4+222,0)</f>
        <v>160.690889473098</v>
      </c>
      <c r="D234" s="13" t="n">
        <f aca="true">OFFSET(Datos!$D$1,1+222,0)</f>
        <v>159.067424806826</v>
      </c>
      <c r="E234" s="13" t="n">
        <f aca="false">C234-D234</f>
        <v>1.62346466627275</v>
      </c>
    </row>
    <row r="235" customFormat="false" ht="15" hidden="false" customHeight="false" outlineLevel="0" collapsed="false">
      <c r="A235" s="2" t="n">
        <v>224</v>
      </c>
      <c r="B235" s="13" t="n">
        <f aca="true">OFFSET(Datos!$B$1,1+$B$4+223,0)</f>
        <v>13.6559999999999</v>
      </c>
      <c r="C235" s="13" t="n">
        <f aca="true">OFFSET(Datos!$D$1,1+$B$4+223,0)</f>
        <v>168.654786473364</v>
      </c>
      <c r="D235" s="13" t="n">
        <f aca="true">OFFSET(Datos!$D$1,1+223,0)</f>
        <v>159.806012028624</v>
      </c>
      <c r="E235" s="13" t="n">
        <f aca="false">C235-D235</f>
        <v>8.84877444473941</v>
      </c>
    </row>
    <row r="236" customFormat="false" ht="15" hidden="false" customHeight="false" outlineLevel="0" collapsed="false">
      <c r="A236" s="2" t="n">
        <v>225</v>
      </c>
      <c r="B236" s="13" t="n">
        <f aca="true">OFFSET(Datos!$B$1,1+$B$4+224,0)</f>
        <v>13.7059999999999</v>
      </c>
      <c r="C236" s="13" t="n">
        <f aca="true">OFFSET(Datos!$D$1,1+$B$4+224,0)</f>
        <v>157.418983761072</v>
      </c>
      <c r="D236" s="13" t="n">
        <f aca="true">OFFSET(Datos!$D$1,1+224,0)</f>
        <v>168.876005834482</v>
      </c>
      <c r="E236" s="13" t="n">
        <f aca="false">C236-D236</f>
        <v>-11.4570220734106</v>
      </c>
    </row>
    <row r="237" customFormat="false" ht="15" hidden="false" customHeight="false" outlineLevel="0" collapsed="false">
      <c r="A237" s="2" t="n">
        <v>226</v>
      </c>
      <c r="B237" s="13" t="n">
        <f aca="true">OFFSET(Datos!$B$1,1+$B$4+225,0)</f>
        <v>13.7569999999998</v>
      </c>
      <c r="C237" s="13" t="n">
        <f aca="true">OFFSET(Datos!$D$1,1+$B$4+225,0)</f>
        <v>163.302705155981</v>
      </c>
      <c r="D237" s="13" t="n">
        <f aca="true">OFFSET(Datos!$D$1,1+225,0)</f>
        <v>153.733183760501</v>
      </c>
      <c r="E237" s="13" t="n">
        <f aca="false">C237-D237</f>
        <v>9.56952139548028</v>
      </c>
    </row>
    <row r="238" customFormat="false" ht="15" hidden="false" customHeight="false" outlineLevel="0" collapsed="false">
      <c r="A238" s="2" t="n">
        <v>227</v>
      </c>
      <c r="B238" s="13" t="n">
        <f aca="true">OFFSET(Datos!$B$1,1+$B$4+226,0)</f>
        <v>13.807</v>
      </c>
      <c r="C238" s="13" t="n">
        <f aca="true">OFFSET(Datos!$D$1,1+$B$4+226,0)</f>
        <v>160.658776985194</v>
      </c>
      <c r="D238" s="13" t="n">
        <f aca="true">OFFSET(Datos!$D$1,1+226,0)</f>
        <v>162.011069531386</v>
      </c>
      <c r="E238" s="13" t="n">
        <f aca="false">C238-D238</f>
        <v>-1.35229254619205</v>
      </c>
    </row>
    <row r="239" customFormat="false" ht="15" hidden="false" customHeight="false" outlineLevel="0" collapsed="false">
      <c r="A239" s="2" t="n">
        <v>228</v>
      </c>
      <c r="B239" s="13" t="n">
        <f aca="true">OFFSET(Datos!$B$1,1+$B$4+227,0)</f>
        <v>13.857</v>
      </c>
      <c r="C239" s="13" t="n">
        <f aca="true">OFFSET(Datos!$D$1,1+$B$4+227,0)</f>
        <v>158.278884826065</v>
      </c>
      <c r="D239" s="13" t="n">
        <f aca="true">OFFSET(Datos!$D$1,1+227,0)</f>
        <v>163.645238360294</v>
      </c>
      <c r="E239" s="13" t="n">
        <f aca="false">C239-D239</f>
        <v>-5.36635353422903</v>
      </c>
    </row>
    <row r="240" customFormat="false" ht="15" hidden="false" customHeight="false" outlineLevel="0" collapsed="false">
      <c r="A240" s="2" t="n">
        <v>229</v>
      </c>
      <c r="B240" s="13" t="n">
        <f aca="true">OFFSET(Datos!$B$1,1+$B$4+228,0)</f>
        <v>13.9069999999999</v>
      </c>
      <c r="C240" s="13" t="n">
        <f aca="true">OFFSET(Datos!$D$1,1+$B$4+228,0)</f>
        <v>161.743465465517</v>
      </c>
      <c r="D240" s="13" t="n">
        <f aca="true">OFFSET(Datos!$D$1,1+228,0)</f>
        <v>163.0315330359</v>
      </c>
      <c r="E240" s="13" t="n">
        <f aca="false">C240-D240</f>
        <v>-1.28806757038342</v>
      </c>
    </row>
    <row r="241" customFormat="false" ht="15" hidden="false" customHeight="false" outlineLevel="0" collapsed="false">
      <c r="A241" s="2" t="n">
        <v>230</v>
      </c>
      <c r="B241" s="13" t="n">
        <f aca="true">OFFSET(Datos!$B$1,1+$B$4+229,0)</f>
        <v>13.9569999999999</v>
      </c>
      <c r="C241" s="13" t="n">
        <f aca="true">OFFSET(Datos!$D$1,1+$B$4+229,0)</f>
        <v>157.015793635162</v>
      </c>
      <c r="D241" s="13" t="n">
        <f aca="true">OFFSET(Datos!$D$1,1+229,0)</f>
        <v>163.713031390314</v>
      </c>
      <c r="E241" s="13" t="n">
        <f aca="false">C241-D241</f>
        <v>-6.69723775515155</v>
      </c>
    </row>
    <row r="242" customFormat="false" ht="15" hidden="false" customHeight="false" outlineLevel="0" collapsed="false">
      <c r="A242" s="2" t="n">
        <v>231</v>
      </c>
      <c r="B242" s="13" t="n">
        <f aca="true">OFFSET(Datos!$B$1,1+$B$4+230,0)</f>
        <v>14.0069999999998</v>
      </c>
      <c r="C242" s="13" t="n">
        <f aca="true">OFFSET(Datos!$D$1,1+$B$4+230,0)</f>
        <v>165.250862755508</v>
      </c>
      <c r="D242" s="13" t="n">
        <f aca="true">OFFSET(Datos!$D$1,1+230,0)</f>
        <v>160.394740973536</v>
      </c>
      <c r="E242" s="13" t="n">
        <f aca="false">C242-D242</f>
        <v>4.85612178197192</v>
      </c>
    </row>
    <row r="243" customFormat="false" ht="15" hidden="false" customHeight="false" outlineLevel="0" collapsed="false">
      <c r="A243" s="2" t="n">
        <v>232</v>
      </c>
      <c r="B243" s="13" t="n">
        <f aca="true">OFFSET(Datos!$B$1,1+$B$4+231,0)</f>
        <v>14.057</v>
      </c>
      <c r="C243" s="13" t="n">
        <f aca="true">OFFSET(Datos!$D$1,1+$B$4+231,0)</f>
        <v>159.342164981118</v>
      </c>
      <c r="D243" s="13" t="n">
        <f aca="true">OFFSET(Datos!$D$1,1+231,0)</f>
        <v>160.384036810902</v>
      </c>
      <c r="E243" s="13" t="n">
        <f aca="false">C243-D243</f>
        <v>-1.04187182978384</v>
      </c>
    </row>
    <row r="244" customFormat="false" ht="15" hidden="false" customHeight="false" outlineLevel="0" collapsed="false">
      <c r="A244" s="2" t="n">
        <v>233</v>
      </c>
      <c r="B244" s="13" t="n">
        <f aca="true">OFFSET(Datos!$B$1,1+$B$4+232,0)</f>
        <v>14.107</v>
      </c>
      <c r="C244" s="13" t="n">
        <f aca="true">OFFSET(Datos!$D$1,1+$B$4+232,0)</f>
        <v>156.409224419192</v>
      </c>
      <c r="D244" s="13" t="n">
        <f aca="true">OFFSET(Datos!$D$1,1+232,0)</f>
        <v>163.887866046682</v>
      </c>
      <c r="E244" s="13" t="n">
        <f aca="false">C244-D244</f>
        <v>-7.47864162748942</v>
      </c>
    </row>
    <row r="245" customFormat="false" ht="15" hidden="false" customHeight="false" outlineLevel="0" collapsed="false">
      <c r="A245" s="2" t="n">
        <v>234</v>
      </c>
      <c r="B245" s="13" t="n">
        <f aca="true">OFFSET(Datos!$B$1,1+$B$4+233,0)</f>
        <v>14.1569999999999</v>
      </c>
      <c r="C245" s="13" t="n">
        <f aca="true">OFFSET(Datos!$D$1,1+$B$4+233,0)</f>
        <v>154.664445909725</v>
      </c>
      <c r="D245" s="13" t="n">
        <f aca="true">OFFSET(Datos!$D$1,1+233,0)</f>
        <v>163.152846879094</v>
      </c>
      <c r="E245" s="13" t="n">
        <f aca="false">C245-D245</f>
        <v>-8.48840096936894</v>
      </c>
    </row>
    <row r="246" customFormat="false" ht="15" hidden="false" customHeight="false" outlineLevel="0" collapsed="false">
      <c r="A246" s="2" t="n">
        <v>235</v>
      </c>
      <c r="B246" s="13" t="n">
        <f aca="true">OFFSET(Datos!$B$1,1+$B$4+234,0)</f>
        <v>14.2069999999999</v>
      </c>
      <c r="C246" s="13" t="n">
        <f aca="true">OFFSET(Datos!$D$1,1+$B$4+234,0)</f>
        <v>164.983258689639</v>
      </c>
      <c r="D246" s="13" t="n">
        <f aca="true">OFFSET(Datos!$D$1,1+234,0)</f>
        <v>166.613859464335</v>
      </c>
      <c r="E246" s="13" t="n">
        <f aca="false">C246-D246</f>
        <v>-1.63060077469592</v>
      </c>
    </row>
    <row r="247" customFormat="false" ht="15" hidden="false" customHeight="false" outlineLevel="0" collapsed="false">
      <c r="A247" s="2" t="n">
        <v>236</v>
      </c>
      <c r="B247" s="13" t="n">
        <f aca="true">OFFSET(Datos!$B$1,1+$B$4+235,0)</f>
        <v>14.2569999999998</v>
      </c>
      <c r="C247" s="13" t="n">
        <f aca="true">OFFSET(Datos!$D$1,1+$B$4+235,0)</f>
        <v>161.136896249547</v>
      </c>
      <c r="D247" s="13" t="n">
        <f aca="true">OFFSET(Datos!$D$1,1+235,0)</f>
        <v>169.489711158876</v>
      </c>
      <c r="E247" s="13" t="n">
        <f aca="false">C247-D247</f>
        <v>-8.3528149093286</v>
      </c>
    </row>
    <row r="248" customFormat="false" ht="15" hidden="false" customHeight="false" outlineLevel="0" collapsed="false">
      <c r="A248" s="2" t="n">
        <v>237</v>
      </c>
      <c r="B248" s="13" t="n">
        <f aca="true">OFFSET(Datos!$B$1,1+$B$4+236,0)</f>
        <v>14.307</v>
      </c>
      <c r="C248" s="13" t="n">
        <f aca="true">OFFSET(Datos!$D$1,1+$B$4+236,0)</f>
        <v>161.75060157394</v>
      </c>
      <c r="D248" s="13" t="n">
        <f aca="true">OFFSET(Datos!$D$1,1+236,0)</f>
        <v>161.029854623199</v>
      </c>
      <c r="E248" s="13" t="n">
        <f aca="false">C248-D248</f>
        <v>0.720746950740875</v>
      </c>
    </row>
    <row r="249" customFormat="false" ht="15" hidden="false" customHeight="false" outlineLevel="0" collapsed="false">
      <c r="A249" s="2" t="n">
        <v>238</v>
      </c>
      <c r="B249" s="13" t="n">
        <f aca="true">OFFSET(Datos!$B$1,1+$B$4+237,0)</f>
        <v>14.357</v>
      </c>
      <c r="C249" s="13" t="n">
        <f aca="true">OFFSET(Datos!$D$1,1+$B$4+237,0)</f>
        <v>170.342476115445</v>
      </c>
      <c r="D249" s="13" t="n">
        <f aca="true">OFFSET(Datos!$D$1,1+237,0)</f>
        <v>161.133328195335</v>
      </c>
      <c r="E249" s="13" t="n">
        <f aca="false">C249-D249</f>
        <v>9.20914792010984</v>
      </c>
    </row>
    <row r="250" customFormat="false" ht="15" hidden="false" customHeight="false" outlineLevel="0" collapsed="false">
      <c r="A250" s="2" t="n">
        <v>239</v>
      </c>
      <c r="B250" s="13" t="n">
        <f aca="true">OFFSET(Datos!$B$1,1+$B$4+238,0)</f>
        <v>14.4069999999999</v>
      </c>
      <c r="C250" s="13" t="n">
        <f aca="true">OFFSET(Datos!$D$1,1+$B$4+238,0)</f>
        <v>166.731605253318</v>
      </c>
      <c r="D250" s="13" t="n">
        <f aca="true">OFFSET(Datos!$D$1,1+238,0)</f>
        <v>161.015582406353</v>
      </c>
      <c r="E250" s="13" t="n">
        <f aca="false">C250-D250</f>
        <v>5.71602284696473</v>
      </c>
    </row>
    <row r="251" customFormat="false" ht="15" hidden="false" customHeight="false" outlineLevel="0" collapsed="false">
      <c r="A251" s="2" t="n">
        <v>240</v>
      </c>
      <c r="B251" s="13" t="n">
        <f aca="true">OFFSET(Datos!$B$1,1+$B$4+239,0)</f>
        <v>14.4569999999999</v>
      </c>
      <c r="C251" s="13" t="n">
        <f aca="true">OFFSET(Datos!$D$1,1+$B$4+239,0)</f>
        <v>163.470403703926</v>
      </c>
      <c r="D251" s="13" t="n">
        <f aca="true">OFFSET(Datos!$D$1,1+239,0)</f>
        <v>170.024919290614</v>
      </c>
      <c r="E251" s="13" t="n">
        <f aca="false">C251-D251</f>
        <v>-6.55451558668804</v>
      </c>
    </row>
    <row r="252" customFormat="false" ht="15" hidden="false" customHeight="false" outlineLevel="0" collapsed="false">
      <c r="A252" s="2" t="n">
        <v>241</v>
      </c>
      <c r="B252" s="13" t="n">
        <f aca="true">OFFSET(Datos!$B$1,1+$B$4+240,0)</f>
        <v>14.5069999999998</v>
      </c>
      <c r="C252" s="13" t="n">
        <f aca="true">OFFSET(Datos!$D$1,1+$B$4+240,0)</f>
        <v>162.528437392066</v>
      </c>
      <c r="D252" s="13" t="n">
        <f aca="true">OFFSET(Datos!$D$1,1+240,0)</f>
        <v>162.025341748232</v>
      </c>
      <c r="E252" s="13" t="n">
        <f aca="false">C252-D252</f>
        <v>0.503095643833973</v>
      </c>
    </row>
    <row r="253" customFormat="false" ht="15" hidden="false" customHeight="false" outlineLevel="0" collapsed="false">
      <c r="A253" s="2" t="n">
        <v>242</v>
      </c>
      <c r="B253" s="13" t="n">
        <f aca="true">OFFSET(Datos!$B$1,1+$B$4+241,0)</f>
        <v>14.557</v>
      </c>
      <c r="C253" s="13" t="n">
        <f aca="true">OFFSET(Datos!$D$1,1+$B$4+241,0)</f>
        <v>161.918300121885</v>
      </c>
      <c r="D253" s="13" t="n">
        <f aca="true">OFFSET(Datos!$D$1,1+241,0)</f>
        <v>159.067424806826</v>
      </c>
      <c r="E253" s="13" t="n">
        <f aca="false">C253-D253</f>
        <v>2.8508753150592</v>
      </c>
    </row>
    <row r="254" customFormat="false" ht="15" hidden="false" customHeight="false" outlineLevel="0" collapsed="false">
      <c r="A254" s="2" t="n">
        <v>243</v>
      </c>
      <c r="B254" s="13" t="n">
        <f aca="true">OFFSET(Datos!$B$1,1+$B$4+242,0)</f>
        <v>14.607</v>
      </c>
      <c r="C254" s="13" t="n">
        <f aca="true">OFFSET(Datos!$D$1,1+$B$4+242,0)</f>
        <v>160.483942328826</v>
      </c>
      <c r="D254" s="13" t="n">
        <f aca="true">OFFSET(Datos!$D$1,1+242,0)</f>
        <v>170.627920452372</v>
      </c>
      <c r="E254" s="13" t="n">
        <f aca="false">C254-D254</f>
        <v>-10.143978123546</v>
      </c>
    </row>
    <row r="255" customFormat="false" ht="15" hidden="false" customHeight="false" outlineLevel="0" collapsed="false">
      <c r="A255" s="2" t="n">
        <v>244</v>
      </c>
      <c r="B255" s="13" t="n">
        <f aca="true">OFFSET(Datos!$B$1,1+$B$4+243,0)</f>
        <v>14.6569999999999</v>
      </c>
      <c r="C255" s="13" t="n">
        <f aca="true">OFFSET(Datos!$D$1,1+$B$4+243,0)</f>
        <v>164.087677082531</v>
      </c>
      <c r="D255" s="13" t="n">
        <f aca="true">OFFSET(Datos!$D$1,1+243,0)</f>
        <v>160.687321418887</v>
      </c>
      <c r="E255" s="13" t="n">
        <f aca="false">C255-D255</f>
        <v>3.40035566364378</v>
      </c>
    </row>
    <row r="256" customFormat="false" ht="15" hidden="false" customHeight="false" outlineLevel="0" collapsed="false">
      <c r="A256" s="2" t="n">
        <v>245</v>
      </c>
      <c r="B256" s="13" t="n">
        <f aca="true">OFFSET(Datos!$B$1,1+$B$4+244,0)</f>
        <v>14.7069999999999</v>
      </c>
      <c r="C256" s="13" t="n">
        <f aca="true">OFFSET(Datos!$D$1,1+$B$4+244,0)</f>
        <v>163.969931293548</v>
      </c>
      <c r="D256" s="13" t="n">
        <f aca="true">OFFSET(Datos!$D$1,1+244,0)</f>
        <v>166.474705350083</v>
      </c>
      <c r="E256" s="13" t="n">
        <f aca="false">C256-D256</f>
        <v>-2.5047740565351</v>
      </c>
    </row>
    <row r="257" customFormat="false" ht="15" hidden="false" customHeight="false" outlineLevel="0" collapsed="false">
      <c r="A257" s="2" t="n">
        <v>246</v>
      </c>
      <c r="B257" s="13" t="n">
        <f aca="true">OFFSET(Datos!$B$1,1+$B$4+245,0)</f>
        <v>14.7569999999998</v>
      </c>
      <c r="C257" s="13" t="n">
        <f aca="true">OFFSET(Datos!$D$1,1+$B$4+245,0)</f>
        <v>166.949256560225</v>
      </c>
      <c r="D257" s="13" t="n">
        <f aca="true">OFFSET(Datos!$D$1,1+245,0)</f>
        <v>162.107406995099</v>
      </c>
      <c r="E257" s="13" t="n">
        <f aca="false">C257-D257</f>
        <v>4.84184956512556</v>
      </c>
    </row>
    <row r="258" customFormat="false" ht="15" hidden="false" customHeight="false" outlineLevel="0" collapsed="false">
      <c r="A258" s="2" t="n">
        <v>247</v>
      </c>
      <c r="B258" s="13" t="n">
        <f aca="true">OFFSET(Datos!$B$1,1+$B$4+246,0)</f>
        <v>14.807</v>
      </c>
      <c r="C258" s="13" t="n">
        <f aca="true">OFFSET(Datos!$D$1,1+$B$4+246,0)</f>
        <v>166.945688506013</v>
      </c>
      <c r="D258" s="13" t="n">
        <f aca="true">OFFSET(Datos!$D$1,1+246,0)</f>
        <v>162.578390151029</v>
      </c>
      <c r="E258" s="13" t="n">
        <f aca="false">C258-D258</f>
        <v>4.36729835498429</v>
      </c>
    </row>
    <row r="259" customFormat="false" ht="15" hidden="false" customHeight="false" outlineLevel="0" collapsed="false">
      <c r="A259" s="2" t="n">
        <v>248</v>
      </c>
      <c r="B259" s="13" t="n">
        <f aca="true">OFFSET(Datos!$B$1,1+$B$4+247,0)</f>
        <v>14.857</v>
      </c>
      <c r="C259" s="13" t="n">
        <f aca="true">OFFSET(Datos!$D$1,1+$B$4+247,0)</f>
        <v>163.399042619694</v>
      </c>
      <c r="D259" s="13" t="n">
        <f aca="true">OFFSET(Datos!$D$1,1+247,0)</f>
        <v>160.187793829264</v>
      </c>
      <c r="E259" s="13" t="n">
        <f aca="false">C259-D259</f>
        <v>3.21124879042961</v>
      </c>
    </row>
    <row r="260" customFormat="false" ht="15" hidden="false" customHeight="false" outlineLevel="0" collapsed="false">
      <c r="A260" s="2" t="n">
        <v>249</v>
      </c>
      <c r="B260" s="13" t="n">
        <f aca="true">OFFSET(Datos!$B$1,1+$B$4+248,0)</f>
        <v>14.9069999999999</v>
      </c>
      <c r="C260" s="13" t="n">
        <f aca="true">OFFSET(Datos!$D$1,1+$B$4+248,0)</f>
        <v>165.579123742975</v>
      </c>
      <c r="D260" s="13" t="n">
        <f aca="true">OFFSET(Datos!$D$1,1+248,0)</f>
        <v>152.958915996586</v>
      </c>
      <c r="E260" s="13" t="n">
        <f aca="false">C260-D260</f>
        <v>12.6202077463884</v>
      </c>
    </row>
    <row r="261" customFormat="false" ht="15" hidden="false" customHeight="false" outlineLevel="0" collapsed="false">
      <c r="A261" s="2" t="n">
        <v>250</v>
      </c>
      <c r="B261" s="13" t="n">
        <f aca="true">OFFSET(Datos!$B$1,1+$B$4+249,0)</f>
        <v>14.9569999999999</v>
      </c>
      <c r="C261" s="13" t="n">
        <f aca="true">OFFSET(Datos!$D$1,1+$B$4+249,0)</f>
        <v>169.214970984583</v>
      </c>
      <c r="D261" s="13" t="n">
        <f aca="true">OFFSET(Datos!$D$1,1+249,0)</f>
        <v>159.823852299682</v>
      </c>
      <c r="E261" s="13" t="n">
        <f aca="false">C261-D261</f>
        <v>9.39111868490087</v>
      </c>
    </row>
    <row r="262" customFormat="false" ht="15" hidden="false" customHeight="false" outlineLevel="0" collapsed="false">
      <c r="A262" s="2" t="n">
        <v>251</v>
      </c>
      <c r="B262" s="13" t="n">
        <f aca="true">OFFSET(Datos!$B$1,1+$B$4+250,0)</f>
        <v>15.0069999999998</v>
      </c>
      <c r="C262" s="13" t="n">
        <f aca="true">OFFSET(Datos!$D$1,1+$B$4+250,0)</f>
        <v>167.284653656114</v>
      </c>
      <c r="D262" s="13" t="n">
        <f aca="true">OFFSET(Datos!$D$1,1+250,0)</f>
        <v>165.689733423534</v>
      </c>
      <c r="E262" s="13" t="n">
        <f aca="false">C262-D262</f>
        <v>1.59492023258002</v>
      </c>
    </row>
    <row r="263" customFormat="false" ht="15" hidden="false" customHeight="false" outlineLevel="0" collapsed="false">
      <c r="A263" s="2" t="n">
        <v>252</v>
      </c>
      <c r="B263" s="13" t="n">
        <f aca="true">OFFSET(Datos!$B$1,1+$B$4+251,0)</f>
        <v>15.057</v>
      </c>
      <c r="C263" s="13" t="n">
        <f aca="true">OFFSET(Datos!$D$1,1+$B$4+251,0)</f>
        <v>162.892378921648</v>
      </c>
      <c r="D263" s="13" t="n">
        <f aca="true">OFFSET(Datos!$D$1,1+251,0)</f>
        <v>165.768230616189</v>
      </c>
      <c r="E263" s="13" t="n">
        <f aca="false">C263-D263</f>
        <v>-2.87585169454033</v>
      </c>
    </row>
    <row r="264" customFormat="false" ht="15" hidden="false" customHeight="false" outlineLevel="0" collapsed="false">
      <c r="A264" s="2" t="n">
        <v>253</v>
      </c>
      <c r="B264" s="13" t="n">
        <f aca="true">OFFSET(Datos!$B$1,1+$B$4+252,0)</f>
        <v>15.107</v>
      </c>
      <c r="C264" s="13" t="n">
        <f aca="true">OFFSET(Datos!$D$1,1+$B$4+252,0)</f>
        <v>162.567685988394</v>
      </c>
      <c r="D264" s="13" t="n">
        <f aca="true">OFFSET(Datos!$D$1,1+252,0)</f>
        <v>161.411636423839</v>
      </c>
      <c r="E264" s="13" t="n">
        <f aca="false">C264-D264</f>
        <v>1.15604956455465</v>
      </c>
    </row>
    <row r="265" customFormat="false" ht="15" hidden="false" customHeight="false" outlineLevel="0" collapsed="false">
      <c r="A265" s="2" t="n">
        <v>254</v>
      </c>
      <c r="B265" s="13" t="n">
        <f aca="true">OFFSET(Datos!$B$1,1+$B$4+253,0)</f>
        <v>15.1569999999999</v>
      </c>
      <c r="C265" s="13" t="n">
        <f aca="true">OFFSET(Datos!$D$1,1+$B$4+253,0)</f>
        <v>168.979479406618</v>
      </c>
      <c r="D265" s="13" t="n">
        <f aca="true">OFFSET(Datos!$D$1,1+253,0)</f>
        <v>162.435667982565</v>
      </c>
      <c r="E265" s="13" t="n">
        <f aca="false">C265-D265</f>
        <v>6.54381142405325</v>
      </c>
    </row>
    <row r="266" customFormat="false" ht="15" hidden="false" customHeight="false" outlineLevel="0" collapsed="false">
      <c r="A266" s="2" t="n">
        <v>255</v>
      </c>
      <c r="B266" s="13" t="n">
        <f aca="true">OFFSET(Datos!$B$1,1+$B$4+254,0)</f>
        <v>15.2069999999999</v>
      </c>
      <c r="C266" s="13" t="n">
        <f aca="true">OFFSET(Datos!$D$1,1+$B$4+254,0)</f>
        <v>160.680185310464</v>
      </c>
      <c r="D266" s="13" t="n">
        <f aca="true">OFFSET(Datos!$D$1,1+254,0)</f>
        <v>174.096069146036</v>
      </c>
      <c r="E266" s="13" t="n">
        <f aca="false">C266-D266</f>
        <v>-13.4158838355727</v>
      </c>
    </row>
    <row r="267" customFormat="false" ht="15" hidden="false" customHeight="false" outlineLevel="0" collapsed="false">
      <c r="A267" s="2" t="n">
        <v>256</v>
      </c>
      <c r="B267" s="13" t="n">
        <f aca="true">OFFSET(Datos!$B$1,1+$B$4+255,0)</f>
        <v>15.2569999999998</v>
      </c>
      <c r="C267" s="13" t="n">
        <f aca="true">OFFSET(Datos!$D$1,1+$B$4+255,0)</f>
        <v>165.907384730441</v>
      </c>
      <c r="D267" s="13" t="n">
        <f aca="true">OFFSET(Datos!$D$1,1+255,0)</f>
        <v>159.955870305511</v>
      </c>
      <c r="E267" s="13" t="n">
        <f aca="false">C267-D267</f>
        <v>5.95151442492957</v>
      </c>
    </row>
    <row r="268" customFormat="false" ht="15" hidden="false" customHeight="false" outlineLevel="0" collapsed="false">
      <c r="A268" s="2" t="n">
        <v>257</v>
      </c>
      <c r="B268" s="13" t="n">
        <f aca="true">OFFSET(Datos!$B$1,1+$B$4+256,0)</f>
        <v>15.307</v>
      </c>
      <c r="C268" s="13" t="n">
        <f aca="true">OFFSET(Datos!$D$1,1+$B$4+256,0)</f>
        <v>167.102682891323</v>
      </c>
      <c r="D268" s="13" t="n">
        <f aca="true">OFFSET(Datos!$D$1,1+256,0)</f>
        <v>160.594552009385</v>
      </c>
      <c r="E268" s="13" t="n">
        <f aca="false">C268-D268</f>
        <v>6.50813088193738</v>
      </c>
    </row>
    <row r="269" customFormat="false" ht="15" hidden="false" customHeight="false" outlineLevel="0" collapsed="false">
      <c r="A269" s="2" t="n">
        <v>258</v>
      </c>
      <c r="B269" s="13" t="n">
        <f aca="true">OFFSET(Datos!$B$1,1+$B$4+257,0)</f>
        <v>15.357</v>
      </c>
      <c r="C269" s="13" t="n">
        <f aca="true">OFFSET(Datos!$D$1,1+$B$4+257,0)</f>
        <v>163.152846879094</v>
      </c>
      <c r="D269" s="13" t="n">
        <f aca="true">OFFSET(Datos!$D$1,1+257,0)</f>
        <v>166.992073210764</v>
      </c>
      <c r="E269" s="13" t="n">
        <f aca="false">C269-D269</f>
        <v>-3.83922633166921</v>
      </c>
    </row>
    <row r="270" customFormat="false" ht="15" hidden="false" customHeight="false" outlineLevel="0" collapsed="false">
      <c r="A270" s="2" t="n">
        <v>259</v>
      </c>
      <c r="B270" s="13" t="n">
        <f aca="true">OFFSET(Datos!$B$1,1+$B$4+258,0)</f>
        <v>15.4069999999999</v>
      </c>
      <c r="C270" s="13" t="n">
        <f aca="true">OFFSET(Datos!$D$1,1+$B$4+258,0)</f>
        <v>167.281085601902</v>
      </c>
      <c r="D270" s="13" t="n">
        <f aca="true">OFFSET(Datos!$D$1,1+258,0)</f>
        <v>162.853130325321</v>
      </c>
      <c r="E270" s="13" t="n">
        <f aca="false">C270-D270</f>
        <v>4.42795527658129</v>
      </c>
    </row>
    <row r="271" customFormat="false" ht="15" hidden="false" customHeight="false" outlineLevel="0" collapsed="false">
      <c r="A271" s="2" t="n">
        <v>260</v>
      </c>
      <c r="B271" s="13" t="n">
        <f aca="true">OFFSET(Datos!$B$1,1+$B$4+259,0)</f>
        <v>15.4569999999999</v>
      </c>
      <c r="C271" s="13" t="n">
        <f aca="true">OFFSET(Datos!$D$1,1+$B$4+259,0)</f>
        <v>167.184748138189</v>
      </c>
      <c r="D271" s="13" t="n">
        <f aca="true">OFFSET(Datos!$D$1,1+259,0)</f>
        <v>164.505139425286</v>
      </c>
      <c r="E271" s="13" t="n">
        <f aca="false">C271-D271</f>
        <v>2.67960871290293</v>
      </c>
    </row>
    <row r="272" customFormat="false" ht="15" hidden="false" customHeight="false" outlineLevel="0" collapsed="false">
      <c r="A272" s="2" t="n">
        <v>261</v>
      </c>
      <c r="B272" s="13" t="n">
        <f aca="true">OFFSET(Datos!$B$1,1+$B$4+260,0)</f>
        <v>15.5069999999998</v>
      </c>
      <c r="C272" s="13" t="n">
        <f aca="true">OFFSET(Datos!$D$1,1+$B$4+260,0)</f>
        <v>166.720901090683</v>
      </c>
      <c r="D272" s="13" t="n">
        <f aca="true">OFFSET(Datos!$D$1,1+260,0)</f>
        <v>165.315087731317</v>
      </c>
      <c r="E272" s="13" t="n">
        <f aca="false">C272-D272</f>
        <v>1.40581335936585</v>
      </c>
    </row>
    <row r="273" customFormat="false" ht="15" hidden="false" customHeight="false" outlineLevel="0" collapsed="false">
      <c r="A273" s="2" t="n">
        <v>262</v>
      </c>
      <c r="B273" s="13" t="n">
        <f aca="true">OFFSET(Datos!$B$1,1+$B$4+261,0)</f>
        <v>15.557</v>
      </c>
      <c r="C273" s="13" t="n">
        <f aca="true">OFFSET(Datos!$D$1,1+$B$4+261,0)</f>
        <v>163.302705155981</v>
      </c>
      <c r="D273" s="13" t="n">
        <f aca="true">OFFSET(Datos!$D$1,1+261,0)</f>
        <v>166.578178922219</v>
      </c>
      <c r="E273" s="13" t="n">
        <f aca="false">C273-D273</f>
        <v>-3.27547376623821</v>
      </c>
    </row>
    <row r="274" customFormat="false" ht="15" hidden="false" customHeight="false" outlineLevel="0" collapsed="false">
      <c r="A274" s="2" t="n">
        <v>263</v>
      </c>
      <c r="B274" s="13" t="n">
        <f aca="true">OFFSET(Datos!$B$1,1+$B$4+262,0)</f>
        <v>15.607</v>
      </c>
      <c r="C274" s="13" t="n">
        <f aca="true">OFFSET(Datos!$D$1,1+$B$4+262,0)</f>
        <v>166.235645717907</v>
      </c>
      <c r="D274" s="13" t="n">
        <f aca="true">OFFSET(Datos!$D$1,1+262,0)</f>
        <v>165.293679406047</v>
      </c>
      <c r="E274" s="13" t="n">
        <f aca="false">C274-D274</f>
        <v>0.941966311859346</v>
      </c>
    </row>
    <row r="275" customFormat="false" ht="15" hidden="false" customHeight="false" outlineLevel="0" collapsed="false">
      <c r="A275" s="2" t="n">
        <v>264</v>
      </c>
      <c r="B275" s="13" t="n">
        <f aca="true">OFFSET(Datos!$B$1,1+$B$4+263,0)</f>
        <v>15.6569999999999</v>
      </c>
      <c r="C275" s="13" t="n">
        <f aca="true">OFFSET(Datos!$D$1,1+$B$4+263,0)</f>
        <v>164.605044943211</v>
      </c>
      <c r="D275" s="13" t="n">
        <f aca="true">OFFSET(Datos!$D$1,1+263,0)</f>
        <v>171.841058884312</v>
      </c>
      <c r="E275" s="13" t="n">
        <f aca="false">C275-D275</f>
        <v>-7.23601394110142</v>
      </c>
    </row>
    <row r="276" customFormat="false" ht="15" hidden="false" customHeight="false" outlineLevel="0" collapsed="false">
      <c r="A276" s="2" t="n">
        <v>265</v>
      </c>
      <c r="B276" s="13" t="n">
        <f aca="true">OFFSET(Datos!$B$1,1+$B$4+264,0)</f>
        <v>15.7069999999999</v>
      </c>
      <c r="C276" s="13" t="n">
        <f aca="true">OFFSET(Datos!$D$1,1+$B$4+264,0)</f>
        <v>165.971609706249</v>
      </c>
      <c r="D276" s="13" t="n">
        <f aca="true">OFFSET(Datos!$D$1,1+264,0)</f>
        <v>170.688577373969</v>
      </c>
      <c r="E276" s="13" t="n">
        <f aca="false">C276-D276</f>
        <v>-4.71696766771996</v>
      </c>
    </row>
    <row r="277" customFormat="false" ht="15" hidden="false" customHeight="false" outlineLevel="0" collapsed="false">
      <c r="A277" s="2" t="n">
        <v>266</v>
      </c>
      <c r="B277" s="13" t="n">
        <f aca="true">OFFSET(Datos!$B$1,1+$B$4+265,0)</f>
        <v>15.7569999999998</v>
      </c>
      <c r="C277" s="13" t="n">
        <f aca="true">OFFSET(Datos!$D$1,1+$B$4+265,0)</f>
        <v>165.015371177544</v>
      </c>
      <c r="D277" s="13" t="n">
        <f aca="true">OFFSET(Datos!$D$1,1+265,0)</f>
        <v>165.796775049881</v>
      </c>
      <c r="E277" s="13" t="n">
        <f aca="false">C277-D277</f>
        <v>-0.781403872337876</v>
      </c>
    </row>
    <row r="278" customFormat="false" ht="15" hidden="false" customHeight="false" outlineLevel="0" collapsed="false">
      <c r="A278" s="2" t="n">
        <v>267</v>
      </c>
      <c r="B278" s="13" t="n">
        <f aca="true">OFFSET(Datos!$B$1,1+$B$4+266,0)</f>
        <v>15.807</v>
      </c>
      <c r="C278" s="13" t="n">
        <f aca="true">OFFSET(Datos!$D$1,1+$B$4+266,0)</f>
        <v>166.217805446849</v>
      </c>
      <c r="D278" s="13" t="n">
        <f aca="true">OFFSET(Datos!$D$1,1+266,0)</f>
        <v>166.62456362697</v>
      </c>
      <c r="E278" s="13" t="n">
        <f aca="false">C278-D278</f>
        <v>-0.406758180121102</v>
      </c>
    </row>
    <row r="279" customFormat="false" ht="15" hidden="false" customHeight="false" outlineLevel="0" collapsed="false">
      <c r="A279" s="2" t="n">
        <v>268</v>
      </c>
      <c r="B279" s="13" t="n">
        <f aca="true">OFFSET(Datos!$B$1,1+$B$4+267,0)</f>
        <v>15.857</v>
      </c>
      <c r="C279" s="13" t="n">
        <f aca="true">OFFSET(Datos!$D$1,1+$B$4+267,0)</f>
        <v>159.93089392603</v>
      </c>
      <c r="D279" s="13" t="n">
        <f aca="true">OFFSET(Datos!$D$1,1+267,0)</f>
        <v>165.611236230879</v>
      </c>
      <c r="E279" s="13" t="n">
        <f aca="false">C279-D279</f>
        <v>-5.68034230484884</v>
      </c>
    </row>
    <row r="280" customFormat="false" ht="15" hidden="false" customHeight="false" outlineLevel="0" collapsed="false">
      <c r="A280" s="2" t="n">
        <v>269</v>
      </c>
      <c r="B280" s="13" t="n">
        <f aca="true">OFFSET(Datos!$B$1,1+$B$4+268,0)</f>
        <v>15.9069999999999</v>
      </c>
      <c r="C280" s="13" t="n">
        <f aca="true">OFFSET(Datos!$D$1,1+$B$4+268,0)</f>
        <v>162.742520644762</v>
      </c>
      <c r="D280" s="13" t="n">
        <f aca="true">OFFSET(Datos!$D$1,1+268,0)</f>
        <v>163.431155107598</v>
      </c>
      <c r="E280" s="13" t="n">
        <f aca="false">C280-D280</f>
        <v>-0.688634462836603</v>
      </c>
    </row>
    <row r="281" customFormat="false" ht="15" hidden="false" customHeight="false" outlineLevel="0" collapsed="false">
      <c r="A281" s="2" t="n">
        <v>270</v>
      </c>
      <c r="B281" s="13" t="n">
        <f aca="true">OFFSET(Datos!$B$1,1+$B$4+269,0)</f>
        <v>15.9569999999999</v>
      </c>
      <c r="C281" s="13" t="n">
        <f aca="true">OFFSET(Datos!$D$1,1+$B$4+269,0)</f>
        <v>168.547744847016</v>
      </c>
      <c r="D281" s="13" t="n">
        <f aca="true">OFFSET(Datos!$D$1,1+269,0)</f>
        <v>159.227987246347</v>
      </c>
      <c r="E281" s="13" t="n">
        <f aca="false">C281-D281</f>
        <v>9.31975760066908</v>
      </c>
    </row>
    <row r="282" customFormat="false" ht="15" hidden="false" customHeight="false" outlineLevel="0" collapsed="false">
      <c r="A282" s="2" t="n">
        <v>271</v>
      </c>
      <c r="B282" s="13" t="n">
        <f aca="true">OFFSET(Datos!$B$1,1+$B$4+270,0)</f>
        <v>16.0069999999998</v>
      </c>
      <c r="C282" s="13" t="n">
        <f aca="true">OFFSET(Datos!$D$1,1+$B$4+270,0)</f>
        <v>169.371965369893</v>
      </c>
      <c r="D282" s="13" t="n">
        <f aca="true">OFFSET(Datos!$D$1,1+270,0)</f>
        <v>161.522246104398</v>
      </c>
      <c r="E282" s="13" t="n">
        <f aca="false">C282-D282</f>
        <v>7.84971926549463</v>
      </c>
    </row>
    <row r="283" customFormat="false" ht="15" hidden="false" customHeight="false" outlineLevel="0" collapsed="false">
      <c r="A283" s="2" t="n">
        <v>272</v>
      </c>
      <c r="B283" s="13" t="n">
        <f aca="true">OFFSET(Datos!$B$1,1+$B$4+271,0)</f>
        <v>16.057</v>
      </c>
      <c r="C283" s="13" t="n">
        <f aca="true">OFFSET(Datos!$D$1,1+$B$4+271,0)</f>
        <v>166.117899928924</v>
      </c>
      <c r="D283" s="13" t="n">
        <f aca="true">OFFSET(Datos!$D$1,1+271,0)</f>
        <v>164.797719870637</v>
      </c>
      <c r="E283" s="13" t="n">
        <f aca="false">C283-D283</f>
        <v>1.32018005828775</v>
      </c>
    </row>
    <row r="284" customFormat="false" ht="15" hidden="false" customHeight="false" outlineLevel="0" collapsed="false">
      <c r="A284" s="2" t="n">
        <v>273</v>
      </c>
      <c r="B284" s="13" t="n">
        <f aca="true">OFFSET(Datos!$B$1,1+$B$4+272,0)</f>
        <v>16.107</v>
      </c>
      <c r="C284" s="13" t="n">
        <f aca="true">OFFSET(Datos!$D$1,1+$B$4+272,0)</f>
        <v>162.182336133542</v>
      </c>
      <c r="D284" s="13" t="n">
        <f aca="true">OFFSET(Datos!$D$1,1+272,0)</f>
        <v>160.690889473098</v>
      </c>
      <c r="E284" s="13" t="n">
        <f aca="false">C284-D284</f>
        <v>1.49144666044398</v>
      </c>
    </row>
    <row r="285" customFormat="false" ht="15" hidden="false" customHeight="false" outlineLevel="0" collapsed="false">
      <c r="A285" s="2" t="n">
        <v>274</v>
      </c>
      <c r="B285" s="13" t="n">
        <f aca="true">OFFSET(Datos!$B$1,1+$B$4+273,0)</f>
        <v>16.1569999999999</v>
      </c>
      <c r="C285" s="13" t="n">
        <f aca="true">OFFSET(Datos!$D$1,1+$B$4+273,0)</f>
        <v>164.919033713831</v>
      </c>
      <c r="D285" s="13" t="n">
        <f aca="true">OFFSET(Datos!$D$1,1+273,0)</f>
        <v>168.654786473364</v>
      </c>
      <c r="E285" s="13" t="n">
        <f aca="false">C285-D285</f>
        <v>-3.73575275953314</v>
      </c>
    </row>
    <row r="286" customFormat="false" ht="15" hidden="false" customHeight="false" outlineLevel="0" collapsed="false">
      <c r="A286" s="2" t="n">
        <v>275</v>
      </c>
      <c r="B286" s="13" t="n">
        <f aca="true">OFFSET(Datos!$B$1,1+$B$4+274,0)</f>
        <v>16.2069999999999</v>
      </c>
      <c r="C286" s="13" t="n">
        <f aca="true">OFFSET(Datos!$D$1,1+$B$4+274,0)</f>
        <v>167.459488312482</v>
      </c>
      <c r="D286" s="13" t="n">
        <f aca="true">OFFSET(Datos!$D$1,1+274,0)</f>
        <v>157.418983761072</v>
      </c>
      <c r="E286" s="13" t="n">
        <f aca="false">C286-D286</f>
        <v>10.04050455141</v>
      </c>
    </row>
    <row r="287" customFormat="false" ht="15" hidden="false" customHeight="false" outlineLevel="0" collapsed="false">
      <c r="A287" s="2" t="n">
        <v>276</v>
      </c>
      <c r="B287" s="13" t="n">
        <f aca="true">OFFSET(Datos!$B$1,1+$B$4+275,0)</f>
        <v>16.2569999999998</v>
      </c>
      <c r="C287" s="13" t="n">
        <f aca="true">OFFSET(Datos!$D$1,1+$B$4+275,0)</f>
        <v>163.784392474546</v>
      </c>
      <c r="D287" s="13" t="n">
        <f aca="true">OFFSET(Datos!$D$1,1+275,0)</f>
        <v>163.302705155981</v>
      </c>
      <c r="E287" s="13" t="n">
        <f aca="false">C287-D287</f>
        <v>0.48168731856444</v>
      </c>
    </row>
    <row r="288" customFormat="false" ht="15" hidden="false" customHeight="false" outlineLevel="0" collapsed="false">
      <c r="A288" s="2" t="n">
        <v>277</v>
      </c>
      <c r="B288" s="13" t="n">
        <f aca="true">OFFSET(Datos!$B$1,1+$B$4+276,0)</f>
        <v>16.307</v>
      </c>
      <c r="C288" s="13" t="n">
        <f aca="true">OFFSET(Datos!$D$1,1+$B$4+276,0)</f>
        <v>162.756792861608</v>
      </c>
      <c r="D288" s="13" t="n">
        <f aca="true">OFFSET(Datos!$D$1,1+276,0)</f>
        <v>160.658776985194</v>
      </c>
      <c r="E288" s="13" t="n">
        <f aca="false">C288-D288</f>
        <v>2.09801587641402</v>
      </c>
    </row>
    <row r="289" customFormat="false" ht="15" hidden="false" customHeight="false" outlineLevel="0" collapsed="false">
      <c r="A289" s="2" t="n">
        <v>278</v>
      </c>
      <c r="B289" s="13" t="n">
        <f aca="true">OFFSET(Datos!$B$1,1+$B$4+277,0)</f>
        <v>16.357</v>
      </c>
      <c r="C289" s="13" t="n">
        <f aca="true">OFFSET(Datos!$D$1,1+$B$4+277,0)</f>
        <v>165.593395959821</v>
      </c>
      <c r="D289" s="13" t="n">
        <f aca="true">OFFSET(Datos!$D$1,1+277,0)</f>
        <v>158.278884826065</v>
      </c>
      <c r="E289" s="13" t="n">
        <f aca="false">C289-D289</f>
        <v>7.31451113375636</v>
      </c>
    </row>
    <row r="290" customFormat="false" ht="15" hidden="false" customHeight="false" outlineLevel="0" collapsed="false">
      <c r="A290" s="2" t="n">
        <v>279</v>
      </c>
      <c r="B290" s="13" t="n">
        <f aca="true">OFFSET(Datos!$B$1,1+$B$4+278,0)</f>
        <v>16.4069999999999</v>
      </c>
      <c r="C290" s="13" t="n">
        <f aca="true">OFFSET(Datos!$D$1,1+$B$4+278,0)</f>
        <v>163.302705155981</v>
      </c>
      <c r="D290" s="13" t="n">
        <f aca="true">OFFSET(Datos!$D$1,1+278,0)</f>
        <v>161.743465465517</v>
      </c>
      <c r="E290" s="13" t="n">
        <f aca="false">C290-D290</f>
        <v>1.55923969046415</v>
      </c>
    </row>
    <row r="291" customFormat="false" ht="15" hidden="false" customHeight="false" outlineLevel="0" collapsed="false">
      <c r="A291" s="2" t="n">
        <v>280</v>
      </c>
      <c r="B291" s="13" t="n">
        <f aca="true">OFFSET(Datos!$B$1,1+$B$4+279,0)</f>
        <v>16.4569999999999</v>
      </c>
      <c r="C291" s="13" t="n">
        <f aca="true">OFFSET(Datos!$D$1,1+$B$4+279,0)</f>
        <v>162.835290054263</v>
      </c>
      <c r="D291" s="13" t="n">
        <f aca="true">OFFSET(Datos!$D$1,1+279,0)</f>
        <v>157.015793635162</v>
      </c>
      <c r="E291" s="13" t="n">
        <f aca="false">C291-D291</f>
        <v>5.81949641910077</v>
      </c>
    </row>
    <row r="292" customFormat="false" ht="15" hidden="false" customHeight="false" outlineLevel="0" collapsed="false">
      <c r="A292" s="2" t="n">
        <v>281</v>
      </c>
      <c r="B292" s="13" t="n">
        <f aca="true">OFFSET(Datos!$B$1,1+$B$4+280,0)</f>
        <v>16.5069999999998</v>
      </c>
      <c r="C292" s="13" t="n">
        <f aca="true">OFFSET(Datos!$D$1,1+$B$4+280,0)</f>
        <v>161.66140021865</v>
      </c>
      <c r="D292" s="13" t="n">
        <f aca="true">OFFSET(Datos!$D$1,1+280,0)</f>
        <v>165.250862755508</v>
      </c>
      <c r="E292" s="13" t="n">
        <f aca="false">C292-D292</f>
        <v>-3.58946253685801</v>
      </c>
    </row>
    <row r="293" customFormat="false" ht="15" hidden="false" customHeight="false" outlineLevel="0" collapsed="false">
      <c r="A293" s="2" t="n">
        <v>282</v>
      </c>
      <c r="B293" s="13" t="n">
        <f aca="true">OFFSET(Datos!$B$1,1+$B$4+281,0)</f>
        <v>16.557</v>
      </c>
      <c r="C293" s="13" t="n">
        <f aca="true">OFFSET(Datos!$D$1,1+$B$4+281,0)</f>
        <v>168.640514256517</v>
      </c>
      <c r="D293" s="13" t="n">
        <f aca="true">OFFSET(Datos!$D$1,1+281,0)</f>
        <v>159.342164981118</v>
      </c>
      <c r="E293" s="13" t="n">
        <f aca="false">C293-D293</f>
        <v>9.29834927539955</v>
      </c>
    </row>
    <row r="294" customFormat="false" ht="15" hidden="false" customHeight="false" outlineLevel="0" collapsed="false">
      <c r="A294" s="2" t="n">
        <v>283</v>
      </c>
      <c r="B294" s="13" t="n">
        <f aca="true">OFFSET(Datos!$B$1,1+$B$4+282,0)</f>
        <v>16.607</v>
      </c>
      <c r="C294" s="13" t="n">
        <f aca="true">OFFSET(Datos!$D$1,1+$B$4+282,0)</f>
        <v>159.402821902715</v>
      </c>
      <c r="D294" s="13" t="n">
        <f aca="true">OFFSET(Datos!$D$1,1+282,0)</f>
        <v>156.409224419192</v>
      </c>
      <c r="E294" s="13" t="n">
        <f aca="false">C294-D294</f>
        <v>2.99359748352271</v>
      </c>
    </row>
    <row r="295" customFormat="false" ht="15" hidden="false" customHeight="false" outlineLevel="0" collapsed="false">
      <c r="A295" s="2" t="n">
        <v>284</v>
      </c>
      <c r="B295" s="13" t="n">
        <f aca="true">OFFSET(Datos!$B$1,1+$B$4+283,0)</f>
        <v>16.6579999999999</v>
      </c>
      <c r="C295" s="13" t="n">
        <f aca="true">OFFSET(Datos!$D$1,1+$B$4+283,0)</f>
        <v>164.091245136742</v>
      </c>
      <c r="D295" s="13" t="n">
        <f aca="true">OFFSET(Datos!$D$1,1+283,0)</f>
        <v>154.664445909725</v>
      </c>
      <c r="E295" s="13" t="n">
        <f aca="false">C295-D295</f>
        <v>9.42679922701672</v>
      </c>
    </row>
    <row r="296" customFormat="false" ht="15" hidden="false" customHeight="false" outlineLevel="0" collapsed="false">
      <c r="A296" s="2" t="n">
        <v>285</v>
      </c>
      <c r="B296" s="13" t="n">
        <f aca="true">OFFSET(Datos!$B$1,1+$B$4+284,0)</f>
        <v>16.7079999999999</v>
      </c>
      <c r="C296" s="13" t="n">
        <f aca="true">OFFSET(Datos!$D$1,1+$B$4+284,0)</f>
        <v>165.425697411876</v>
      </c>
      <c r="D296" s="13" t="n">
        <f aca="true">OFFSET(Datos!$D$1,1+284,0)</f>
        <v>164.983258689639</v>
      </c>
      <c r="E296" s="13" t="n">
        <f aca="false">C296-D296</f>
        <v>0.442438722236972</v>
      </c>
    </row>
    <row r="297" customFormat="false" ht="15" hidden="false" customHeight="false" outlineLevel="0" collapsed="false">
      <c r="A297" s="2" t="n">
        <v>286</v>
      </c>
      <c r="B297" s="13" t="n">
        <f aca="true">OFFSET(Datos!$B$1,1+$B$4+285,0)</f>
        <v>16.7579999999998</v>
      </c>
      <c r="C297" s="13" t="n">
        <f aca="true">OFFSET(Datos!$D$1,1+$B$4+285,0)</f>
        <v>162.125247266157</v>
      </c>
      <c r="D297" s="13" t="n">
        <f aca="true">OFFSET(Datos!$D$1,1+285,0)</f>
        <v>161.136896249547</v>
      </c>
      <c r="E297" s="13" t="n">
        <f aca="false">C297-D297</f>
        <v>0.988351016609983</v>
      </c>
    </row>
    <row r="298" customFormat="false" ht="15" hidden="false" customHeight="false" outlineLevel="0" collapsed="false">
      <c r="A298" s="2" t="n">
        <v>287</v>
      </c>
      <c r="B298" s="13" t="n">
        <f aca="true">OFFSET(Datos!$B$1,1+$B$4+286,0)</f>
        <v>16.808</v>
      </c>
      <c r="C298" s="13" t="n">
        <f aca="true">OFFSET(Datos!$D$1,1+$B$4+286,0)</f>
        <v>165.154525291796</v>
      </c>
      <c r="D298" s="13" t="n">
        <f aca="true">OFFSET(Datos!$D$1,1+286,0)</f>
        <v>161.75060157394</v>
      </c>
      <c r="E298" s="13" t="n">
        <f aca="false">C298-D298</f>
        <v>3.40392371785541</v>
      </c>
    </row>
    <row r="299" customFormat="false" ht="15" hidden="false" customHeight="false" outlineLevel="0" collapsed="false">
      <c r="A299" s="2" t="n">
        <v>288</v>
      </c>
      <c r="B299" s="13" t="n">
        <f aca="true">OFFSET(Datos!$B$1,1+$B$4+287,0)</f>
        <v>16.8579999999999</v>
      </c>
      <c r="C299" s="13" t="n">
        <f aca="true">OFFSET(Datos!$D$1,1+$B$4+287,0)</f>
        <v>161.229665659048</v>
      </c>
      <c r="D299" s="13" t="n">
        <f aca="true">OFFSET(Datos!$D$1,1+287,0)</f>
        <v>170.342476115445</v>
      </c>
      <c r="E299" s="13" t="n">
        <f aca="false">C299-D299</f>
        <v>-9.11281045639694</v>
      </c>
    </row>
    <row r="300" customFormat="false" ht="15" hidden="false" customHeight="false" outlineLevel="0" collapsed="false">
      <c r="A300" s="2" t="n">
        <v>289</v>
      </c>
      <c r="B300" s="13" t="n">
        <f aca="true">OFFSET(Datos!$B$1,1+$B$4+288,0)</f>
        <v>16.9079999999999</v>
      </c>
      <c r="C300" s="13" t="n">
        <f aca="true">OFFSET(Datos!$D$1,1+$B$4+288,0)</f>
        <v>171.559182601597</v>
      </c>
      <c r="D300" s="13" t="n">
        <f aca="true">OFFSET(Datos!$D$1,1+288,0)</f>
        <v>166.731605253318</v>
      </c>
      <c r="E300" s="13" t="n">
        <f aca="false">C300-D300</f>
        <v>4.82757734827919</v>
      </c>
    </row>
    <row r="301" customFormat="false" ht="15" hidden="false" customHeight="false" outlineLevel="0" collapsed="false">
      <c r="A301" s="2" t="n">
        <v>290</v>
      </c>
      <c r="B301" s="13" t="n">
        <f aca="true">OFFSET(Datos!$B$1,1+$B$4+289,0)</f>
        <v>16.9579999999999</v>
      </c>
      <c r="C301" s="13" t="n">
        <f aca="true">OFFSET(Datos!$D$1,1+$B$4+289,0)</f>
        <v>160.680185310464</v>
      </c>
      <c r="D301" s="13" t="n">
        <f aca="true">OFFSET(Datos!$D$1,1+289,0)</f>
        <v>163.470403703926</v>
      </c>
      <c r="E301" s="13" t="n">
        <f aca="false">C301-D301</f>
        <v>-2.79021839346217</v>
      </c>
    </row>
    <row r="302" customFormat="false" ht="15" hidden="false" customHeight="false" outlineLevel="0" collapsed="false">
      <c r="A302" s="2" t="n">
        <v>291</v>
      </c>
      <c r="B302" s="13" t="n">
        <f aca="true">OFFSET(Datos!$B$1,1+$B$4+290,0)</f>
        <v>17.0079999999998</v>
      </c>
      <c r="C302" s="13" t="n">
        <f aca="true">OFFSET(Datos!$D$1,1+$B$4+290,0)</f>
        <v>166.606723355912</v>
      </c>
      <c r="D302" s="13" t="n">
        <f aca="true">OFFSET(Datos!$D$1,1+290,0)</f>
        <v>162.528437392066</v>
      </c>
      <c r="E302" s="13" t="n">
        <f aca="false">C302-D302</f>
        <v>4.07828596384562</v>
      </c>
    </row>
    <row r="303" customFormat="false" ht="15" hidden="false" customHeight="false" outlineLevel="0" collapsed="false">
      <c r="A303" s="2" t="n">
        <v>292</v>
      </c>
      <c r="B303" s="13" t="n">
        <f aca="true">OFFSET(Datos!$B$1,1+$B$4+291,0)</f>
        <v>17.058</v>
      </c>
      <c r="C303" s="13" t="n">
        <f aca="true">OFFSET(Datos!$D$1,1+$B$4+291,0)</f>
        <v>167.306061981383</v>
      </c>
      <c r="D303" s="13" t="n">
        <f aca="true">OFFSET(Datos!$D$1,1+291,0)</f>
        <v>161.918300121885</v>
      </c>
      <c r="E303" s="13" t="n">
        <f aca="false">C303-D303</f>
        <v>5.38776185949857</v>
      </c>
    </row>
    <row r="304" customFormat="false" ht="15" hidden="false" customHeight="false" outlineLevel="0" collapsed="false">
      <c r="A304" s="2" t="n">
        <v>293</v>
      </c>
      <c r="B304" s="13" t="n">
        <f aca="true">OFFSET(Datos!$B$1,1+$B$4+292,0)</f>
        <v>17.1079999999999</v>
      </c>
      <c r="C304" s="13" t="n">
        <f aca="true">OFFSET(Datos!$D$1,1+$B$4+292,0)</f>
        <v>166.71376498226</v>
      </c>
      <c r="D304" s="13" t="n">
        <f aca="true">OFFSET(Datos!$D$1,1+292,0)</f>
        <v>160.483942328826</v>
      </c>
      <c r="E304" s="13" t="n">
        <f aca="false">C304-D304</f>
        <v>6.22982265343347</v>
      </c>
    </row>
    <row r="305" customFormat="false" ht="15" hidden="false" customHeight="false" outlineLevel="0" collapsed="false">
      <c r="A305" s="2" t="n">
        <v>294</v>
      </c>
      <c r="B305" s="13" t="n">
        <f aca="true">OFFSET(Datos!$B$1,1+$B$4+293,0)</f>
        <v>17.1579999999999</v>
      </c>
      <c r="C305" s="13" t="n">
        <f aca="true">OFFSET(Datos!$D$1,1+$B$4+293,0)</f>
        <v>163.195663529633</v>
      </c>
      <c r="D305" s="13" t="n">
        <f aca="true">OFFSET(Datos!$D$1,1+293,0)</f>
        <v>164.087677082531</v>
      </c>
      <c r="E305" s="13" t="n">
        <f aca="false">C305-D305</f>
        <v>-0.892013552897112</v>
      </c>
    </row>
    <row r="306" customFormat="false" ht="15" hidden="false" customHeight="false" outlineLevel="0" collapsed="false">
      <c r="A306" s="2" t="n">
        <v>295</v>
      </c>
      <c r="B306" s="13" t="n">
        <f aca="true">OFFSET(Datos!$B$1,1+$B$4+294,0)</f>
        <v>17.2079999999999</v>
      </c>
      <c r="C306" s="13" t="n">
        <f aca="true">OFFSET(Datos!$D$1,1+$B$4+294,0)</f>
        <v>164.847672629599</v>
      </c>
      <c r="D306" s="13" t="n">
        <f aca="true">OFFSET(Datos!$D$1,1+294,0)</f>
        <v>163.969931293548</v>
      </c>
      <c r="E306" s="13" t="n">
        <f aca="false">C306-D306</f>
        <v>0.877741336050747</v>
      </c>
    </row>
    <row r="307" customFormat="false" ht="15" hidden="false" customHeight="false" outlineLevel="0" collapsed="false">
      <c r="A307" s="2" t="n">
        <v>296</v>
      </c>
      <c r="B307" s="13" t="n">
        <f aca="true">OFFSET(Datos!$B$1,1+$B$4+295,0)</f>
        <v>17.2579999999998</v>
      </c>
      <c r="C307" s="13" t="n">
        <f aca="true">OFFSET(Datos!$D$1,1+$B$4+295,0)</f>
        <v>160.227042425592</v>
      </c>
      <c r="D307" s="13" t="n">
        <f aca="true">OFFSET(Datos!$D$1,1+295,0)</f>
        <v>166.949256560225</v>
      </c>
      <c r="E307" s="13" t="n">
        <f aca="false">C307-D307</f>
        <v>-6.72221413463268</v>
      </c>
    </row>
    <row r="308" customFormat="false" ht="15" hidden="false" customHeight="false" outlineLevel="0" collapsed="false">
      <c r="A308" s="2" t="n">
        <v>297</v>
      </c>
      <c r="B308" s="13" t="n">
        <f aca="true">OFFSET(Datos!$B$1,1+$B$4+296,0)</f>
        <v>17.308</v>
      </c>
      <c r="C308" s="13" t="n">
        <f aca="true">OFFSET(Datos!$D$1,1+$B$4+296,0)</f>
        <v>163.531060625523</v>
      </c>
      <c r="D308" s="13" t="n">
        <f aca="true">OFFSET(Datos!$D$1,1+296,0)</f>
        <v>166.945688506013</v>
      </c>
      <c r="E308" s="13" t="n">
        <f aca="false">C308-D308</f>
        <v>-3.41462788049014</v>
      </c>
    </row>
    <row r="309" customFormat="false" ht="15" hidden="false" customHeight="false" outlineLevel="0" collapsed="false">
      <c r="A309" s="2" t="n">
        <v>298</v>
      </c>
      <c r="B309" s="13" t="n">
        <f aca="true">OFFSET(Datos!$B$1,1+$B$4+297,0)</f>
        <v>17.3579999999999</v>
      </c>
      <c r="C309" s="13" t="n">
        <f aca="true">OFFSET(Datos!$D$1,1+$B$4+297,0)</f>
        <v>166.528226163257</v>
      </c>
      <c r="D309" s="13" t="n">
        <f aca="true">OFFSET(Datos!$D$1,1+297,0)</f>
        <v>163.399042619694</v>
      </c>
      <c r="E309" s="13" t="n">
        <f aca="false">C309-D309</f>
        <v>3.1291835435631</v>
      </c>
    </row>
    <row r="310" customFormat="false" ht="15" hidden="false" customHeight="false" outlineLevel="0" collapsed="false">
      <c r="A310" s="2" t="n">
        <v>299</v>
      </c>
      <c r="B310" s="13" t="n">
        <f aca="true">OFFSET(Datos!$B$1,1+$B$4+298,0)</f>
        <v>17.4079999999999</v>
      </c>
      <c r="C310" s="13" t="n">
        <f aca="true">OFFSET(Datos!$D$1,1+$B$4+298,0)</f>
        <v>158.849773499919</v>
      </c>
      <c r="D310" s="13" t="n">
        <f aca="true">OFFSET(Datos!$D$1,1+298,0)</f>
        <v>165.579123742975</v>
      </c>
      <c r="E310" s="13" t="n">
        <f aca="false">C310-D310</f>
        <v>-6.72935024305585</v>
      </c>
    </row>
    <row r="311" customFormat="false" ht="15" hidden="false" customHeight="false" outlineLevel="0" collapsed="false">
      <c r="A311" s="2" t="n">
        <v>300</v>
      </c>
      <c r="B311" s="13" t="n">
        <f aca="true">OFFSET(Datos!$B$1,1+$B$4+299,0)</f>
        <v>17.4579999999999</v>
      </c>
      <c r="C311" s="13" t="n">
        <f aca="true">OFFSET(Datos!$D$1,1+$B$4+299,0)</f>
        <v>162.203744458812</v>
      </c>
      <c r="D311" s="13" t="n">
        <f aca="true">OFFSET(Datos!$D$1,1+299,0)</f>
        <v>169.214970984583</v>
      </c>
      <c r="E311" s="13" t="n">
        <f aca="false">C311-D311</f>
        <v>-7.01122652577135</v>
      </c>
    </row>
    <row r="312" customFormat="false" ht="15" hidden="false" customHeight="false" outlineLevel="0" collapsed="false">
      <c r="A312" s="2" t="n">
        <v>301</v>
      </c>
      <c r="B312" s="13" t="n">
        <f aca="true">OFFSET(Datos!$B$1,1+$B$4+300,0)</f>
        <v>17.5079999999998</v>
      </c>
      <c r="C312" s="13" t="n">
        <f aca="true">OFFSET(Datos!$D$1,1+$B$4+300,0)</f>
        <v>163.79509663718</v>
      </c>
      <c r="D312" s="13" t="n">
        <f aca="true">OFFSET(Datos!$D$1,1+300,0)</f>
        <v>167.284653656114</v>
      </c>
      <c r="E312" s="13" t="n">
        <f aca="false">C312-D312</f>
        <v>-3.48955701893351</v>
      </c>
    </row>
    <row r="313" customFormat="false" ht="15" hidden="false" customHeight="false" outlineLevel="0" collapsed="false">
      <c r="A313" s="2" t="n">
        <v>302</v>
      </c>
      <c r="B313" s="13" t="n">
        <f aca="true">OFFSET(Datos!$B$1,1+$B$4+301,0)</f>
        <v>17.558</v>
      </c>
      <c r="C313" s="13" t="n">
        <f aca="true">OFFSET(Datos!$D$1,1+$B$4+301,0)</f>
        <v>166.588883084854</v>
      </c>
      <c r="D313" s="13" t="n">
        <f aca="true">OFFSET(Datos!$D$1,1+301,0)</f>
        <v>162.892378921648</v>
      </c>
      <c r="E313" s="13" t="n">
        <f aca="false">C313-D313</f>
        <v>3.69650416320567</v>
      </c>
    </row>
    <row r="314" customFormat="false" ht="15" hidden="false" customHeight="false" outlineLevel="0" collapsed="false">
      <c r="A314" s="2" t="n">
        <v>303</v>
      </c>
      <c r="B314" s="13" t="n">
        <f aca="true">OFFSET(Datos!$B$1,1+$B$4+302,0)</f>
        <v>17.6079999999999</v>
      </c>
      <c r="C314" s="13" t="n">
        <f aca="true">OFFSET(Datos!$D$1,1+$B$4+302,0)</f>
        <v>163.57030922185</v>
      </c>
      <c r="D314" s="13" t="n">
        <f aca="true">OFFSET(Datos!$D$1,1+302,0)</f>
        <v>162.567685988394</v>
      </c>
      <c r="E314" s="13" t="n">
        <f aca="false">C314-D314</f>
        <v>1.00262323345638</v>
      </c>
    </row>
    <row r="315" customFormat="false" ht="15" hidden="false" customHeight="false" outlineLevel="0" collapsed="false">
      <c r="A315" s="2" t="n">
        <v>304</v>
      </c>
      <c r="B315" s="13" t="n">
        <f aca="true">OFFSET(Datos!$B$1,1+$B$4+303,0)</f>
        <v>17.6579999999999</v>
      </c>
      <c r="C315" s="13" t="n">
        <f aca="true">OFFSET(Datos!$D$1,1+$B$4+303,0)</f>
        <v>162.442804090988</v>
      </c>
      <c r="D315" s="13" t="n">
        <f aca="true">OFFSET(Datos!$D$1,1+303,0)</f>
        <v>168.979479406618</v>
      </c>
      <c r="E315" s="13" t="n">
        <f aca="false">C315-D315</f>
        <v>-6.53667531563008</v>
      </c>
    </row>
    <row r="316" customFormat="false" ht="15" hidden="false" customHeight="false" outlineLevel="0" collapsed="false">
      <c r="A316" s="2" t="n">
        <v>305</v>
      </c>
      <c r="B316" s="13" t="n">
        <f aca="true">OFFSET(Datos!$B$1,1+$B$4+304,0)</f>
        <v>17.7079999999999</v>
      </c>
      <c r="C316" s="13" t="n">
        <f aca="true">OFFSET(Datos!$D$1,1+$B$4+304,0)</f>
        <v>164.351713094188</v>
      </c>
      <c r="D316" s="13" t="n">
        <f aca="true">OFFSET(Datos!$D$1,1+304,0)</f>
        <v>160.680185310464</v>
      </c>
      <c r="E316" s="13" t="n">
        <f aca="false">C316-D316</f>
        <v>3.67152778372454</v>
      </c>
    </row>
    <row r="317" customFormat="false" ht="15" hidden="false" customHeight="false" outlineLevel="0" collapsed="false">
      <c r="A317" s="2" t="n">
        <v>306</v>
      </c>
      <c r="B317" s="13" t="n">
        <f aca="true">OFFSET(Datos!$B$1,1+$B$4+305,0)</f>
        <v>17.7579999999998</v>
      </c>
      <c r="C317" s="13" t="n">
        <f aca="true">OFFSET(Datos!$D$1,1+$B$4+305,0)</f>
        <v>164.851240683811</v>
      </c>
      <c r="D317" s="13" t="n">
        <f aca="true">OFFSET(Datos!$D$1,1+305,0)</f>
        <v>165.907384730441</v>
      </c>
      <c r="E317" s="13" t="n">
        <f aca="false">C317-D317</f>
        <v>-1.05614404663021</v>
      </c>
    </row>
    <row r="318" customFormat="false" ht="15" hidden="false" customHeight="false" outlineLevel="0" collapsed="false">
      <c r="A318" s="2" t="n">
        <v>307</v>
      </c>
      <c r="B318" s="13" t="n">
        <f aca="true">OFFSET(Datos!$B$1,1+$B$4+306,0)</f>
        <v>17.808</v>
      </c>
      <c r="C318" s="13" t="n">
        <f aca="true">OFFSET(Datos!$D$1,1+$B$4+306,0)</f>
        <v>164.483731100017</v>
      </c>
      <c r="D318" s="13" t="n">
        <f aca="true">OFFSET(Datos!$D$1,1+306,0)</f>
        <v>167.102682891323</v>
      </c>
      <c r="E318" s="13" t="n">
        <f aca="false">C318-D318</f>
        <v>-2.61895179130593</v>
      </c>
    </row>
    <row r="319" customFormat="false" ht="15" hidden="false" customHeight="false" outlineLevel="0" collapsed="false">
      <c r="A319" s="2" t="n">
        <v>308</v>
      </c>
      <c r="B319" s="13" t="n">
        <f aca="true">OFFSET(Datos!$B$1,1+$B$4+307,0)</f>
        <v>17.8579999999999</v>
      </c>
      <c r="C319" s="13" t="n">
        <f aca="true">OFFSET(Datos!$D$1,1+$B$4+307,0)</f>
        <v>165.311519677105</v>
      </c>
      <c r="D319" s="13" t="n">
        <f aca="true">OFFSET(Datos!$D$1,1+307,0)</f>
        <v>163.152846879094</v>
      </c>
      <c r="E319" s="13" t="n">
        <f aca="false">C319-D319</f>
        <v>2.15867279801103</v>
      </c>
    </row>
    <row r="320" customFormat="false" ht="15" hidden="false" customHeight="false" outlineLevel="0" collapsed="false">
      <c r="A320" s="2" t="n">
        <v>309</v>
      </c>
      <c r="B320" s="13" t="n">
        <f aca="true">OFFSET(Datos!$B$1,1+$B$4+308,0)</f>
        <v>17.9079999999999</v>
      </c>
      <c r="C320" s="13" t="n">
        <f aca="true">OFFSET(Datos!$D$1,1+$B$4+308,0)</f>
        <v>167.042025969726</v>
      </c>
      <c r="D320" s="13" t="n">
        <f aca="true">OFFSET(Datos!$D$1,1+308,0)</f>
        <v>167.281085601902</v>
      </c>
      <c r="E320" s="13" t="n">
        <f aca="false">C320-D320</f>
        <v>-0.239059632176435</v>
      </c>
    </row>
    <row r="321" customFormat="false" ht="15" hidden="false" customHeight="false" outlineLevel="0" collapsed="false">
      <c r="A321" s="2" t="n">
        <v>310</v>
      </c>
      <c r="B321" s="13" t="n">
        <f aca="true">OFFSET(Datos!$B$1,1+$B$4+309,0)</f>
        <v>17.9579999999999</v>
      </c>
      <c r="C321" s="13" t="n">
        <f aca="true">OFFSET(Datos!$D$1,1+$B$4+309,0)</f>
        <v>169.314876502508</v>
      </c>
      <c r="D321" s="13" t="n">
        <f aca="true">OFFSET(Datos!$D$1,1+309,0)</f>
        <v>167.184748138189</v>
      </c>
      <c r="E321" s="13" t="n">
        <f aca="false">C321-D321</f>
        <v>2.1301283643183</v>
      </c>
    </row>
    <row r="322" customFormat="false" ht="15" hidden="false" customHeight="false" outlineLevel="0" collapsed="false">
      <c r="A322" s="2" t="n">
        <v>311</v>
      </c>
      <c r="B322" s="13" t="n">
        <f aca="true">OFFSET(Datos!$B$1,1+$B$4+310,0)</f>
        <v>18.0079999999998</v>
      </c>
      <c r="C322" s="13" t="n">
        <f aca="true">OFFSET(Datos!$D$1,1+$B$4+310,0)</f>
        <v>168.119578341626</v>
      </c>
      <c r="D322" s="13" t="n">
        <f aca="true">OFFSET(Datos!$D$1,1+310,0)</f>
        <v>166.720901090683</v>
      </c>
      <c r="E322" s="13" t="n">
        <f aca="false">C322-D322</f>
        <v>1.39867725094268</v>
      </c>
    </row>
    <row r="323" customFormat="false" ht="15" hidden="false" customHeight="false" outlineLevel="0" collapsed="false">
      <c r="A323" s="2" t="n">
        <v>312</v>
      </c>
      <c r="B323" s="13" t="n">
        <f aca="true">OFFSET(Datos!$B$1,1+$B$4+311,0)</f>
        <v>18.058</v>
      </c>
      <c r="C323" s="13" t="n">
        <f aca="true">OFFSET(Datos!$D$1,1+$B$4+311,0)</f>
        <v>163.056509415382</v>
      </c>
      <c r="D323" s="13" t="n">
        <f aca="true">OFFSET(Datos!$D$1,1+311,0)</f>
        <v>163.302705155981</v>
      </c>
      <c r="E323" s="13" t="n">
        <f aca="false">C323-D323</f>
        <v>-0.246195740599603</v>
      </c>
    </row>
    <row r="324" customFormat="false" ht="15" hidden="false" customHeight="false" outlineLevel="0" collapsed="false">
      <c r="A324" s="2" t="n">
        <v>313</v>
      </c>
      <c r="B324" s="13" t="n">
        <f aca="true">OFFSET(Datos!$B$1,1+$B$4+312,0)</f>
        <v>18.1089999999999</v>
      </c>
      <c r="C324" s="13" t="n">
        <f aca="true">OFFSET(Datos!$D$1,1+$B$4+312,0)</f>
        <v>166.546066434315</v>
      </c>
      <c r="D324" s="13" t="n">
        <f aca="true">OFFSET(Datos!$D$1,1+312,0)</f>
        <v>166.235645717907</v>
      </c>
      <c r="E324" s="13" t="n">
        <f aca="false">C324-D324</f>
        <v>0.310420716408203</v>
      </c>
    </row>
    <row r="325" customFormat="false" ht="15" hidden="false" customHeight="false" outlineLevel="0" collapsed="false">
      <c r="A325" s="2" t="n">
        <v>314</v>
      </c>
      <c r="B325" s="13" t="n">
        <f aca="true">OFFSET(Datos!$B$1,1+$B$4+313,0)</f>
        <v>18.1589999999999</v>
      </c>
      <c r="C325" s="13" t="n">
        <f aca="true">OFFSET(Datos!$D$1,1+$B$4+313,0)</f>
        <v>165.768230616189</v>
      </c>
      <c r="D325" s="13" t="n">
        <f aca="true">OFFSET(Datos!$D$1,1+313,0)</f>
        <v>164.605044943211</v>
      </c>
      <c r="E325" s="13" t="n">
        <f aca="false">C325-D325</f>
        <v>1.16318567297785</v>
      </c>
    </row>
    <row r="326" customFormat="false" ht="15" hidden="false" customHeight="false" outlineLevel="0" collapsed="false">
      <c r="A326" s="2" t="n">
        <v>315</v>
      </c>
      <c r="B326" s="13" t="n">
        <f aca="true">OFFSET(Datos!$B$1,1+$B$4+314,0)</f>
        <v>18.2089999999998</v>
      </c>
      <c r="C326" s="13" t="n">
        <f aca="true">OFFSET(Datos!$D$1,1+$B$4+314,0)</f>
        <v>163.199231583845</v>
      </c>
      <c r="D326" s="13" t="n">
        <f aca="true">OFFSET(Datos!$D$1,1+314,0)</f>
        <v>165.971609706249</v>
      </c>
      <c r="E326" s="13" t="n">
        <f aca="false">C326-D326</f>
        <v>-2.77237812240423</v>
      </c>
    </row>
    <row r="327" customFormat="false" ht="15" hidden="false" customHeight="false" outlineLevel="0" collapsed="false">
      <c r="A327" s="2" t="n">
        <v>316</v>
      </c>
      <c r="B327" s="13" t="n">
        <f aca="true">OFFSET(Datos!$B$1,1+$B$4+315,0)</f>
        <v>18.259</v>
      </c>
      <c r="C327" s="13" t="n">
        <f aca="true">OFFSET(Datos!$D$1,1+$B$4+315,0)</f>
        <v>161.343843393819</v>
      </c>
      <c r="D327" s="13" t="n">
        <f aca="true">OFFSET(Datos!$D$1,1+315,0)</f>
        <v>165.015371177544</v>
      </c>
      <c r="E327" s="13" t="n">
        <f aca="false">C327-D327</f>
        <v>-3.67152778372454</v>
      </c>
    </row>
    <row r="328" customFormat="false" ht="15" hidden="false" customHeight="false" outlineLevel="0" collapsed="false">
      <c r="A328" s="2" t="n">
        <v>317</v>
      </c>
      <c r="B328" s="13" t="n">
        <f aca="true">OFFSET(Datos!$B$1,1+$B$4+316,0)</f>
        <v>18.309</v>
      </c>
      <c r="C328" s="13" t="n">
        <f aca="true">OFFSET(Datos!$D$1,1+$B$4+316,0)</f>
        <v>167.719956269928</v>
      </c>
      <c r="D328" s="13" t="n">
        <f aca="true">OFFSET(Datos!$D$1,1+316,0)</f>
        <v>166.217805446849</v>
      </c>
      <c r="E328" s="13" t="n">
        <f aca="false">C328-D328</f>
        <v>1.50215082307875</v>
      </c>
    </row>
    <row r="329" customFormat="false" ht="15" hidden="false" customHeight="false" outlineLevel="0" collapsed="false">
      <c r="A329" s="2" t="n">
        <v>318</v>
      </c>
      <c r="B329" s="13" t="n">
        <f aca="true">OFFSET(Datos!$B$1,1+$B$4+317,0)</f>
        <v>18.3589999999999</v>
      </c>
      <c r="C329" s="13" t="n">
        <f aca="true">OFFSET(Datos!$D$1,1+$B$4+317,0)</f>
        <v>163.035101090112</v>
      </c>
      <c r="D329" s="13" t="n">
        <f aca="true">OFFSET(Datos!$D$1,1+317,0)</f>
        <v>159.93089392603</v>
      </c>
      <c r="E329" s="13" t="n">
        <f aca="false">C329-D329</f>
        <v>3.10420716408197</v>
      </c>
    </row>
    <row r="330" customFormat="false" ht="15" hidden="false" customHeight="false" outlineLevel="0" collapsed="false">
      <c r="A330" s="2" t="n">
        <v>319</v>
      </c>
      <c r="B330" s="13" t="n">
        <f aca="true">OFFSET(Datos!$B$1,1+$B$4+318,0)</f>
        <v>18.4089999999999</v>
      </c>
      <c r="C330" s="13" t="n">
        <f aca="true">OFFSET(Datos!$D$1,1+$B$4+318,0)</f>
        <v>160.162817449783</v>
      </c>
      <c r="D330" s="13" t="n">
        <f aca="true">OFFSET(Datos!$D$1,1+318,0)</f>
        <v>162.742520644762</v>
      </c>
      <c r="E330" s="13" t="n">
        <f aca="false">C330-D330</f>
        <v>-2.57970319497846</v>
      </c>
    </row>
    <row r="331" customFormat="false" ht="15" hidden="false" customHeight="false" outlineLevel="0" collapsed="false">
      <c r="A331" s="2" t="n">
        <v>320</v>
      </c>
      <c r="B331" s="13" t="n">
        <f aca="true">OFFSET(Datos!$B$1,1+$B$4+319,0)</f>
        <v>18.4589999999998</v>
      </c>
      <c r="C331" s="13" t="n">
        <f aca="true">OFFSET(Datos!$D$1,1+$B$4+319,0)</f>
        <v>161.379523935935</v>
      </c>
      <c r="D331" s="13" t="n">
        <f aca="true">OFFSET(Datos!$D$1,1+319,0)</f>
        <v>168.547744847016</v>
      </c>
      <c r="E331" s="13" t="n">
        <f aca="false">C331-D331</f>
        <v>-7.16822091108122</v>
      </c>
    </row>
    <row r="332" customFormat="false" ht="15" hidden="false" customHeight="false" outlineLevel="0" collapsed="false">
      <c r="A332" s="2" t="n">
        <v>321</v>
      </c>
      <c r="B332" s="13" t="n">
        <f aca="true">OFFSET(Datos!$B$1,1+$B$4+320,0)</f>
        <v>18.509</v>
      </c>
      <c r="C332" s="13" t="n">
        <f aca="true">OFFSET(Datos!$D$1,1+$B$4+320,0)</f>
        <v>161.893323742404</v>
      </c>
      <c r="D332" s="13" t="n">
        <f aca="true">OFFSET(Datos!$D$1,1+320,0)</f>
        <v>169.371965369893</v>
      </c>
      <c r="E332" s="13" t="n">
        <f aca="false">C332-D332</f>
        <v>-7.47864162748942</v>
      </c>
    </row>
    <row r="333" customFormat="false" ht="15" hidden="false" customHeight="false" outlineLevel="0" collapsed="false">
      <c r="A333" s="2" t="n">
        <v>322</v>
      </c>
      <c r="B333" s="13" t="n">
        <f aca="true">OFFSET(Datos!$B$1,1+$B$4+321,0)</f>
        <v>18.559</v>
      </c>
      <c r="C333" s="13" t="n">
        <f aca="true">OFFSET(Datos!$D$1,1+$B$4+321,0)</f>
        <v>161.040558785834</v>
      </c>
      <c r="D333" s="13" t="n">
        <f aca="true">OFFSET(Datos!$D$1,1+321,0)</f>
        <v>166.117899928924</v>
      </c>
      <c r="E333" s="13" t="n">
        <f aca="false">C333-D333</f>
        <v>-5.07734114309039</v>
      </c>
    </row>
    <row r="334" customFormat="false" ht="15" hidden="false" customHeight="false" outlineLevel="0" collapsed="false">
      <c r="A334" s="2" t="n">
        <v>323</v>
      </c>
      <c r="B334" s="13" t="n">
        <f aca="true">OFFSET(Datos!$B$1,1+$B$4+322,0)</f>
        <v>18.6089999999999</v>
      </c>
      <c r="C334" s="13" t="n">
        <f aca="true">OFFSET(Datos!$D$1,1+$B$4+322,0)</f>
        <v>160.815771370504</v>
      </c>
      <c r="D334" s="13" t="n">
        <f aca="true">OFFSET(Datos!$D$1,1+322,0)</f>
        <v>162.182336133542</v>
      </c>
      <c r="E334" s="13" t="n">
        <f aca="false">C334-D334</f>
        <v>-1.36656476303838</v>
      </c>
    </row>
    <row r="335" customFormat="false" ht="15" hidden="false" customHeight="false" outlineLevel="0" collapsed="false">
      <c r="A335" s="2" t="n">
        <v>324</v>
      </c>
      <c r="B335" s="13" t="n">
        <f aca="true">OFFSET(Datos!$B$1,1+$B$4+323,0)</f>
        <v>18.6589999999999</v>
      </c>
      <c r="C335" s="13" t="n">
        <f aca="true">OFFSET(Datos!$D$1,1+$B$4+323,0)</f>
        <v>164.897625388561</v>
      </c>
      <c r="D335" s="13" t="n">
        <f aca="true">OFFSET(Datos!$D$1,1+323,0)</f>
        <v>164.919033713831</v>
      </c>
      <c r="E335" s="13" t="n">
        <f aca="false">C335-D335</f>
        <v>-0.0214083252695332</v>
      </c>
    </row>
    <row r="336" customFormat="false" ht="15" hidden="false" customHeight="false" outlineLevel="0" collapsed="false">
      <c r="A336" s="2" t="n">
        <v>325</v>
      </c>
      <c r="B336" s="13" t="n">
        <f aca="true">OFFSET(Datos!$B$1,1+$B$4+324,0)</f>
        <v>18.7089999999998</v>
      </c>
      <c r="C336" s="13" t="n">
        <f aca="true">OFFSET(Datos!$D$1,1+$B$4+324,0)</f>
        <v>168.023240877913</v>
      </c>
      <c r="D336" s="13" t="n">
        <f aca="true">OFFSET(Datos!$D$1,1+324,0)</f>
        <v>167.459488312482</v>
      </c>
      <c r="E336" s="13" t="n">
        <f aca="false">C336-D336</f>
        <v>0.563752565431003</v>
      </c>
    </row>
    <row r="337" customFormat="false" ht="15" hidden="false" customHeight="false" outlineLevel="0" collapsed="false">
      <c r="A337" s="2" t="n">
        <v>326</v>
      </c>
      <c r="B337" s="13" t="n">
        <f aca="true">OFFSET(Datos!$B$1,1+$B$4+325,0)</f>
        <v>18.759</v>
      </c>
      <c r="C337" s="13" t="n">
        <f aca="true">OFFSET(Datos!$D$1,1+$B$4+325,0)</f>
        <v>161.404500315416</v>
      </c>
      <c r="D337" s="13" t="n">
        <f aca="true">OFFSET(Datos!$D$1,1+325,0)</f>
        <v>163.784392474546</v>
      </c>
      <c r="E337" s="13" t="n">
        <f aca="false">C337-D337</f>
        <v>-2.3798921591295</v>
      </c>
    </row>
    <row r="338" customFormat="false" ht="15" hidden="false" customHeight="false" outlineLevel="0" collapsed="false">
      <c r="A338" s="2" t="n">
        <v>327</v>
      </c>
      <c r="B338" s="13" t="n">
        <f aca="true">OFFSET(Datos!$B$1,1+$B$4+326,0)</f>
        <v>18.809</v>
      </c>
      <c r="C338" s="13" t="n">
        <f aca="true">OFFSET(Datos!$D$1,1+$B$4+326,0)</f>
        <v>160.894268563159</v>
      </c>
      <c r="D338" s="13" t="n">
        <f aca="true">OFFSET(Datos!$D$1,1+326,0)</f>
        <v>162.756792861608</v>
      </c>
      <c r="E338" s="13" t="n">
        <f aca="false">C338-D338</f>
        <v>-1.86252429844919</v>
      </c>
    </row>
    <row r="339" customFormat="false" ht="15" hidden="false" customHeight="false" outlineLevel="0" collapsed="false">
      <c r="A339" s="2" t="n">
        <v>328</v>
      </c>
      <c r="B339" s="13" t="n">
        <f aca="true">OFFSET(Datos!$B$1,1+$B$4+327,0)</f>
        <v>18.8589999999999</v>
      </c>
      <c r="C339" s="13" t="n">
        <f aca="true">OFFSET(Datos!$D$1,1+$B$4+327,0)</f>
        <v>160.979901864237</v>
      </c>
      <c r="D339" s="13" t="n">
        <f aca="true">OFFSET(Datos!$D$1,1+327,0)</f>
        <v>165.593395959821</v>
      </c>
      <c r="E339" s="13" t="n">
        <f aca="false">C339-D339</f>
        <v>-4.61349409558389</v>
      </c>
    </row>
    <row r="340" customFormat="false" ht="15" hidden="false" customHeight="false" outlineLevel="0" collapsed="false">
      <c r="A340" s="2" t="n">
        <v>329</v>
      </c>
      <c r="B340" s="13" t="n">
        <f aca="true">OFFSET(Datos!$B$1,1+$B$4+328,0)</f>
        <v>18.9089999999999</v>
      </c>
      <c r="C340" s="13" t="n">
        <f aca="true">OFFSET(Datos!$D$1,1+$B$4+328,0)</f>
        <v>163.352657914943</v>
      </c>
      <c r="D340" s="13" t="n">
        <f aca="true">OFFSET(Datos!$D$1,1+328,0)</f>
        <v>163.302705155981</v>
      </c>
      <c r="E340" s="13" t="n">
        <f aca="false">C340-D340</f>
        <v>0.0499527589622346</v>
      </c>
    </row>
    <row r="341" customFormat="false" ht="15" hidden="false" customHeight="false" outlineLevel="0" collapsed="false">
      <c r="A341" s="2" t="n">
        <v>330</v>
      </c>
      <c r="B341" s="13" t="n">
        <f aca="true">OFFSET(Datos!$B$1,1+$B$4+329,0)</f>
        <v>18.9589999999998</v>
      </c>
      <c r="C341" s="13" t="n">
        <f aca="true">OFFSET(Datos!$D$1,1+$B$4+329,0)</f>
        <v>162.467780470469</v>
      </c>
      <c r="D341" s="13" t="n">
        <f aca="true">OFFSET(Datos!$D$1,1+329,0)</f>
        <v>162.835290054263</v>
      </c>
      <c r="E341" s="13" t="n">
        <f aca="false">C341-D341</f>
        <v>-0.367509583793606</v>
      </c>
    </row>
    <row r="342" customFormat="false" ht="15" hidden="false" customHeight="false" outlineLevel="0" collapsed="false">
      <c r="A342" s="2" t="n">
        <v>331</v>
      </c>
      <c r="B342" s="13" t="n">
        <f aca="true">OFFSET(Datos!$B$1,1+$B$4+330,0)</f>
        <v>19.009</v>
      </c>
      <c r="C342" s="13" t="n">
        <f aca="true">OFFSET(Datos!$D$1,1+$B$4+330,0)</f>
        <v>161.572198863361</v>
      </c>
      <c r="D342" s="13" t="n">
        <f aca="true">OFFSET(Datos!$D$1,1+330,0)</f>
        <v>161.66140021865</v>
      </c>
      <c r="E342" s="13" t="n">
        <f aca="false">C342-D342</f>
        <v>-0.0892013552897026</v>
      </c>
    </row>
    <row r="343" customFormat="false" ht="15" hidden="false" customHeight="false" outlineLevel="0" collapsed="false">
      <c r="A343" s="2" t="n">
        <v>332</v>
      </c>
      <c r="B343" s="13" t="n">
        <f aca="true">OFFSET(Datos!$B$1,1+$B$4+331,0)</f>
        <v>19.059</v>
      </c>
      <c r="C343" s="13" t="n">
        <f aca="true">OFFSET(Datos!$D$1,1+$B$4+331,0)</f>
        <v>166.538930325892</v>
      </c>
      <c r="D343" s="13" t="n">
        <f aca="true">OFFSET(Datos!$D$1,1+331,0)</f>
        <v>168.640514256517</v>
      </c>
      <c r="E343" s="13" t="n">
        <f aca="false">C343-D343</f>
        <v>-2.10158393062559</v>
      </c>
    </row>
    <row r="344" customFormat="false" ht="15" hidden="false" customHeight="false" outlineLevel="0" collapsed="false">
      <c r="A344" s="2" t="n">
        <v>333</v>
      </c>
      <c r="B344" s="13" t="n">
        <f aca="true">OFFSET(Datos!$B$1,1+$B$4+332,0)</f>
        <v>19.1089999999999</v>
      </c>
      <c r="C344" s="13" t="n">
        <f aca="true">OFFSET(Datos!$D$1,1+$B$4+332,0)</f>
        <v>161.946844555577</v>
      </c>
      <c r="D344" s="13" t="n">
        <f aca="true">OFFSET(Datos!$D$1,1+332,0)</f>
        <v>159.402821902715</v>
      </c>
      <c r="E344" s="13" t="n">
        <f aca="false">C344-D344</f>
        <v>2.54402265286259</v>
      </c>
    </row>
    <row r="345" customFormat="false" ht="15" hidden="false" customHeight="false" outlineLevel="0" collapsed="false">
      <c r="A345" s="2" t="n">
        <v>334</v>
      </c>
      <c r="B345" s="13" t="n">
        <f aca="true">OFFSET(Datos!$B$1,1+$B$4+333,0)</f>
        <v>19.1589999999999</v>
      </c>
      <c r="C345" s="13" t="n">
        <f aca="true">OFFSET(Datos!$D$1,1+$B$4+333,0)</f>
        <v>160.683753364675</v>
      </c>
      <c r="D345" s="13" t="n">
        <f aca="true">OFFSET(Datos!$D$1,1+333,0)</f>
        <v>164.091245136742</v>
      </c>
      <c r="E345" s="13" t="n">
        <f aca="false">C345-D345</f>
        <v>-3.407491772067</v>
      </c>
    </row>
    <row r="346" customFormat="false" ht="15" hidden="false" customHeight="false" outlineLevel="0" collapsed="false">
      <c r="A346" s="2" t="n">
        <v>335</v>
      </c>
      <c r="B346" s="13" t="n">
        <f aca="true">OFFSET(Datos!$B$1,1+$B$4+334,0)</f>
        <v>19.2089999999998</v>
      </c>
      <c r="C346" s="13" t="n">
        <f aca="true">OFFSET(Datos!$D$1,1+$B$4+334,0)</f>
        <v>159.18873865002</v>
      </c>
      <c r="D346" s="13" t="n">
        <f aca="true">OFFSET(Datos!$D$1,1+334,0)</f>
        <v>165.425697411876</v>
      </c>
      <c r="E346" s="13" t="n">
        <f aca="false">C346-D346</f>
        <v>-6.23695876185664</v>
      </c>
    </row>
    <row r="347" customFormat="false" ht="15" hidden="false" customHeight="false" outlineLevel="0" collapsed="false">
      <c r="A347" s="2" t="n">
        <v>336</v>
      </c>
      <c r="B347" s="13" t="n">
        <f aca="true">OFFSET(Datos!$B$1,1+$B$4+335,0)</f>
        <v>19.259</v>
      </c>
      <c r="C347" s="13" t="n">
        <f aca="true">OFFSET(Datos!$D$1,1+$B$4+335,0)</f>
        <v>162.489188795739</v>
      </c>
      <c r="D347" s="13" t="n">
        <f aca="true">OFFSET(Datos!$D$1,1+335,0)</f>
        <v>162.125247266157</v>
      </c>
      <c r="E347" s="13" t="n">
        <f aca="false">C347-D347</f>
        <v>0.363941529582036</v>
      </c>
    </row>
    <row r="348" customFormat="false" ht="15" hidden="false" customHeight="false" outlineLevel="0" collapsed="false">
      <c r="A348" s="2" t="n">
        <v>337</v>
      </c>
      <c r="B348" s="13" t="n">
        <f aca="true">OFFSET(Datos!$B$1,1+$B$4+336,0)</f>
        <v>19.309</v>
      </c>
      <c r="C348" s="13" t="n">
        <f aca="true">OFFSET(Datos!$D$1,1+$B$4+336,0)</f>
        <v>161.932572338731</v>
      </c>
      <c r="D348" s="13" t="n">
        <f aca="true">OFFSET(Datos!$D$1,1+336,0)</f>
        <v>165.154525291796</v>
      </c>
      <c r="E348" s="13" t="n">
        <f aca="false">C348-D348</f>
        <v>-3.2219529530644</v>
      </c>
    </row>
    <row r="349" customFormat="false" ht="15" hidden="false" customHeight="false" outlineLevel="0" collapsed="false">
      <c r="A349" s="2" t="n">
        <v>338</v>
      </c>
      <c r="B349" s="13" t="n">
        <f aca="true">OFFSET(Datos!$B$1,1+$B$4+337,0)</f>
        <v>19.3589999999999</v>
      </c>
      <c r="C349" s="13" t="n">
        <f aca="true">OFFSET(Datos!$D$1,1+$B$4+337,0)</f>
        <v>159.57052045066</v>
      </c>
      <c r="D349" s="13" t="n">
        <f aca="true">OFFSET(Datos!$D$1,1+337,0)</f>
        <v>161.229665659048</v>
      </c>
      <c r="E349" s="13" t="n">
        <f aca="false">C349-D349</f>
        <v>-1.65914520838865</v>
      </c>
    </row>
    <row r="350" customFormat="false" ht="15" hidden="false" customHeight="false" outlineLevel="0" collapsed="false">
      <c r="A350" s="2" t="n">
        <v>339</v>
      </c>
      <c r="B350" s="13" t="n">
        <f aca="true">OFFSET(Datos!$B$1,1+$B$4+338,0)</f>
        <v>19.4089999999999</v>
      </c>
      <c r="C350" s="13" t="n">
        <f aca="true">OFFSET(Datos!$D$1,1+$B$4+338,0)</f>
        <v>159.877373112856</v>
      </c>
      <c r="D350" s="13" t="n">
        <f aca="true">OFFSET(Datos!$D$1,1+338,0)</f>
        <v>171.559182601597</v>
      </c>
      <c r="E350" s="13" t="n">
        <f aca="false">C350-D350</f>
        <v>-11.6818094887406</v>
      </c>
    </row>
    <row r="351" customFormat="false" ht="15" hidden="false" customHeight="false" outlineLevel="0" collapsed="false">
      <c r="A351" s="2" t="n">
        <v>340</v>
      </c>
      <c r="B351" s="13" t="n">
        <f aca="true">OFFSET(Datos!$B$1,1+$B$4+339,0)</f>
        <v>19.4589999999998</v>
      </c>
      <c r="C351" s="13" t="n">
        <f aca="true">OFFSET(Datos!$D$1,1+$B$4+339,0)</f>
        <v>160.091456365551</v>
      </c>
      <c r="D351" s="13" t="n">
        <f aca="true">OFFSET(Datos!$D$1,1+339,0)</f>
        <v>160.680185310464</v>
      </c>
      <c r="E351" s="13" t="n">
        <f aca="false">C351-D351</f>
        <v>-0.588728944912106</v>
      </c>
    </row>
    <row r="352" customFormat="false" ht="15" hidden="false" customHeight="false" outlineLevel="0" collapsed="false">
      <c r="A352" s="2" t="n">
        <v>341</v>
      </c>
      <c r="B352" s="13" t="n">
        <f aca="true">OFFSET(Datos!$B$1,1+$B$4+340,0)</f>
        <v>19.509</v>
      </c>
      <c r="C352" s="13" t="n">
        <f aca="true">OFFSET(Datos!$D$1,1+$B$4+340,0)</f>
        <v>161.92900428452</v>
      </c>
      <c r="D352" s="13" t="n">
        <f aca="true">OFFSET(Datos!$D$1,1+340,0)</f>
        <v>166.606723355912</v>
      </c>
      <c r="E352" s="13" t="n">
        <f aca="false">C352-D352</f>
        <v>-4.67771907139249</v>
      </c>
    </row>
    <row r="353" customFormat="false" ht="15" hidden="false" customHeight="false" outlineLevel="0" collapsed="false">
      <c r="A353" s="2" t="n">
        <v>342</v>
      </c>
      <c r="B353" s="13" t="n">
        <f aca="true">OFFSET(Datos!$B$1,1+$B$4+341,0)</f>
        <v>19.559</v>
      </c>
      <c r="C353" s="13" t="n">
        <f aca="true">OFFSET(Datos!$D$1,1+$B$4+341,0)</f>
        <v>161.397364206993</v>
      </c>
      <c r="D353" s="13" t="n">
        <f aca="true">OFFSET(Datos!$D$1,1+341,0)</f>
        <v>167.306061981383</v>
      </c>
      <c r="E353" s="13" t="n">
        <f aca="false">C353-D353</f>
        <v>-5.9086977743905</v>
      </c>
    </row>
    <row r="354" customFormat="false" ht="15" hidden="false" customHeight="false" outlineLevel="0" collapsed="false">
      <c r="A354" s="2" t="n">
        <v>343</v>
      </c>
      <c r="B354" s="13" t="n">
        <f aca="true">OFFSET(Datos!$B$1,1+$B$4+342,0)</f>
        <v>19.6089999999999</v>
      </c>
      <c r="C354" s="13" t="n">
        <f aca="true">OFFSET(Datos!$D$1,1+$B$4+342,0)</f>
        <v>162.025341748232</v>
      </c>
      <c r="D354" s="13" t="n">
        <f aca="true">OFFSET(Datos!$D$1,1+342,0)</f>
        <v>166.71376498226</v>
      </c>
      <c r="E354" s="13" t="n">
        <f aca="false">C354-D354</f>
        <v>-4.68842323402726</v>
      </c>
    </row>
    <row r="355" customFormat="false" ht="15" hidden="false" customHeight="false" outlineLevel="0" collapsed="false">
      <c r="A355" s="2" t="n">
        <v>344</v>
      </c>
      <c r="B355" s="13" t="n">
        <f aca="true">OFFSET(Datos!$B$1,1+$B$4+343,0)</f>
        <v>19.6589999999999</v>
      </c>
      <c r="C355" s="13" t="n">
        <f aca="true">OFFSET(Datos!$D$1,1+$B$4+343,0)</f>
        <v>162.870970596379</v>
      </c>
      <c r="D355" s="13" t="n">
        <f aca="true">OFFSET(Datos!$D$1,1+343,0)</f>
        <v>163.195663529633</v>
      </c>
      <c r="E355" s="13" t="n">
        <f aca="false">C355-D355</f>
        <v>-0.324692933254539</v>
      </c>
    </row>
    <row r="356" customFormat="false" ht="15" hidden="false" customHeight="false" outlineLevel="0" collapsed="false">
      <c r="A356" s="2" t="n">
        <v>345</v>
      </c>
      <c r="B356" s="13" t="n">
        <f aca="true">OFFSET(Datos!$B$1,1+$B$4+344,0)</f>
        <v>19.7089999999998</v>
      </c>
      <c r="C356" s="13" t="n">
        <f aca="true">OFFSET(Datos!$D$1,1+$B$4+344,0)</f>
        <v>160.701593635733</v>
      </c>
      <c r="D356" s="13" t="n">
        <f aca="true">OFFSET(Datos!$D$1,1+344,0)</f>
        <v>164.847672629599</v>
      </c>
      <c r="E356" s="13" t="n">
        <f aca="false">C356-D356</f>
        <v>-4.14607899386579</v>
      </c>
    </row>
    <row r="357" customFormat="false" ht="15" hidden="false" customHeight="false" outlineLevel="0" collapsed="false">
      <c r="A357" s="2" t="n">
        <v>346</v>
      </c>
      <c r="B357" s="13" t="n">
        <f aca="true">OFFSET(Datos!$B$1,1+$B$4+345,0)</f>
        <v>19.759</v>
      </c>
      <c r="C357" s="13" t="n">
        <f aca="true">OFFSET(Datos!$D$1,1+$B$4+345,0)</f>
        <v>161.607879405477</v>
      </c>
      <c r="D357" s="13" t="n">
        <f aca="true">OFFSET(Datos!$D$1,1+345,0)</f>
        <v>160.227042425592</v>
      </c>
      <c r="E357" s="13" t="n">
        <f aca="false">C357-D357</f>
        <v>1.38083697988475</v>
      </c>
    </row>
    <row r="358" customFormat="false" ht="15" hidden="false" customHeight="false" outlineLevel="0" collapsed="false">
      <c r="A358" s="2" t="n">
        <v>347</v>
      </c>
      <c r="B358" s="13" t="n">
        <f aca="true">OFFSET(Datos!$B$1,1+$B$4+346,0)</f>
        <v>19.809</v>
      </c>
      <c r="C358" s="13" t="n">
        <f aca="true">OFFSET(Datos!$D$1,1+$B$4+346,0)</f>
        <v>159.895213383914</v>
      </c>
      <c r="D358" s="13" t="n">
        <f aca="true">OFFSET(Datos!$D$1,1+346,0)</f>
        <v>163.531060625523</v>
      </c>
      <c r="E358" s="13" t="n">
        <f aca="false">C358-D358</f>
        <v>-3.63584724160867</v>
      </c>
    </row>
    <row r="359" customFormat="false" ht="15" hidden="false" customHeight="false" outlineLevel="0" collapsed="false">
      <c r="A359" s="2" t="n">
        <v>348</v>
      </c>
      <c r="B359" s="13" t="n">
        <f aca="true">OFFSET(Datos!$B$1,1+$B$4+347,0)</f>
        <v>19.8589999999999</v>
      </c>
      <c r="C359" s="13" t="n">
        <f aca="true">OFFSET(Datos!$D$1,1+$B$4+347,0)</f>
        <v>163.324113481251</v>
      </c>
      <c r="D359" s="13" t="n">
        <f aca="true">OFFSET(Datos!$D$1,1+347,0)</f>
        <v>166.528226163257</v>
      </c>
      <c r="E359" s="13" t="n">
        <f aca="false">C359-D359</f>
        <v>-3.20411268200644</v>
      </c>
    </row>
    <row r="360" customFormat="false" ht="15" hidden="false" customHeight="false" outlineLevel="0" collapsed="false">
      <c r="A360" s="2" t="n">
        <v>349</v>
      </c>
      <c r="B360" s="13" t="n">
        <f aca="true">OFFSET(Datos!$B$1,1+$B$4+348,0)</f>
        <v>19.9089999999999</v>
      </c>
      <c r="C360" s="13" t="n">
        <f aca="true">OFFSET(Datos!$D$1,1+$B$4+348,0)</f>
        <v>161.850507091865</v>
      </c>
      <c r="D360" s="13" t="n">
        <f aca="true">OFFSET(Datos!$D$1,1+348,0)</f>
        <v>158.849773499919</v>
      </c>
      <c r="E360" s="13" t="n">
        <f aca="false">C360-D360</f>
        <v>3.0007335919459</v>
      </c>
    </row>
    <row r="361" customFormat="false" ht="15" hidden="false" customHeight="false" outlineLevel="0" collapsed="false">
      <c r="A361" s="2" t="n">
        <v>350</v>
      </c>
      <c r="B361" s="13" t="n">
        <f aca="true">OFFSET(Datos!$B$1,1+$B$4+349,0)</f>
        <v>19.9589999999998</v>
      </c>
      <c r="C361" s="13" t="n">
        <f aca="true">OFFSET(Datos!$D$1,1+$B$4+349,0)</f>
        <v>162.988716385361</v>
      </c>
      <c r="D361" s="13" t="n">
        <f aca="true">OFFSET(Datos!$D$1,1+349,0)</f>
        <v>162.203744458812</v>
      </c>
      <c r="E361" s="13" t="n">
        <f aca="false">C361-D361</f>
        <v>0.784971926549474</v>
      </c>
    </row>
    <row r="362" customFormat="false" ht="15" hidden="false" customHeight="false" outlineLevel="0" collapsed="false">
      <c r="A362" s="2" t="n">
        <v>351</v>
      </c>
      <c r="B362" s="13" t="n">
        <f aca="true">OFFSET(Datos!$B$1,1+$B$4+350,0)</f>
        <v>20.009</v>
      </c>
      <c r="C362" s="13" t="n">
        <f aca="true">OFFSET(Datos!$D$1,1+$B$4+350,0)</f>
        <v>159.360005252176</v>
      </c>
      <c r="D362" s="13" t="n">
        <f aca="true">OFFSET(Datos!$D$1,1+350,0)</f>
        <v>163.79509663718</v>
      </c>
      <c r="E362" s="13" t="n">
        <f aca="false">C362-D362</f>
        <v>-4.43509138500448</v>
      </c>
    </row>
    <row r="363" customFormat="false" ht="15" hidden="false" customHeight="false" outlineLevel="0" collapsed="false">
      <c r="A363" s="2" t="n">
        <v>352</v>
      </c>
      <c r="B363" s="13" t="n">
        <f aca="true">OFFSET(Datos!$B$1,1+$B$4+351,0)</f>
        <v>20.059</v>
      </c>
      <c r="C363" s="13" t="n">
        <f aca="true">OFFSET(Datos!$D$1,1+$B$4+351,0)</f>
        <v>160.840747749985</v>
      </c>
      <c r="D363" s="13" t="n">
        <f aca="true">OFFSET(Datos!$D$1,1+351,0)</f>
        <v>166.588883084854</v>
      </c>
      <c r="E363" s="13" t="n">
        <f aca="false">C363-D363</f>
        <v>-5.74813533486903</v>
      </c>
    </row>
    <row r="364" customFormat="false" ht="15" hidden="false" customHeight="false" outlineLevel="0" collapsed="false">
      <c r="A364" s="2" t="n">
        <v>353</v>
      </c>
      <c r="B364" s="13" t="n">
        <f aca="true">OFFSET(Datos!$B$1,1+$B$4+352,0)</f>
        <v>20.1089999999999</v>
      </c>
      <c r="C364" s="13" t="n">
        <f aca="true">OFFSET(Datos!$D$1,1+$B$4+352,0)</f>
        <v>162.317922193583</v>
      </c>
      <c r="D364" s="13" t="n">
        <f aca="true">OFFSET(Datos!$D$1,1+352,0)</f>
        <v>163.57030922185</v>
      </c>
      <c r="E364" s="13" t="n">
        <f aca="false">C364-D364</f>
        <v>-1.25238702826755</v>
      </c>
    </row>
    <row r="365" customFormat="false" ht="15" hidden="false" customHeight="false" outlineLevel="0" collapsed="false">
      <c r="A365" s="2" t="n">
        <v>354</v>
      </c>
      <c r="B365" s="13" t="n">
        <f aca="true">OFFSET(Datos!$B$1,1+$B$4+353,0)</f>
        <v>20.1589999999999</v>
      </c>
      <c r="C365" s="13" t="n">
        <f aca="true">OFFSET(Datos!$D$1,1+$B$4+353,0)</f>
        <v>159.317188601637</v>
      </c>
      <c r="D365" s="13" t="n">
        <f aca="true">OFFSET(Datos!$D$1,1+353,0)</f>
        <v>162.442804090988</v>
      </c>
      <c r="E365" s="13" t="n">
        <f aca="false">C365-D365</f>
        <v>-3.1256154893515</v>
      </c>
    </row>
    <row r="366" customFormat="false" ht="15" hidden="false" customHeight="false" outlineLevel="0" collapsed="false">
      <c r="A366" s="2" t="n">
        <v>355</v>
      </c>
      <c r="B366" s="13" t="n">
        <f aca="true">OFFSET(Datos!$B$1,1+$B$4+354,0)</f>
        <v>20.2089999999998</v>
      </c>
      <c r="C366" s="13" t="n">
        <f aca="true">OFFSET(Datos!$D$1,1+$B$4+354,0)</f>
        <v>160.498214545673</v>
      </c>
      <c r="D366" s="13" t="n">
        <f aca="true">OFFSET(Datos!$D$1,1+354,0)</f>
        <v>164.351713094188</v>
      </c>
      <c r="E366" s="13" t="n">
        <f aca="false">C366-D366</f>
        <v>-3.85349854851555</v>
      </c>
    </row>
    <row r="367" customFormat="false" ht="15" hidden="false" customHeight="false" outlineLevel="0" collapsed="false">
      <c r="A367" s="2" t="n">
        <v>356</v>
      </c>
      <c r="B367" s="13" t="n">
        <f aca="true">OFFSET(Datos!$B$1,1+$B$4+355,0)</f>
        <v>20.259</v>
      </c>
      <c r="C367" s="13" t="n">
        <f aca="true">OFFSET(Datos!$D$1,1+$B$4+355,0)</f>
        <v>159.409958011138</v>
      </c>
      <c r="D367" s="13" t="n">
        <f aca="true">OFFSET(Datos!$D$1,1+355,0)</f>
        <v>164.851240683811</v>
      </c>
      <c r="E367" s="13" t="n">
        <f aca="false">C367-D367</f>
        <v>-5.44128267267243</v>
      </c>
    </row>
    <row r="368" customFormat="false" ht="15" hidden="false" customHeight="false" outlineLevel="0" collapsed="false">
      <c r="A368" s="2" t="n">
        <v>357</v>
      </c>
      <c r="B368" s="13" t="n">
        <f aca="true">OFFSET(Datos!$B$1,1+$B$4+356,0)</f>
        <v>20.309</v>
      </c>
      <c r="C368" s="13" t="n">
        <f aca="true">OFFSET(Datos!$D$1,1+$B$4+356,0)</f>
        <v>162.367874952545</v>
      </c>
      <c r="D368" s="13" t="n">
        <f aca="true">OFFSET(Datos!$D$1,1+356,0)</f>
        <v>164.483731100017</v>
      </c>
      <c r="E368" s="13" t="n">
        <f aca="false">C368-D368</f>
        <v>-2.11585614747196</v>
      </c>
    </row>
    <row r="369" customFormat="false" ht="15" hidden="false" customHeight="false" outlineLevel="0" collapsed="false">
      <c r="A369" s="2" t="n">
        <v>358</v>
      </c>
      <c r="B369" s="13" t="n">
        <f aca="true">OFFSET(Datos!$B$1,1+$B$4+357,0)</f>
        <v>20.3589999999999</v>
      </c>
      <c r="C369" s="13" t="n">
        <f aca="true">OFFSET(Datos!$D$1,1+$B$4+357,0)</f>
        <v>161.957548718212</v>
      </c>
      <c r="D369" s="13" t="n">
        <f aca="true">OFFSET(Datos!$D$1,1+357,0)</f>
        <v>165.311519677105</v>
      </c>
      <c r="E369" s="13" t="n">
        <f aca="false">C369-D369</f>
        <v>-3.35397095889314</v>
      </c>
    </row>
    <row r="370" customFormat="false" ht="15" hidden="false" customHeight="false" outlineLevel="0" collapsed="false">
      <c r="A370" s="2" t="n">
        <v>359</v>
      </c>
      <c r="B370" s="13" t="n">
        <f aca="true">OFFSET(Datos!$B$1,1+$B$4+358,0)</f>
        <v>20.4089999999999</v>
      </c>
      <c r="C370" s="13" t="n">
        <f aca="true">OFFSET(Datos!$D$1,1+$B$4+358,0)</f>
        <v>161.004878243718</v>
      </c>
      <c r="D370" s="13" t="n">
        <f aca="true">OFFSET(Datos!$D$1,1+358,0)</f>
        <v>167.042025969726</v>
      </c>
      <c r="E370" s="13" t="n">
        <f aca="false">C370-D370</f>
        <v>-6.03714772600767</v>
      </c>
    </row>
    <row r="371" customFormat="false" ht="15" hidden="false" customHeight="false" outlineLevel="0" collapsed="false">
      <c r="A371" s="2" t="n">
        <v>360</v>
      </c>
      <c r="B371" s="13" t="n">
        <f aca="true">OFFSET(Datos!$B$1,1+$B$4+359,0)</f>
        <v>20.4589999999998</v>
      </c>
      <c r="C371" s="13" t="n">
        <f aca="true">OFFSET(Datos!$D$1,1+$B$4+359,0)</f>
        <v>159.670425968584</v>
      </c>
      <c r="D371" s="13" t="n">
        <f aca="true">OFFSET(Datos!$D$1,1+359,0)</f>
        <v>169.314876502508</v>
      </c>
      <c r="E371" s="13" t="n">
        <f aca="false">C371-D371</f>
        <v>-9.64445053392362</v>
      </c>
    </row>
    <row r="372" customFormat="false" ht="15" hidden="false" customHeight="false" outlineLevel="0" collapsed="false">
      <c r="A372" s="2" t="n">
        <v>361</v>
      </c>
      <c r="B372" s="13" t="n">
        <f aca="true">OFFSET(Datos!$B$1,1+$B$4+360,0)</f>
        <v>20.509</v>
      </c>
      <c r="C372" s="13" t="n">
        <f aca="true">OFFSET(Datos!$D$1,1+$B$4+360,0)</f>
        <v>162.207312513023</v>
      </c>
      <c r="D372" s="13" t="n">
        <f aca="true">OFFSET(Datos!$D$1,1+360,0)</f>
        <v>168.119578341626</v>
      </c>
      <c r="E372" s="13" t="n">
        <f aca="false">C372-D372</f>
        <v>-5.91226582860207</v>
      </c>
    </row>
    <row r="373" customFormat="false" ht="15" hidden="false" customHeight="false" outlineLevel="0" collapsed="false">
      <c r="A373" s="2" t="n">
        <v>362</v>
      </c>
      <c r="B373" s="13" t="n">
        <f aca="true">OFFSET(Datos!$B$1,1+$B$4+361,0)</f>
        <v>20.559</v>
      </c>
      <c r="C373" s="13" t="n">
        <f aca="true">OFFSET(Datos!$D$1,1+$B$4+361,0)</f>
        <v>161.75060157394</v>
      </c>
      <c r="D373" s="13" t="n">
        <f aca="true">OFFSET(Datos!$D$1,1+361,0)</f>
        <v>163.056509415382</v>
      </c>
      <c r="E373" s="13" t="n">
        <f aca="false">C373-D373</f>
        <v>-1.30590784144138</v>
      </c>
    </row>
    <row r="374" customFormat="false" ht="15" hidden="false" customHeight="false" outlineLevel="0" collapsed="false">
      <c r="A374" s="2" t="n">
        <v>363</v>
      </c>
      <c r="B374" s="13" t="n">
        <f aca="true">OFFSET(Datos!$B$1,1+$B$4+362,0)</f>
        <v>20.6089999999999</v>
      </c>
      <c r="C374" s="13" t="n">
        <f aca="true">OFFSET(Datos!$D$1,1+$B$4+362,0)</f>
        <v>161.047694894257</v>
      </c>
      <c r="D374" s="13" t="n">
        <f aca="true">OFFSET(Datos!$D$1,1+362,0)</f>
        <v>166.546066434315</v>
      </c>
      <c r="E374" s="13" t="n">
        <f aca="false">C374-D374</f>
        <v>-5.49837154005783</v>
      </c>
    </row>
    <row r="375" customFormat="false" ht="15" hidden="false" customHeight="false" outlineLevel="0" collapsed="false">
      <c r="A375" s="2" t="n">
        <v>364</v>
      </c>
      <c r="B375" s="13" t="n">
        <f aca="true">OFFSET(Datos!$B$1,1+$B$4+363,0)</f>
        <v>20.6589999999999</v>
      </c>
      <c r="C375" s="13" t="n">
        <f aca="true">OFFSET(Datos!$D$1,1+$B$4+363,0)</f>
        <v>161.379523935935</v>
      </c>
      <c r="D375" s="13" t="n">
        <f aca="true">OFFSET(Datos!$D$1,1+363,0)</f>
        <v>165.768230616189</v>
      </c>
      <c r="E375" s="13" t="n">
        <f aca="false">C375-D375</f>
        <v>-4.38870668025382</v>
      </c>
    </row>
    <row r="376" customFormat="false" ht="15" hidden="false" customHeight="false" outlineLevel="0" collapsed="false">
      <c r="A376" s="2" t="n">
        <v>365</v>
      </c>
      <c r="B376" s="13" t="n">
        <f aca="true">OFFSET(Datos!$B$1,1+$B$4+364,0)</f>
        <v>20.7089999999998</v>
      </c>
      <c r="C376" s="13" t="n">
        <f aca="true">OFFSET(Datos!$D$1,1+$B$4+364,0)</f>
        <v>160.765818611542</v>
      </c>
      <c r="D376" s="13" t="n">
        <f aca="true">OFFSET(Datos!$D$1,1+364,0)</f>
        <v>163.199231583845</v>
      </c>
      <c r="E376" s="13" t="n">
        <f aca="false">C376-D376</f>
        <v>-2.43341297230333</v>
      </c>
    </row>
    <row r="377" customFormat="false" ht="15" hidden="false" customHeight="false" outlineLevel="0" collapsed="false">
      <c r="A377" s="2" t="n">
        <v>366</v>
      </c>
      <c r="B377" s="13" t="n">
        <f aca="true">OFFSET(Datos!$B$1,1+$B$4+365,0)</f>
        <v>20.759</v>
      </c>
      <c r="C377" s="13" t="n">
        <f aca="true">OFFSET(Datos!$D$1,1+$B$4+365,0)</f>
        <v>161.254642038529</v>
      </c>
      <c r="D377" s="13" t="n">
        <f aca="true">OFFSET(Datos!$D$1,1+365,0)</f>
        <v>161.343843393819</v>
      </c>
      <c r="E377" s="13" t="n">
        <f aca="false">C377-D377</f>
        <v>-0.0892013552897026</v>
      </c>
    </row>
    <row r="378" customFormat="false" ht="15" hidden="false" customHeight="false" outlineLevel="0" collapsed="false">
      <c r="A378" s="2" t="n">
        <v>367</v>
      </c>
      <c r="B378" s="13" t="n">
        <f aca="true">OFFSET(Datos!$B$1,1+$B$4+366,0)</f>
        <v>20.809</v>
      </c>
      <c r="C378" s="13" t="n">
        <f aca="true">OFFSET(Datos!$D$1,1+$B$4+366,0)</f>
        <v>160.134273016091</v>
      </c>
      <c r="D378" s="13" t="n">
        <f aca="true">OFFSET(Datos!$D$1,1+366,0)</f>
        <v>167.719956269928</v>
      </c>
      <c r="E378" s="13" t="n">
        <f aca="false">C378-D378</f>
        <v>-7.58568325383709</v>
      </c>
    </row>
    <row r="379" customFormat="false" ht="15" hidden="false" customHeight="false" outlineLevel="0" collapsed="false">
      <c r="A379" s="2" t="n">
        <v>368</v>
      </c>
      <c r="B379" s="13" t="n">
        <f aca="true">OFFSET(Datos!$B$1,1+$B$4+367,0)</f>
        <v>20.8589999999999</v>
      </c>
      <c r="C379" s="13" t="n">
        <f aca="true">OFFSET(Datos!$D$1,1+$B$4+367,0)</f>
        <v>161.086943490585</v>
      </c>
      <c r="D379" s="13" t="n">
        <f aca="true">OFFSET(Datos!$D$1,1+367,0)</f>
        <v>163.035101090112</v>
      </c>
      <c r="E379" s="13" t="n">
        <f aca="false">C379-D379</f>
        <v>-1.94815759952729</v>
      </c>
    </row>
    <row r="380" customFormat="false" ht="15" hidden="false" customHeight="false" outlineLevel="0" collapsed="false">
      <c r="A380" s="2" t="n">
        <v>369</v>
      </c>
      <c r="B380" s="13" t="n">
        <f aca="true">OFFSET(Datos!$B$1,1+$B$4+368,0)</f>
        <v>20.9089999999999</v>
      </c>
      <c r="C380" s="13" t="n">
        <f aca="true">OFFSET(Datos!$D$1,1+$B$4+368,0)</f>
        <v>160.926381051063</v>
      </c>
      <c r="D380" s="13" t="n">
        <f aca="true">OFFSET(Datos!$D$1,1+368,0)</f>
        <v>160.162817449783</v>
      </c>
      <c r="E380" s="13" t="n">
        <f aca="false">C380-D380</f>
        <v>0.763563601279941</v>
      </c>
    </row>
    <row r="381" customFormat="false" ht="15" hidden="false" customHeight="false" outlineLevel="0" collapsed="false">
      <c r="A381" s="2" t="n">
        <v>370</v>
      </c>
      <c r="B381" s="13" t="n">
        <f aca="true">OFFSET(Datos!$B$1,1+$B$4+369,0)</f>
        <v>20.9589999999998</v>
      </c>
      <c r="C381" s="13" t="n">
        <f aca="true">OFFSET(Datos!$D$1,1+$B$4+369,0)</f>
        <v>159.731082890181</v>
      </c>
      <c r="D381" s="13" t="n">
        <f aca="true">OFFSET(Datos!$D$1,1+369,0)</f>
        <v>161.379523935935</v>
      </c>
      <c r="E381" s="13" t="n">
        <f aca="false">C381-D381</f>
        <v>-1.64844104575386</v>
      </c>
    </row>
    <row r="382" customFormat="false" ht="15" hidden="false" customHeight="false" outlineLevel="0" collapsed="false">
      <c r="A382" s="2" t="n">
        <v>371</v>
      </c>
      <c r="B382" s="13" t="n">
        <f aca="true">OFFSET(Datos!$B$1,1+$B$4+370,0)</f>
        <v>21.01</v>
      </c>
      <c r="C382" s="13" t="n">
        <f aca="true">OFFSET(Datos!$D$1,1+$B$4+370,0)</f>
        <v>163.359794023367</v>
      </c>
      <c r="D382" s="13" t="n">
        <f aca="true">OFFSET(Datos!$D$1,1+370,0)</f>
        <v>161.893323742404</v>
      </c>
      <c r="E382" s="13" t="n">
        <f aca="false">C382-D382</f>
        <v>1.46647028096285</v>
      </c>
    </row>
    <row r="383" customFormat="false" ht="15" hidden="false" customHeight="false" outlineLevel="0" collapsed="false">
      <c r="A383" s="2" t="n">
        <v>372</v>
      </c>
      <c r="B383" s="13" t="n">
        <f aca="true">OFFSET(Datos!$B$1,1+$B$4+371,0)</f>
        <v>21.0599999999999</v>
      </c>
      <c r="C383" s="13" t="n">
        <f aca="true">OFFSET(Datos!$D$1,1+$B$4+371,0)</f>
        <v>160.491078437249</v>
      </c>
      <c r="D383" s="13" t="n">
        <f aca="true">OFFSET(Datos!$D$1,1+371,0)</f>
        <v>161.040558785834</v>
      </c>
      <c r="E383" s="13" t="n">
        <f aca="false">C383-D383</f>
        <v>-0.549480348584609</v>
      </c>
    </row>
    <row r="384" customFormat="false" ht="15" hidden="false" customHeight="false" outlineLevel="0" collapsed="false">
      <c r="A384" s="2" t="n">
        <v>373</v>
      </c>
      <c r="B384" s="13" t="n">
        <f aca="true">OFFSET(Datos!$B$1,1+$B$4+372,0)</f>
        <v>21.1099999999999</v>
      </c>
      <c r="C384" s="13" t="n">
        <f aca="true">OFFSET(Datos!$D$1,1+$B$4+372,0)</f>
        <v>160.929949105275</v>
      </c>
      <c r="D384" s="13" t="n">
        <f aca="true">OFFSET(Datos!$D$1,1+372,0)</f>
        <v>160.815771370504</v>
      </c>
      <c r="E384" s="13" t="n">
        <f aca="false">C384-D384</f>
        <v>0.114177734770806</v>
      </c>
    </row>
    <row r="385" customFormat="false" ht="15" hidden="false" customHeight="false" outlineLevel="0" collapsed="false">
      <c r="A385" s="2" t="n">
        <v>374</v>
      </c>
      <c r="B385" s="13" t="n">
        <f aca="true">OFFSET(Datos!$B$1,1+$B$4+373,0)</f>
        <v>21.1599999999999</v>
      </c>
      <c r="C385" s="13" t="n">
        <f aca="true">OFFSET(Datos!$D$1,1+$B$4+373,0)</f>
        <v>162.128815320369</v>
      </c>
      <c r="D385" s="13" t="n">
        <f aca="true">OFFSET(Datos!$D$1,1+373,0)</f>
        <v>164.897625388561</v>
      </c>
      <c r="E385" s="13" t="n">
        <f aca="false">C385-D385</f>
        <v>-2.76881006819264</v>
      </c>
    </row>
    <row r="386" customFormat="false" ht="15" hidden="false" customHeight="false" outlineLevel="0" collapsed="false">
      <c r="A386" s="2" t="n">
        <v>375</v>
      </c>
      <c r="B386" s="13" t="n">
        <f aca="true">OFFSET(Datos!$B$1,1+$B$4+374,0)</f>
        <v>21.2099999999998</v>
      </c>
      <c r="C386" s="13" t="n">
        <f aca="true">OFFSET(Datos!$D$1,1+$B$4+374,0)</f>
        <v>161.672104381285</v>
      </c>
      <c r="D386" s="13" t="n">
        <f aca="true">OFFSET(Datos!$D$1,1+374,0)</f>
        <v>168.023240877913</v>
      </c>
      <c r="E386" s="13" t="n">
        <f aca="false">C386-D386</f>
        <v>-6.35113649662748</v>
      </c>
    </row>
    <row r="387" customFormat="false" ht="15" hidden="false" customHeight="false" outlineLevel="0" collapsed="false">
      <c r="A387" s="2" t="n">
        <v>376</v>
      </c>
      <c r="B387" s="13" t="n">
        <f aca="true">OFFSET(Datos!$B$1,1+$B$4+375,0)</f>
        <v>21.26</v>
      </c>
      <c r="C387" s="13" t="n">
        <f aca="true">OFFSET(Datos!$D$1,1+$B$4+375,0)</f>
        <v>162.67115956053</v>
      </c>
      <c r="D387" s="13" t="n">
        <f aca="true">OFFSET(Datos!$D$1,1+375,0)</f>
        <v>161.404500315416</v>
      </c>
      <c r="E387" s="13" t="n">
        <f aca="false">C387-D387</f>
        <v>1.26665924511391</v>
      </c>
    </row>
    <row r="388" customFormat="false" ht="15" hidden="false" customHeight="false" outlineLevel="0" collapsed="false">
      <c r="A388" s="2" t="n">
        <v>377</v>
      </c>
      <c r="B388" s="13" t="n">
        <f aca="true">OFFSET(Datos!$B$1,1+$B$4+376,0)</f>
        <v>21.3099999999999</v>
      </c>
      <c r="C388" s="13" t="n">
        <f aca="true">OFFSET(Datos!$D$1,1+$B$4+376,0)</f>
        <v>162.182336133542</v>
      </c>
      <c r="D388" s="13" t="n">
        <f aca="true">OFFSET(Datos!$D$1,1+376,0)</f>
        <v>160.894268563159</v>
      </c>
      <c r="E388" s="13" t="n">
        <f aca="false">C388-D388</f>
        <v>1.28806757038345</v>
      </c>
    </row>
    <row r="389" customFormat="false" ht="15" hidden="false" customHeight="false" outlineLevel="0" collapsed="false">
      <c r="A389" s="2" t="n">
        <v>378</v>
      </c>
      <c r="B389" s="13" t="n">
        <f aca="true">OFFSET(Datos!$B$1,1+$B$4+377,0)</f>
        <v>21.3599999999999</v>
      </c>
      <c r="C389" s="13" t="n">
        <f aca="true">OFFSET(Datos!$D$1,1+$B$4+377,0)</f>
        <v>164.383825582092</v>
      </c>
      <c r="D389" s="13" t="n">
        <f aca="true">OFFSET(Datos!$D$1,1+377,0)</f>
        <v>160.979901864237</v>
      </c>
      <c r="E389" s="13" t="n">
        <f aca="false">C389-D389</f>
        <v>3.40392371785538</v>
      </c>
    </row>
    <row r="390" customFormat="false" ht="15" hidden="false" customHeight="false" outlineLevel="0" collapsed="false">
      <c r="A390" s="2" t="n">
        <v>379</v>
      </c>
      <c r="B390" s="13" t="n">
        <f aca="true">OFFSET(Datos!$B$1,1+$B$4+378,0)</f>
        <v>21.4099999999999</v>
      </c>
      <c r="C390" s="13" t="n">
        <f aca="true">OFFSET(Datos!$D$1,1+$B$4+378,0)</f>
        <v>165.789638941458</v>
      </c>
      <c r="D390" s="13" t="n">
        <f aca="true">OFFSET(Datos!$D$1,1+378,0)</f>
        <v>163.352657914943</v>
      </c>
      <c r="E390" s="13" t="n">
        <f aca="false">C390-D390</f>
        <v>2.43698102651493</v>
      </c>
    </row>
    <row r="391" customFormat="false" ht="15" hidden="false" customHeight="false" outlineLevel="0" collapsed="false">
      <c r="A391" s="2" t="n">
        <v>380</v>
      </c>
      <c r="B391" s="13" t="n">
        <f aca="true">OFFSET(Datos!$B$1,1+$B$4+379,0)</f>
        <v>21.4599999999998</v>
      </c>
      <c r="C391" s="13" t="n">
        <f aca="true">OFFSET(Datos!$D$1,1+$B$4+379,0)</f>
        <v>160.69445752731</v>
      </c>
      <c r="D391" s="13" t="n">
        <f aca="true">OFFSET(Datos!$D$1,1+379,0)</f>
        <v>162.467780470469</v>
      </c>
      <c r="E391" s="13" t="n">
        <f aca="false">C391-D391</f>
        <v>-1.77332294315946</v>
      </c>
    </row>
    <row r="392" customFormat="false" ht="15" hidden="false" customHeight="false" outlineLevel="0" collapsed="false">
      <c r="A392" s="2" t="n">
        <v>381</v>
      </c>
      <c r="B392" s="13" t="n">
        <f aca="true">OFFSET(Datos!$B$1,1+$B$4+380,0)</f>
        <v>21.51</v>
      </c>
      <c r="C392" s="13" t="n">
        <f aca="true">OFFSET(Datos!$D$1,1+$B$4+380,0)</f>
        <v>162.003933422963</v>
      </c>
      <c r="D392" s="13" t="n">
        <f aca="true">OFFSET(Datos!$D$1,1+380,0)</f>
        <v>161.572198863361</v>
      </c>
      <c r="E392" s="13" t="n">
        <f aca="false">C392-D392</f>
        <v>0.431734559602205</v>
      </c>
    </row>
    <row r="393" customFormat="false" ht="15" hidden="false" customHeight="false" outlineLevel="0" collapsed="false">
      <c r="A393" s="2" t="n">
        <v>382</v>
      </c>
      <c r="B393" s="13" t="n">
        <f aca="true">OFFSET(Datos!$B$1,1+$B$4+381,0)</f>
        <v>21.5599999999999</v>
      </c>
      <c r="C393" s="13" t="n">
        <f aca="true">OFFSET(Datos!$D$1,1+$B$4+381,0)</f>
        <v>162.646183181049</v>
      </c>
      <c r="D393" s="13" t="n">
        <f aca="true">OFFSET(Datos!$D$1,1+381,0)</f>
        <v>166.538930325892</v>
      </c>
      <c r="E393" s="13" t="n">
        <f aca="false">C393-D393</f>
        <v>-3.89274714484304</v>
      </c>
    </row>
    <row r="394" customFormat="false" ht="15" hidden="false" customHeight="false" outlineLevel="0" collapsed="false">
      <c r="A394" s="2" t="n">
        <v>383</v>
      </c>
      <c r="B394" s="13" t="n">
        <f aca="true">OFFSET(Datos!$B$1,1+$B$4+382,0)</f>
        <v>21.6099999999999</v>
      </c>
      <c r="C394" s="13" t="n">
        <f aca="true">OFFSET(Datos!$D$1,1+$B$4+382,0)</f>
        <v>163.288432939135</v>
      </c>
      <c r="D394" s="13" t="n">
        <f aca="true">OFFSET(Datos!$D$1,1+382,0)</f>
        <v>161.946844555577</v>
      </c>
      <c r="E394" s="13" t="n">
        <f aca="false">C394-D394</f>
        <v>1.34158838355725</v>
      </c>
    </row>
    <row r="395" customFormat="false" ht="15" hidden="false" customHeight="false" outlineLevel="0" collapsed="false">
      <c r="A395" s="2" t="n">
        <v>384</v>
      </c>
      <c r="B395" s="13" t="n">
        <f aca="true">OFFSET(Datos!$B$1,1+$B$4+383,0)</f>
        <v>21.6599999999999</v>
      </c>
      <c r="C395" s="13" t="n">
        <f aca="true">OFFSET(Datos!$D$1,1+$B$4+383,0)</f>
        <v>161.318867014338</v>
      </c>
      <c r="D395" s="13" t="n">
        <f aca="true">OFFSET(Datos!$D$1,1+383,0)</f>
        <v>160.683753364675</v>
      </c>
      <c r="E395" s="13" t="n">
        <f aca="false">C395-D395</f>
        <v>0.63511364966277</v>
      </c>
    </row>
    <row r="396" customFormat="false" ht="15" hidden="false" customHeight="false" outlineLevel="0" collapsed="false">
      <c r="A396" s="2" t="n">
        <v>385</v>
      </c>
      <c r="B396" s="13" t="n">
        <f aca="true">OFFSET(Datos!$B$1,1+$B$4+384,0)</f>
        <v>21.7099999999998</v>
      </c>
      <c r="C396" s="13" t="n">
        <f aca="true">OFFSET(Datos!$D$1,1+$B$4+384,0)</f>
        <v>160.926381051063</v>
      </c>
      <c r="D396" s="13" t="n">
        <f aca="true">OFFSET(Datos!$D$1,1+384,0)</f>
        <v>159.18873865002</v>
      </c>
      <c r="E396" s="13" t="n">
        <f aca="false">C396-D396</f>
        <v>1.73764240104359</v>
      </c>
    </row>
    <row r="397" customFormat="false" ht="15" hidden="false" customHeight="false" outlineLevel="0" collapsed="false">
      <c r="A397" s="2" t="n">
        <v>386</v>
      </c>
      <c r="B397" s="13" t="n">
        <f aca="true">OFFSET(Datos!$B$1,1+$B$4+385,0)</f>
        <v>21.76</v>
      </c>
      <c r="C397" s="13" t="n">
        <f aca="true">OFFSET(Datos!$D$1,1+$B$4+385,0)</f>
        <v>159.68469818543</v>
      </c>
      <c r="D397" s="13" t="n">
        <f aca="true">OFFSET(Datos!$D$1,1+385,0)</f>
        <v>162.489188795739</v>
      </c>
      <c r="E397" s="13" t="n">
        <f aca="false">C397-D397</f>
        <v>-2.80449061030853</v>
      </c>
    </row>
    <row r="398" customFormat="false" ht="15" hidden="false" customHeight="false" outlineLevel="0" collapsed="false">
      <c r="A398" s="2" t="n">
        <v>387</v>
      </c>
      <c r="B398" s="13" t="n">
        <f aca="true">OFFSET(Datos!$B$1,1+$B$4+386,0)</f>
        <v>21.8099999999999</v>
      </c>
      <c r="C398" s="13" t="n">
        <f aca="true">OFFSET(Datos!$D$1,1+$B$4+386,0)</f>
        <v>160.241314642438</v>
      </c>
      <c r="D398" s="13" t="n">
        <f aca="true">OFFSET(Datos!$D$1,1+386,0)</f>
        <v>161.932572338731</v>
      </c>
      <c r="E398" s="13" t="n">
        <f aca="false">C398-D398</f>
        <v>-1.69125769629292</v>
      </c>
    </row>
    <row r="399" customFormat="false" ht="15" hidden="false" customHeight="false" outlineLevel="0" collapsed="false">
      <c r="A399" s="2" t="n">
        <v>388</v>
      </c>
      <c r="B399" s="13" t="n">
        <f aca="true">OFFSET(Datos!$B$1,1+$B$4+387,0)</f>
        <v>21.8599999999999</v>
      </c>
      <c r="C399" s="13" t="n">
        <f aca="true">OFFSET(Datos!$D$1,1+$B$4+387,0)</f>
        <v>160.394740973536</v>
      </c>
      <c r="D399" s="13" t="n">
        <f aca="true">OFFSET(Datos!$D$1,1+387,0)</f>
        <v>159.57052045066</v>
      </c>
      <c r="E399" s="13" t="n">
        <f aca="false">C399-D399</f>
        <v>0.824220522876914</v>
      </c>
    </row>
    <row r="400" customFormat="false" ht="15" hidden="false" customHeight="false" outlineLevel="0" collapsed="false">
      <c r="A400" s="2" t="n">
        <v>389</v>
      </c>
      <c r="B400" s="13" t="n">
        <f aca="true">OFFSET(Datos!$B$1,1+$B$4+388,0)</f>
        <v>21.9099999999999</v>
      </c>
      <c r="C400" s="13" t="n">
        <f aca="true">OFFSET(Datos!$D$1,1+$B$4+388,0)</f>
        <v>160.833611641562</v>
      </c>
      <c r="D400" s="13" t="n">
        <f aca="true">OFFSET(Datos!$D$1,1+388,0)</f>
        <v>159.877373112856</v>
      </c>
      <c r="E400" s="13" t="n">
        <f aca="false">C400-D400</f>
        <v>0.956238528705711</v>
      </c>
    </row>
    <row r="401" customFormat="false" ht="15" hidden="false" customHeight="false" outlineLevel="0" collapsed="false">
      <c r="A401" s="2" t="n">
        <v>390</v>
      </c>
      <c r="B401" s="13" t="n">
        <f aca="true">OFFSET(Datos!$B$1,1+$B$4+389,0)</f>
        <v>21.9599999999998</v>
      </c>
      <c r="C401" s="13" t="n">
        <f aca="true">OFFSET(Datos!$D$1,1+$B$4+389,0)</f>
        <v>162.849562271109</v>
      </c>
      <c r="D401" s="13" t="n">
        <f aca="true">OFFSET(Datos!$D$1,1+389,0)</f>
        <v>160.091456365551</v>
      </c>
      <c r="E401" s="13" t="n">
        <f aca="false">C401-D401</f>
        <v>2.7581059055579</v>
      </c>
    </row>
    <row r="402" customFormat="false" ht="15" hidden="false" customHeight="false" outlineLevel="0" collapsed="false">
      <c r="A402" s="2" t="n">
        <v>391</v>
      </c>
      <c r="B402" s="13" t="n">
        <f aca="true">OFFSET(Datos!$B$1,1+$B$4+390,0)</f>
        <v>22.01</v>
      </c>
      <c r="C402" s="13" t="n">
        <f aca="true">OFFSET(Datos!$D$1,1+$B$4+390,0)</f>
        <v>161.247505930106</v>
      </c>
      <c r="D402" s="13" t="n">
        <f aca="true">OFFSET(Datos!$D$1,1+390,0)</f>
        <v>161.92900428452</v>
      </c>
      <c r="E402" s="13" t="n">
        <f aca="false">C402-D402</f>
        <v>-0.681498354413378</v>
      </c>
    </row>
    <row r="403" customFormat="false" ht="15" hidden="false" customHeight="false" outlineLevel="0" collapsed="false">
      <c r="A403" s="2" t="n">
        <v>392</v>
      </c>
      <c r="B403" s="13" t="n">
        <f aca="true">OFFSET(Datos!$B$1,1+$B$4+391,0)</f>
        <v>22.0599999999999</v>
      </c>
      <c r="C403" s="13" t="n">
        <f aca="true">OFFSET(Datos!$D$1,1+$B$4+391,0)</f>
        <v>162.585526259452</v>
      </c>
      <c r="D403" s="13" t="n">
        <f aca="true">OFFSET(Datos!$D$1,1+391,0)</f>
        <v>161.397364206993</v>
      </c>
      <c r="E403" s="13" t="n">
        <f aca="false">C403-D403</f>
        <v>1.18816205245898</v>
      </c>
    </row>
    <row r="404" customFormat="false" ht="15" hidden="false" customHeight="false" outlineLevel="0" collapsed="false">
      <c r="A404" s="2" t="n">
        <v>393</v>
      </c>
      <c r="B404" s="13" t="n">
        <f aca="true">OFFSET(Datos!$B$1,1+$B$4+392,0)</f>
        <v>22.1099999999999</v>
      </c>
      <c r="C404" s="13" t="n">
        <f aca="true">OFFSET(Datos!$D$1,1+$B$4+392,0)</f>
        <v>161.379523935935</v>
      </c>
      <c r="D404" s="13" t="n">
        <f aca="true">OFFSET(Datos!$D$1,1+392,0)</f>
        <v>162.025341748232</v>
      </c>
      <c r="E404" s="13" t="n">
        <f aca="false">C404-D404</f>
        <v>-0.645817812297509</v>
      </c>
    </row>
    <row r="405" customFormat="false" ht="15" hidden="false" customHeight="false" outlineLevel="0" collapsed="false">
      <c r="A405" s="2" t="n">
        <v>394</v>
      </c>
      <c r="B405" s="13" t="n">
        <f aca="true">OFFSET(Datos!$B$1,1+$B$4+393,0)</f>
        <v>22.1600000000001</v>
      </c>
      <c r="C405" s="13" t="n">
        <f aca="true">OFFSET(Datos!$D$1,1+$B$4+393,0)</f>
        <v>162.874538650591</v>
      </c>
      <c r="D405" s="13" t="n">
        <f aca="true">OFFSET(Datos!$D$1,1+393,0)</f>
        <v>162.870970596379</v>
      </c>
      <c r="E405" s="13" t="n">
        <f aca="false">C405-D405</f>
        <v>0.00356805421159834</v>
      </c>
    </row>
    <row r="406" customFormat="false" ht="15" hidden="false" customHeight="false" outlineLevel="0" collapsed="false">
      <c r="A406" s="2" t="n">
        <v>395</v>
      </c>
      <c r="B406" s="13" t="n">
        <f aca="true">OFFSET(Datos!$B$1,1+$B$4+394,0)</f>
        <v>22.2099999999998</v>
      </c>
      <c r="C406" s="13" t="n">
        <f aca="true">OFFSET(Datos!$D$1,1+$B$4+394,0)</f>
        <v>161.069103219527</v>
      </c>
      <c r="D406" s="13" t="n">
        <f aca="true">OFFSET(Datos!$D$1,1+394,0)</f>
        <v>160.701593635733</v>
      </c>
      <c r="E406" s="13" t="n">
        <f aca="false">C406-D406</f>
        <v>0.367509583793606</v>
      </c>
    </row>
    <row r="407" customFormat="false" ht="15" hidden="false" customHeight="false" outlineLevel="0" collapsed="false">
      <c r="A407" s="2" t="n">
        <v>396</v>
      </c>
      <c r="B407" s="13" t="n">
        <f aca="true">OFFSET(Datos!$B$1,1+$B$4+395,0)</f>
        <v>22.26</v>
      </c>
      <c r="C407" s="13" t="n">
        <f aca="true">OFFSET(Datos!$D$1,1+$B$4+395,0)</f>
        <v>163.213503800691</v>
      </c>
      <c r="D407" s="13" t="n">
        <f aca="true">OFFSET(Datos!$D$1,1+395,0)</f>
        <v>161.607879405477</v>
      </c>
      <c r="E407" s="13" t="n">
        <f aca="false">C407-D407</f>
        <v>1.60562439521482</v>
      </c>
    </row>
    <row r="408" customFormat="false" ht="15" hidden="false" customHeight="false" outlineLevel="0" collapsed="false">
      <c r="A408" s="2" t="n">
        <v>397</v>
      </c>
      <c r="B408" s="13" t="n">
        <f aca="true">OFFSET(Datos!$B$1,1+$B$4+396,0)</f>
        <v>22.3099999999997</v>
      </c>
      <c r="C408" s="13" t="n">
        <f aca="true">OFFSET(Datos!$D$1,1+$B$4+396,0)</f>
        <v>161.218961496413</v>
      </c>
      <c r="D408" s="13" t="n">
        <f aca="true">OFFSET(Datos!$D$1,1+396,0)</f>
        <v>159.895213383914</v>
      </c>
      <c r="E408" s="13" t="n">
        <f aca="false">C408-D408</f>
        <v>1.32374811249932</v>
      </c>
    </row>
    <row r="409" customFormat="false" ht="15" hidden="false" customHeight="false" outlineLevel="0" collapsed="false">
      <c r="A409" s="2" t="n">
        <v>398</v>
      </c>
      <c r="B409" s="13" t="n">
        <f aca="true">OFFSET(Datos!$B$1,1+$B$4+397,0)</f>
        <v>22.3599999999999</v>
      </c>
      <c r="C409" s="13" t="n">
        <f aca="true">OFFSET(Datos!$D$1,1+$B$4+397,0)</f>
        <v>163.527492571311</v>
      </c>
      <c r="D409" s="13" t="n">
        <f aca="true">OFFSET(Datos!$D$1,1+397,0)</f>
        <v>163.324113481251</v>
      </c>
      <c r="E409" s="13" t="n">
        <f aca="false">C409-D409</f>
        <v>0.203379090060537</v>
      </c>
    </row>
    <row r="410" customFormat="false" ht="15" hidden="false" customHeight="false" outlineLevel="0" collapsed="false">
      <c r="A410" s="2" t="n">
        <v>399</v>
      </c>
      <c r="B410" s="13" t="n">
        <f aca="true">OFFSET(Datos!$B$1,1+$B$4+398,0)</f>
        <v>22.4100000000001</v>
      </c>
      <c r="C410" s="13" t="n">
        <f aca="true">OFFSET(Datos!$D$1,1+$B$4+398,0)</f>
        <v>161.012014352141</v>
      </c>
      <c r="D410" s="13" t="n">
        <f aca="true">OFFSET(Datos!$D$1,1+398,0)</f>
        <v>161.850507091865</v>
      </c>
      <c r="E410" s="13" t="n">
        <f aca="false">C410-D410</f>
        <v>-0.838492739723279</v>
      </c>
    </row>
    <row r="411" customFormat="false" ht="15" hidden="false" customHeight="false" outlineLevel="0" collapsed="false">
      <c r="A411" s="2" t="n">
        <v>400</v>
      </c>
      <c r="B411" s="13" t="n">
        <f aca="true">OFFSET(Datos!$B$1,1+$B$4+399,0)</f>
        <v>22.461</v>
      </c>
      <c r="C411" s="13" t="n">
        <f aca="true">OFFSET(Datos!$D$1,1+$B$4+399,0)</f>
        <v>159.602632938564</v>
      </c>
      <c r="D411" s="13" t="n">
        <f aca="true">OFFSET(Datos!$D$1,1+399,0)</f>
        <v>162.988716385361</v>
      </c>
      <c r="E411" s="13" t="n">
        <f aca="false">C411-D411</f>
        <v>-3.38608344679747</v>
      </c>
    </row>
    <row r="412" customFormat="false" ht="15" hidden="false" customHeight="false" outlineLevel="0" collapsed="false">
      <c r="A412" s="2" t="n">
        <v>401</v>
      </c>
      <c r="B412" s="13" t="n">
        <f aca="true">OFFSET(Datos!$B$1,1+$B$4+400,0)</f>
        <v>22.5109999999997</v>
      </c>
      <c r="C412" s="13" t="n">
        <f aca="true">OFFSET(Datos!$D$1,1+$B$4+400,0)</f>
        <v>162.414259657296</v>
      </c>
      <c r="D412" s="13" t="n">
        <f aca="true">OFFSET(Datos!$D$1,1+400,0)</f>
        <v>159.360005252176</v>
      </c>
      <c r="E412" s="13" t="n">
        <f aca="false">C412-D412</f>
        <v>3.05425440511974</v>
      </c>
    </row>
    <row r="413" customFormat="false" ht="15" hidden="false" customHeight="false" outlineLevel="0" collapsed="false">
      <c r="A413" s="2" t="n">
        <v>402</v>
      </c>
      <c r="B413" s="13" t="n">
        <f aca="true">OFFSET(Datos!$B$1,1+$B$4+401,0)</f>
        <v>22.5609999999999</v>
      </c>
      <c r="C413" s="13" t="n">
        <f aca="true">OFFSET(Datos!$D$1,1+$B$4+401,0)</f>
        <v>164.069836811473</v>
      </c>
      <c r="D413" s="13" t="n">
        <f aca="true">OFFSET(Datos!$D$1,1+401,0)</f>
        <v>160.840747749985</v>
      </c>
      <c r="E413" s="13" t="n">
        <f aca="false">C413-D413</f>
        <v>3.22908906148757</v>
      </c>
    </row>
    <row r="414" customFormat="false" ht="15" hidden="false" customHeight="false" outlineLevel="0" collapsed="false">
      <c r="A414" s="2" t="n">
        <v>403</v>
      </c>
      <c r="B414" s="13" t="n">
        <f aca="true">OFFSET(Datos!$B$1,1+$B$4+402,0)</f>
        <v>22.6110000000001</v>
      </c>
      <c r="C414" s="13" t="n">
        <f aca="true">OFFSET(Datos!$D$1,1+$B$4+402,0)</f>
        <v>161.218961496413</v>
      </c>
      <c r="D414" s="13" t="n">
        <f aca="true">OFFSET(Datos!$D$1,1+402,0)</f>
        <v>162.317922193583</v>
      </c>
      <c r="E414" s="13" t="n">
        <f aca="false">C414-D414</f>
        <v>-1.09896069716928</v>
      </c>
    </row>
    <row r="415" customFormat="false" ht="15" hidden="false" customHeight="false" outlineLevel="0" collapsed="false">
      <c r="A415" s="2" t="n">
        <v>404</v>
      </c>
      <c r="B415" s="13" t="n">
        <f aca="true">OFFSET(Datos!$B$1,1+$B$4+403,0)</f>
        <v>22.6609999999998</v>
      </c>
      <c r="C415" s="13" t="n">
        <f aca="true">OFFSET(Datos!$D$1,1+$B$4+403,0)</f>
        <v>161.636423839169</v>
      </c>
      <c r="D415" s="13" t="n">
        <f aca="true">OFFSET(Datos!$D$1,1+403,0)</f>
        <v>159.317188601637</v>
      </c>
      <c r="E415" s="13" t="n">
        <f aca="false">C415-D415</f>
        <v>2.31923523753252</v>
      </c>
    </row>
    <row r="416" customFormat="false" ht="15" hidden="false" customHeight="false" outlineLevel="0" collapsed="false">
      <c r="A416" s="2" t="n">
        <v>405</v>
      </c>
      <c r="B416" s="13" t="n">
        <f aca="true">OFFSET(Datos!$B$1,1+$B$4+404,0)</f>
        <v>22.711</v>
      </c>
      <c r="C416" s="13" t="n">
        <f aca="true">OFFSET(Datos!$D$1,1+$B$4+404,0)</f>
        <v>161.022718514776</v>
      </c>
      <c r="D416" s="13" t="n">
        <f aca="true">OFFSET(Datos!$D$1,1+404,0)</f>
        <v>160.498214545673</v>
      </c>
      <c r="E416" s="13" t="n">
        <f aca="false">C416-D416</f>
        <v>0.524503969103506</v>
      </c>
    </row>
    <row r="417" customFormat="false" ht="15" hidden="false" customHeight="false" outlineLevel="0" collapsed="false">
      <c r="A417" s="2" t="n">
        <v>406</v>
      </c>
      <c r="B417" s="13" t="n">
        <f aca="true">OFFSET(Datos!$B$1,1+$B$4+405,0)</f>
        <v>22.7609999999997</v>
      </c>
      <c r="C417" s="13" t="n">
        <f aca="true">OFFSET(Datos!$D$1,1+$B$4+405,0)</f>
        <v>161.989661206117</v>
      </c>
      <c r="D417" s="13" t="n">
        <f aca="true">OFFSET(Datos!$D$1,1+405,0)</f>
        <v>159.409958011138</v>
      </c>
      <c r="E417" s="13" t="n">
        <f aca="false">C417-D417</f>
        <v>2.57970319497849</v>
      </c>
    </row>
    <row r="418" customFormat="false" ht="15" hidden="false" customHeight="false" outlineLevel="0" collapsed="false">
      <c r="A418" s="2" t="n">
        <v>407</v>
      </c>
      <c r="B418" s="13" t="n">
        <f aca="true">OFFSET(Datos!$B$1,1+$B$4+406,0)</f>
        <v>22.8109999999999</v>
      </c>
      <c r="C418" s="13" t="n">
        <f aca="true">OFFSET(Datos!$D$1,1+$B$4+406,0)</f>
        <v>161.565062754938</v>
      </c>
      <c r="D418" s="13" t="n">
        <f aca="true">OFFSET(Datos!$D$1,1+406,0)</f>
        <v>162.367874952545</v>
      </c>
      <c r="E418" s="13" t="n">
        <f aca="false">C418-D418</f>
        <v>-0.802812197607409</v>
      </c>
    </row>
    <row r="419" customFormat="false" ht="15" hidden="false" customHeight="false" outlineLevel="0" collapsed="false">
      <c r="A419" s="2" t="n">
        <v>408</v>
      </c>
      <c r="B419" s="13" t="n">
        <f aca="true">OFFSET(Datos!$B$1,1+$B$4+407,0)</f>
        <v>22.8610000000001</v>
      </c>
      <c r="C419" s="13" t="n">
        <f aca="true">OFFSET(Datos!$D$1,1+$B$4+407,0)</f>
        <v>163.791528582969</v>
      </c>
      <c r="D419" s="13" t="n">
        <f aca="true">OFFSET(Datos!$D$1,1+407,0)</f>
        <v>161.957548718212</v>
      </c>
      <c r="E419" s="13" t="n">
        <f aca="false">C419-D419</f>
        <v>1.83397986475646</v>
      </c>
    </row>
    <row r="420" customFormat="false" ht="15" hidden="false" customHeight="false" outlineLevel="0" collapsed="false">
      <c r="A420" s="2" t="n">
        <v>409</v>
      </c>
      <c r="B420" s="13" t="n">
        <f aca="true">OFFSET(Datos!$B$1,1+$B$4+408,0)</f>
        <v>22.9109999999998</v>
      </c>
      <c r="C420" s="13" t="n">
        <f aca="true">OFFSET(Datos!$D$1,1+$B$4+408,0)</f>
        <v>165.632644556148</v>
      </c>
      <c r="D420" s="13" t="n">
        <f aca="true">OFFSET(Datos!$D$1,1+408,0)</f>
        <v>161.004878243718</v>
      </c>
      <c r="E420" s="13" t="n">
        <f aca="false">C420-D420</f>
        <v>4.62776631243023</v>
      </c>
    </row>
    <row r="421" customFormat="false" ht="15" hidden="false" customHeight="false" outlineLevel="0" collapsed="false">
      <c r="A421" s="2" t="n">
        <v>410</v>
      </c>
      <c r="B421" s="13" t="n">
        <f aca="true">OFFSET(Datos!$B$1,1+$B$4+409,0)</f>
        <v>22.961</v>
      </c>
      <c r="C421" s="13" t="n">
        <f aca="true">OFFSET(Datos!$D$1,1+$B$4+409,0)</f>
        <v>163.491812029195</v>
      </c>
      <c r="D421" s="13" t="n">
        <f aca="true">OFFSET(Datos!$D$1,1+409,0)</f>
        <v>159.670425968584</v>
      </c>
      <c r="E421" s="13" t="n">
        <f aca="false">C421-D421</f>
        <v>3.82138606061125</v>
      </c>
    </row>
    <row r="422" customFormat="false" ht="15" hidden="false" customHeight="false" outlineLevel="0" collapsed="false">
      <c r="A422" s="2" t="n">
        <v>411</v>
      </c>
      <c r="B422" s="13" t="n">
        <f aca="true">OFFSET(Datos!$B$1,1+$B$4+410,0)</f>
        <v>23.0109999999997</v>
      </c>
      <c r="C422" s="13" t="n">
        <f aca="true">OFFSET(Datos!$D$1,1+$B$4+410,0)</f>
        <v>163.738007769795</v>
      </c>
      <c r="D422" s="13" t="n">
        <f aca="true">OFFSET(Datos!$D$1,1+410,0)</f>
        <v>162.207312513023</v>
      </c>
      <c r="E422" s="13" t="n">
        <f aca="false">C422-D422</f>
        <v>1.53069525677142</v>
      </c>
    </row>
    <row r="423" customFormat="false" ht="15" hidden="false" customHeight="false" outlineLevel="0" collapsed="false">
      <c r="A423" s="2" t="n">
        <v>412</v>
      </c>
      <c r="B423" s="13" t="n">
        <f aca="true">OFFSET(Datos!$B$1,1+$B$4+411,0)</f>
        <v>23.0609999999999</v>
      </c>
      <c r="C423" s="13" t="n">
        <f aca="true">OFFSET(Datos!$D$1,1+$B$4+411,0)</f>
        <v>162.342898573064</v>
      </c>
      <c r="D423" s="13" t="n">
        <f aca="true">OFFSET(Datos!$D$1,1+411,0)</f>
        <v>161.75060157394</v>
      </c>
      <c r="E423" s="13" t="n">
        <f aca="false">C423-D423</f>
        <v>0.592296999123676</v>
      </c>
    </row>
    <row r="424" customFormat="false" ht="15" hidden="false" customHeight="false" outlineLevel="0" collapsed="false">
      <c r="A424" s="2" t="n">
        <v>413</v>
      </c>
      <c r="B424" s="13" t="n">
        <f aca="true">OFFSET(Datos!$B$1,1+$B$4+412,0)</f>
        <v>23.1110000000001</v>
      </c>
      <c r="C424" s="13" t="n">
        <f aca="true">OFFSET(Datos!$D$1,1+$B$4+412,0)</f>
        <v>165.414993249242</v>
      </c>
      <c r="D424" s="13" t="n">
        <f aca="true">OFFSET(Datos!$D$1,1+412,0)</f>
        <v>161.047694894257</v>
      </c>
      <c r="E424" s="13" t="n">
        <f aca="false">C424-D424</f>
        <v>4.36729835498431</v>
      </c>
    </row>
    <row r="425" customFormat="false" ht="15" hidden="false" customHeight="false" outlineLevel="0" collapsed="false">
      <c r="A425" s="2" t="n">
        <v>414</v>
      </c>
      <c r="B425" s="13" t="n">
        <f aca="true">OFFSET(Datos!$B$1,1+$B$4+413,0)</f>
        <v>23.1609999999998</v>
      </c>
      <c r="C425" s="13" t="n">
        <f aca="true">OFFSET(Datos!$D$1,1+$B$4+413,0)</f>
        <v>163.944954914067</v>
      </c>
      <c r="D425" s="13" t="n">
        <f aca="true">OFFSET(Datos!$D$1,1+413,0)</f>
        <v>161.379523935935</v>
      </c>
      <c r="E425" s="13" t="n">
        <f aca="false">C425-D425</f>
        <v>2.56543097813213</v>
      </c>
    </row>
    <row r="426" customFormat="false" ht="15" hidden="false" customHeight="false" outlineLevel="0" collapsed="false">
      <c r="A426" s="2" t="n">
        <v>415</v>
      </c>
      <c r="B426" s="13" t="n">
        <f aca="true">OFFSET(Datos!$B$1,1+$B$4+414,0)</f>
        <v>23.211</v>
      </c>
      <c r="C426" s="13" t="n">
        <f aca="true">OFFSET(Datos!$D$1,1+$B$4+414,0)</f>
        <v>165.129548912314</v>
      </c>
      <c r="D426" s="13" t="n">
        <f aca="true">OFFSET(Datos!$D$1,1+414,0)</f>
        <v>160.765818611542</v>
      </c>
      <c r="E426" s="13" t="n">
        <f aca="false">C426-D426</f>
        <v>4.36373030077269</v>
      </c>
    </row>
    <row r="427" customFormat="false" ht="15" hidden="false" customHeight="false" outlineLevel="0" collapsed="false">
      <c r="A427" s="2" t="n">
        <v>416</v>
      </c>
      <c r="B427" s="13" t="n">
        <f aca="true">OFFSET(Datos!$B$1,1+$B$4+415,0)</f>
        <v>23.2609999999997</v>
      </c>
      <c r="C427" s="13" t="n">
        <f aca="true">OFFSET(Datos!$D$1,1+$B$4+415,0)</f>
        <v>167.402399445096</v>
      </c>
      <c r="D427" s="13" t="n">
        <f aca="true">OFFSET(Datos!$D$1,1+415,0)</f>
        <v>161.254642038529</v>
      </c>
      <c r="E427" s="13" t="n">
        <f aca="false">C427-D427</f>
        <v>6.14775740656694</v>
      </c>
    </row>
    <row r="428" customFormat="false" ht="15" hidden="false" customHeight="false" outlineLevel="0" collapsed="false">
      <c r="A428" s="2" t="n">
        <v>417</v>
      </c>
      <c r="B428" s="13" t="n">
        <f aca="true">OFFSET(Datos!$B$1,1+$B$4+416,0)</f>
        <v>23.3109999999999</v>
      </c>
      <c r="C428" s="13" t="n">
        <f aca="true">OFFSET(Datos!$D$1,1+$B$4+416,0)</f>
        <v>170.156937296443</v>
      </c>
      <c r="D428" s="13" t="n">
        <f aca="true">OFFSET(Datos!$D$1,1+416,0)</f>
        <v>160.134273016091</v>
      </c>
      <c r="E428" s="13" t="n">
        <f aca="false">C428-D428</f>
        <v>10.022664280352</v>
      </c>
    </row>
    <row r="429" customFormat="false" ht="15" hidden="false" customHeight="false" outlineLevel="0" collapsed="false">
      <c r="A429" s="2" t="n">
        <v>418</v>
      </c>
      <c r="B429" s="13" t="n">
        <f aca="true">OFFSET(Datos!$B$1,1+$B$4+417,0)</f>
        <v>23.3610000000001</v>
      </c>
      <c r="C429" s="13" t="n">
        <f aca="true">OFFSET(Datos!$D$1,1+$B$4+417,0)</f>
        <v>161.836234875018</v>
      </c>
      <c r="D429" s="13" t="n">
        <f aca="true">OFFSET(Datos!$D$1,1+417,0)</f>
        <v>161.086943490585</v>
      </c>
      <c r="E429" s="13" t="n">
        <f aca="false">C429-D429</f>
        <v>0.749291384433548</v>
      </c>
    </row>
    <row r="430" customFormat="false" ht="15" hidden="false" customHeight="false" outlineLevel="0" collapsed="false">
      <c r="A430" s="2" t="n">
        <v>419</v>
      </c>
      <c r="B430" s="13" t="n">
        <f aca="true">OFFSET(Datos!$B$1,1+$B$4+418,0)</f>
        <v>23.4109999999998</v>
      </c>
      <c r="C430" s="13" t="n">
        <f aca="true">OFFSET(Datos!$D$1,1+$B$4+418,0)</f>
        <v>163.584581438697</v>
      </c>
      <c r="D430" s="13" t="n">
        <f aca="true">OFFSET(Datos!$D$1,1+418,0)</f>
        <v>160.926381051063</v>
      </c>
      <c r="E430" s="13" t="n">
        <f aca="false">C430-D430</f>
        <v>2.65820038763343</v>
      </c>
    </row>
    <row r="431" customFormat="false" ht="15" hidden="false" customHeight="false" outlineLevel="0" collapsed="false">
      <c r="A431" s="2" t="n">
        <v>420</v>
      </c>
      <c r="B431" s="13" t="n">
        <f aca="true">OFFSET(Datos!$B$1,1+$B$4+419,0)</f>
        <v>23.461</v>
      </c>
      <c r="C431" s="13" t="n">
        <f aca="true">OFFSET(Datos!$D$1,1+$B$4+419,0)</f>
        <v>164.876217063292</v>
      </c>
      <c r="D431" s="13" t="n">
        <f aca="true">OFFSET(Datos!$D$1,1+419,0)</f>
        <v>159.731082890181</v>
      </c>
      <c r="E431" s="13" t="n">
        <f aca="false">C431-D431</f>
        <v>5.14513417311053</v>
      </c>
    </row>
    <row r="432" customFormat="false" ht="15" hidden="false" customHeight="false" outlineLevel="0" collapsed="false">
      <c r="A432" s="2" t="n">
        <v>421</v>
      </c>
      <c r="B432" s="13" t="n">
        <f aca="true">OFFSET(Datos!$B$1,1+$B$4+420,0)</f>
        <v>23.5109999999997</v>
      </c>
      <c r="C432" s="13" t="n">
        <f aca="true">OFFSET(Datos!$D$1,1+$B$4+420,0)</f>
        <v>168.958071081349</v>
      </c>
      <c r="D432" s="13" t="n">
        <f aca="true">OFFSET(Datos!$D$1,1+420,0)</f>
        <v>163.359794023367</v>
      </c>
      <c r="E432" s="13" t="n">
        <f aca="false">C432-D432</f>
        <v>5.5982770579823</v>
      </c>
    </row>
    <row r="433" customFormat="false" ht="15" hidden="false" customHeight="false" outlineLevel="0" collapsed="false">
      <c r="A433" s="2" t="n">
        <v>422</v>
      </c>
      <c r="B433" s="13" t="n">
        <f aca="true">OFFSET(Datos!$B$1,1+$B$4+421,0)</f>
        <v>23.5609999999999</v>
      </c>
      <c r="C433" s="13" t="n">
        <f aca="true">OFFSET(Datos!$D$1,1+$B$4+421,0)</f>
        <v>165.336496056587</v>
      </c>
      <c r="D433" s="13" t="n">
        <f aca="true">OFFSET(Datos!$D$1,1+421,0)</f>
        <v>160.491078437249</v>
      </c>
      <c r="E433" s="13" t="n">
        <f aca="false">C433-D433</f>
        <v>4.84541761933713</v>
      </c>
    </row>
    <row r="434" customFormat="false" ht="15" hidden="false" customHeight="false" outlineLevel="0" collapsed="false">
      <c r="A434" s="2" t="n">
        <v>423</v>
      </c>
      <c r="B434" s="13" t="n">
        <f aca="true">OFFSET(Datos!$B$1,1+$B$4+422,0)</f>
        <v>23.6110000000001</v>
      </c>
      <c r="C434" s="13" t="n">
        <f aca="true">OFFSET(Datos!$D$1,1+$B$4+422,0)</f>
        <v>162.082430615618</v>
      </c>
      <c r="D434" s="13" t="n">
        <f aca="true">OFFSET(Datos!$D$1,1+422,0)</f>
        <v>160.929949105275</v>
      </c>
      <c r="E434" s="13" t="n">
        <f aca="false">C434-D434</f>
        <v>1.15248151034308</v>
      </c>
    </row>
    <row r="435" customFormat="false" ht="15" hidden="false" customHeight="false" outlineLevel="0" collapsed="false">
      <c r="A435" s="2" t="n">
        <v>424</v>
      </c>
      <c r="B435" s="13" t="n">
        <f aca="true">OFFSET(Datos!$B$1,1+$B$4+423,0)</f>
        <v>23.6609999999998</v>
      </c>
      <c r="C435" s="13" t="n">
        <f aca="true">OFFSET(Datos!$D$1,1+$B$4+423,0)</f>
        <v>165.718277857227</v>
      </c>
      <c r="D435" s="13" t="n">
        <f aca="true">OFFSET(Datos!$D$1,1+423,0)</f>
        <v>162.128815320369</v>
      </c>
      <c r="E435" s="13" t="n">
        <f aca="false">C435-D435</f>
        <v>3.58946253685801</v>
      </c>
    </row>
    <row r="436" customFormat="false" ht="15" hidden="false" customHeight="false" outlineLevel="0" collapsed="false">
      <c r="A436" s="2" t="n">
        <v>425</v>
      </c>
      <c r="B436" s="13" t="n">
        <f aca="true">OFFSET(Datos!$B$1,1+$B$4+424,0)</f>
        <v>23.711</v>
      </c>
      <c r="C436" s="13" t="n">
        <f aca="true">OFFSET(Datos!$D$1,1+$B$4+424,0)</f>
        <v>165.714709803015</v>
      </c>
      <c r="D436" s="13" t="n">
        <f aca="true">OFFSET(Datos!$D$1,1+424,0)</f>
        <v>161.672104381285</v>
      </c>
      <c r="E436" s="13" t="n">
        <f aca="false">C436-D436</f>
        <v>4.04260542172972</v>
      </c>
    </row>
    <row r="437" customFormat="false" ht="15" hidden="false" customHeight="false" outlineLevel="0" collapsed="false">
      <c r="A437" s="2" t="n">
        <v>426</v>
      </c>
      <c r="B437" s="13" t="n">
        <f aca="true">OFFSET(Datos!$B$1,1+$B$4+425,0)</f>
        <v>23.7609999999997</v>
      </c>
      <c r="C437" s="13" t="n">
        <f aca="true">OFFSET(Datos!$D$1,1+$B$4+425,0)</f>
        <v>167.391695282461</v>
      </c>
      <c r="D437" s="13" t="n">
        <f aca="true">OFFSET(Datos!$D$1,1+425,0)</f>
        <v>162.67115956053</v>
      </c>
      <c r="E437" s="13" t="n">
        <f aca="false">C437-D437</f>
        <v>4.72053572193153</v>
      </c>
    </row>
    <row r="438" customFormat="false" ht="15" hidden="false" customHeight="false" outlineLevel="0" collapsed="false">
      <c r="A438" s="2" t="n">
        <v>427</v>
      </c>
      <c r="B438" s="13" t="n">
        <f aca="true">OFFSET(Datos!$B$1,1+$B$4+426,0)</f>
        <v>23.8109999999999</v>
      </c>
      <c r="C438" s="13" t="n">
        <f aca="true">OFFSET(Datos!$D$1,1+$B$4+426,0)</f>
        <v>164.594340780576</v>
      </c>
      <c r="D438" s="13" t="n">
        <f aca="true">OFFSET(Datos!$D$1,1+426,0)</f>
        <v>162.182336133542</v>
      </c>
      <c r="E438" s="13" t="n">
        <f aca="false">C438-D438</f>
        <v>2.4120046470338</v>
      </c>
    </row>
    <row r="439" customFormat="false" ht="15" hidden="false" customHeight="false" outlineLevel="0" collapsed="false">
      <c r="A439" s="2" t="n">
        <v>428</v>
      </c>
      <c r="B439" s="13" t="n">
        <f aca="true">OFFSET(Datos!$B$1,1+$B$4+427,0)</f>
        <v>23.8610000000001</v>
      </c>
      <c r="C439" s="13" t="n">
        <f aca="true">OFFSET(Datos!$D$1,1+$B$4+427,0)</f>
        <v>165.036779502813</v>
      </c>
      <c r="D439" s="13" t="n">
        <f aca="true">OFFSET(Datos!$D$1,1+427,0)</f>
        <v>164.383825582092</v>
      </c>
      <c r="E439" s="13" t="n">
        <f aca="false">C439-D439</f>
        <v>0.652953920720705</v>
      </c>
    </row>
    <row r="440" customFormat="false" ht="15" hidden="false" customHeight="false" outlineLevel="0" collapsed="false">
      <c r="A440" s="2" t="n">
        <v>429</v>
      </c>
      <c r="B440" s="13" t="n">
        <f aca="true">OFFSET(Datos!$B$1,1+$B$4+428,0)</f>
        <v>23.9109999999998</v>
      </c>
      <c r="C440" s="13" t="n">
        <f aca="true">OFFSET(Datos!$D$1,1+$B$4+428,0)</f>
        <v>167.38812722825</v>
      </c>
      <c r="D440" s="13" t="n">
        <f aca="true">OFFSET(Datos!$D$1,1+428,0)</f>
        <v>165.789638941458</v>
      </c>
      <c r="E440" s="13" t="n">
        <f aca="false">C440-D440</f>
        <v>1.59848828679162</v>
      </c>
    </row>
    <row r="441" customFormat="false" ht="15" hidden="false" customHeight="false" outlineLevel="0" collapsed="false">
      <c r="A441" s="2" t="n">
        <v>430</v>
      </c>
      <c r="B441" s="13" t="n">
        <f aca="true">OFFSET(Datos!$B$1,1+$B$4+429,0)</f>
        <v>23.961</v>
      </c>
      <c r="C441" s="13" t="n">
        <f aca="true">OFFSET(Datos!$D$1,1+$B$4+429,0)</f>
        <v>164.537251913191</v>
      </c>
      <c r="D441" s="13" t="n">
        <f aca="true">OFFSET(Datos!$D$1,1+429,0)</f>
        <v>160.69445752731</v>
      </c>
      <c r="E441" s="13" t="n">
        <f aca="false">C441-D441</f>
        <v>3.84279438588078</v>
      </c>
    </row>
    <row r="442" customFormat="false" ht="15" hidden="false" customHeight="false" outlineLevel="0" collapsed="false">
      <c r="A442" s="2" t="n">
        <v>431</v>
      </c>
      <c r="B442" s="13" t="n">
        <f aca="true">OFFSET(Datos!$B$1,1+$B$4+430,0)</f>
        <v>24.0109999999997</v>
      </c>
      <c r="C442" s="13" t="n">
        <f aca="true">OFFSET(Datos!$D$1,1+$B$4+430,0)</f>
        <v>165.743254236708</v>
      </c>
      <c r="D442" s="13" t="n">
        <f aca="true">OFFSET(Datos!$D$1,1+430,0)</f>
        <v>162.003933422963</v>
      </c>
      <c r="E442" s="13" t="n">
        <f aca="false">C442-D442</f>
        <v>3.73932081374471</v>
      </c>
    </row>
    <row r="443" customFormat="false" ht="15" hidden="false" customHeight="false" outlineLevel="0" collapsed="false">
      <c r="A443" s="2" t="n">
        <v>432</v>
      </c>
      <c r="B443" s="13" t="n">
        <f aca="true">OFFSET(Datos!$B$1,1+$B$4+431,0)</f>
        <v>24.0609999999999</v>
      </c>
      <c r="C443" s="13" t="n">
        <f aca="true">OFFSET(Datos!$D$1,1+$B$4+431,0)</f>
        <v>163.709463336102</v>
      </c>
      <c r="D443" s="13" t="n">
        <f aca="true">OFFSET(Datos!$D$1,1+431,0)</f>
        <v>162.646183181049</v>
      </c>
      <c r="E443" s="13" t="n">
        <f aca="false">C443-D443</f>
        <v>1.06328015505338</v>
      </c>
    </row>
    <row r="444" customFormat="false" ht="15" hidden="false" customHeight="false" outlineLevel="0" collapsed="false">
      <c r="A444" s="2" t="n">
        <v>433</v>
      </c>
      <c r="B444" s="13" t="n">
        <f aca="true">OFFSET(Datos!$B$1,1+$B$4+432,0)</f>
        <v>24.1110000000001</v>
      </c>
      <c r="C444" s="13" t="n">
        <f aca="true">OFFSET(Datos!$D$1,1+$B$4+432,0)</f>
        <v>168.041081148971</v>
      </c>
      <c r="D444" s="13" t="n">
        <f aca="true">OFFSET(Datos!$D$1,1+432,0)</f>
        <v>163.288432939135</v>
      </c>
      <c r="E444" s="13" t="n">
        <f aca="false">C444-D444</f>
        <v>4.75264820983585</v>
      </c>
    </row>
    <row r="445" customFormat="false" ht="15" hidden="false" customHeight="false" outlineLevel="0" collapsed="false">
      <c r="A445" s="2" t="n">
        <v>434</v>
      </c>
      <c r="B445" s="13" t="n">
        <f aca="true">OFFSET(Datos!$B$1,1+$B$4+433,0)</f>
        <v>24.1609999999998</v>
      </c>
      <c r="C445" s="13" t="n">
        <f aca="true">OFFSET(Datos!$D$1,1+$B$4+433,0)</f>
        <v>165.618372339302</v>
      </c>
      <c r="D445" s="13" t="n">
        <f aca="true">OFFSET(Datos!$D$1,1+433,0)</f>
        <v>161.318867014338</v>
      </c>
      <c r="E445" s="13" t="n">
        <f aca="false">C445-D445</f>
        <v>4.29950532496412</v>
      </c>
    </row>
    <row r="446" customFormat="false" ht="15" hidden="false" customHeight="false" outlineLevel="0" collapsed="false">
      <c r="A446" s="2" t="n">
        <v>435</v>
      </c>
      <c r="B446" s="13" t="n">
        <f aca="true">OFFSET(Datos!$B$1,1+$B$4+434,0)</f>
        <v>24.211</v>
      </c>
      <c r="C446" s="13" t="n">
        <f aca="true">OFFSET(Datos!$D$1,1+$B$4+434,0)</f>
        <v>164.373121419458</v>
      </c>
      <c r="D446" s="13" t="n">
        <f aca="true">OFFSET(Datos!$D$1,1+434,0)</f>
        <v>160.926381051063</v>
      </c>
      <c r="E446" s="13" t="n">
        <f aca="false">C446-D446</f>
        <v>3.44674036839447</v>
      </c>
    </row>
    <row r="447" customFormat="false" ht="15" hidden="false" customHeight="false" outlineLevel="0" collapsed="false">
      <c r="A447" s="2" t="n">
        <v>436</v>
      </c>
      <c r="B447" s="13" t="n">
        <f aca="true">OFFSET(Datos!$B$1,1+$B$4+435,0)</f>
        <v>24.2609999999997</v>
      </c>
      <c r="C447" s="13" t="n">
        <f aca="true">OFFSET(Datos!$D$1,1+$B$4+435,0)</f>
        <v>168.950934972926</v>
      </c>
      <c r="D447" s="13" t="n">
        <f aca="true">OFFSET(Datos!$D$1,1+435,0)</f>
        <v>159.68469818543</v>
      </c>
      <c r="E447" s="13" t="n">
        <f aca="false">C447-D447</f>
        <v>9.26623678749525</v>
      </c>
    </row>
    <row r="448" customFormat="false" ht="15" hidden="false" customHeight="false" outlineLevel="0" collapsed="false">
      <c r="A448" s="2" t="n">
        <v>437</v>
      </c>
      <c r="B448" s="13" t="n">
        <f aca="true">OFFSET(Datos!$B$1,1+$B$4+436,0)</f>
        <v>24.3109999999999</v>
      </c>
      <c r="C448" s="13" t="n">
        <f aca="true">OFFSET(Datos!$D$1,1+$B$4+436,0)</f>
        <v>168.558449009651</v>
      </c>
      <c r="D448" s="13" t="n">
        <f aca="true">OFFSET(Datos!$D$1,1+436,0)</f>
        <v>160.241314642438</v>
      </c>
      <c r="E448" s="13" t="n">
        <f aca="false">C448-D448</f>
        <v>8.31713436721273</v>
      </c>
    </row>
    <row r="449" customFormat="false" ht="15" hidden="false" customHeight="false" outlineLevel="0" collapsed="false">
      <c r="A449" s="2" t="n">
        <v>438</v>
      </c>
      <c r="B449" s="13" t="n">
        <f aca="true">OFFSET(Datos!$B$1,1+$B$4+437,0)</f>
        <v>24.3610000000001</v>
      </c>
      <c r="C449" s="13" t="n">
        <f aca="true">OFFSET(Datos!$D$1,1+$B$4+437,0)</f>
        <v>163.845049396143</v>
      </c>
      <c r="D449" s="13" t="n">
        <f aca="true">OFFSET(Datos!$D$1,1+437,0)</f>
        <v>160.394740973536</v>
      </c>
      <c r="E449" s="13" t="n">
        <f aca="false">C449-D449</f>
        <v>3.45030842260607</v>
      </c>
    </row>
    <row r="450" customFormat="false" ht="15" hidden="false" customHeight="false" outlineLevel="0" collapsed="false">
      <c r="A450" s="2" t="n">
        <v>439</v>
      </c>
      <c r="B450" s="13" t="n">
        <f aca="true">OFFSET(Datos!$B$1,1+$B$4+438,0)</f>
        <v>24.4109999999998</v>
      </c>
      <c r="C450" s="13" t="n">
        <f aca="true">OFFSET(Datos!$D$1,1+$B$4+438,0)</f>
        <v>166.592451139066</v>
      </c>
      <c r="D450" s="13" t="n">
        <f aca="true">OFFSET(Datos!$D$1,1+438,0)</f>
        <v>160.833611641562</v>
      </c>
      <c r="E450" s="13" t="n">
        <f aca="false">C450-D450</f>
        <v>5.75883949750377</v>
      </c>
    </row>
    <row r="451" customFormat="false" ht="15" hidden="false" customHeight="false" outlineLevel="0" collapsed="false">
      <c r="A451" s="2" t="n">
        <v>440</v>
      </c>
      <c r="B451" s="13" t="n">
        <f aca="true">OFFSET(Datos!$B$1,1+$B$4+439,0)</f>
        <v>24.461</v>
      </c>
      <c r="C451" s="13" t="n">
        <f aca="true">OFFSET(Datos!$D$1,1+$B$4+439,0)</f>
        <v>167.081274566053</v>
      </c>
      <c r="D451" s="13" t="n">
        <f aca="true">OFFSET(Datos!$D$1,1+439,0)</f>
        <v>162.849562271109</v>
      </c>
      <c r="E451" s="13" t="n">
        <f aca="false">C451-D451</f>
        <v>4.23171229494392</v>
      </c>
    </row>
    <row r="452" customFormat="false" ht="15" hidden="false" customHeight="false" outlineLevel="0" collapsed="false">
      <c r="A452" s="2" t="n">
        <v>441</v>
      </c>
      <c r="B452" s="13" t="n">
        <f aca="true">OFFSET(Datos!$B$1,1+$B$4+440,0)</f>
        <v>24.5109999999997</v>
      </c>
      <c r="C452" s="13" t="n">
        <f aca="true">OFFSET(Datos!$D$1,1+$B$4+440,0)</f>
        <v>166.039402736269</v>
      </c>
      <c r="D452" s="13" t="n">
        <f aca="true">OFFSET(Datos!$D$1,1+440,0)</f>
        <v>161.247505930106</v>
      </c>
      <c r="E452" s="13" t="n">
        <f aca="false">C452-D452</f>
        <v>4.79189680616332</v>
      </c>
    </row>
    <row r="453" customFormat="false" ht="15" hidden="false" customHeight="false" outlineLevel="0" collapsed="false">
      <c r="A453" s="2" t="n">
        <v>442</v>
      </c>
      <c r="B453" s="13" t="n">
        <f aca="true">OFFSET(Datos!$B$1,1+$B$4+441,0)</f>
        <v>24.5609999999999</v>
      </c>
      <c r="C453" s="13" t="n">
        <f aca="true">OFFSET(Datos!$D$1,1+$B$4+441,0)</f>
        <v>167.056298186572</v>
      </c>
      <c r="D453" s="13" t="n">
        <f aca="true">OFFSET(Datos!$D$1,1+441,0)</f>
        <v>162.585526259452</v>
      </c>
      <c r="E453" s="13" t="n">
        <f aca="false">C453-D453</f>
        <v>4.47077192712033</v>
      </c>
    </row>
    <row r="454" customFormat="false" ht="15" hidden="false" customHeight="false" outlineLevel="0" collapsed="false">
      <c r="A454" s="2" t="n">
        <v>443</v>
      </c>
      <c r="B454" s="13" t="n">
        <f aca="true">OFFSET(Datos!$B$1,1+$B$4+442,0)</f>
        <v>24.6110000000001</v>
      </c>
      <c r="C454" s="13" t="n">
        <f aca="true">OFFSET(Datos!$D$1,1+$B$4+442,0)</f>
        <v>165.504194604531</v>
      </c>
      <c r="D454" s="13" t="n">
        <f aca="true">OFFSET(Datos!$D$1,1+442,0)</f>
        <v>161.379523935935</v>
      </c>
      <c r="E454" s="13" t="n">
        <f aca="false">C454-D454</f>
        <v>4.12467066859628</v>
      </c>
    </row>
    <row r="455" customFormat="false" ht="15" hidden="false" customHeight="false" outlineLevel="0" collapsed="false">
      <c r="A455" s="2" t="n">
        <v>444</v>
      </c>
      <c r="B455" s="13" t="n">
        <f aca="true">OFFSET(Datos!$B$1,1+$B$4+443,0)</f>
        <v>24.6609999999998</v>
      </c>
      <c r="C455" s="13" t="n">
        <f aca="true">OFFSET(Datos!$D$1,1+$B$4+443,0)</f>
        <v>165.782502833035</v>
      </c>
      <c r="D455" s="13" t="n">
        <f aca="true">OFFSET(Datos!$D$1,1+443,0)</f>
        <v>162.874538650591</v>
      </c>
      <c r="E455" s="13" t="n">
        <f aca="false">C455-D455</f>
        <v>2.90796418244457</v>
      </c>
    </row>
    <row r="456" customFormat="false" ht="15" hidden="false" customHeight="false" outlineLevel="0" collapsed="false">
      <c r="A456" s="2" t="n">
        <v>445</v>
      </c>
      <c r="B456" s="13" t="n">
        <f aca="true">OFFSET(Datos!$B$1,1+$B$4+444,0)</f>
        <v>24.711</v>
      </c>
      <c r="C456" s="13" t="n">
        <f aca="true">OFFSET(Datos!$D$1,1+$B$4+444,0)</f>
        <v>168.786804479193</v>
      </c>
      <c r="D456" s="13" t="n">
        <f aca="true">OFFSET(Datos!$D$1,1+444,0)</f>
        <v>161.069103219527</v>
      </c>
      <c r="E456" s="13" t="n">
        <f aca="false">C456-D456</f>
        <v>7.71770125966586</v>
      </c>
    </row>
    <row r="457" customFormat="false" ht="15" hidden="false" customHeight="false" outlineLevel="0" collapsed="false">
      <c r="A457" s="2" t="n">
        <v>446</v>
      </c>
      <c r="B457" s="13" t="n">
        <f aca="true">OFFSET(Datos!$B$1,1+$B$4+445,0)</f>
        <v>24.7609999999997</v>
      </c>
      <c r="C457" s="13" t="n">
        <f aca="true">OFFSET(Datos!$D$1,1+$B$4+445,0)</f>
        <v>163.95209102249</v>
      </c>
      <c r="D457" s="13" t="n">
        <f aca="true">OFFSET(Datos!$D$1,1+445,0)</f>
        <v>163.213503800691</v>
      </c>
      <c r="E457" s="13" t="n">
        <f aca="false">C457-D457</f>
        <v>0.738587221798809</v>
      </c>
    </row>
    <row r="458" customFormat="false" ht="15" hidden="false" customHeight="false" outlineLevel="0" collapsed="false">
      <c r="A458" s="2" t="n">
        <v>447</v>
      </c>
      <c r="B458" s="13" t="n">
        <f aca="true">OFFSET(Datos!$B$1,1+$B$4+446,0)</f>
        <v>24.8109999999999</v>
      </c>
      <c r="C458" s="13" t="n">
        <f aca="true">OFFSET(Datos!$D$1,1+$B$4+446,0)</f>
        <v>168.37647824486</v>
      </c>
      <c r="D458" s="13" t="n">
        <f aca="true">OFFSET(Datos!$D$1,1+446,0)</f>
        <v>161.218961496413</v>
      </c>
      <c r="E458" s="13" t="n">
        <f aca="false">C458-D458</f>
        <v>7.15751674844648</v>
      </c>
    </row>
    <row r="459" customFormat="false" ht="15" hidden="false" customHeight="false" outlineLevel="0" collapsed="false">
      <c r="A459" s="2" t="n">
        <v>448</v>
      </c>
      <c r="B459" s="13" t="n">
        <f aca="true">OFFSET(Datos!$B$1,1+$B$4+447,0)</f>
        <v>24.8610000000001</v>
      </c>
      <c r="C459" s="13" t="n">
        <f aca="true">OFFSET(Datos!$D$1,1+$B$4+447,0)</f>
        <v>169.11863352087</v>
      </c>
      <c r="D459" s="13" t="n">
        <f aca="true">OFFSET(Datos!$D$1,1+447,0)</f>
        <v>163.527492571311</v>
      </c>
      <c r="E459" s="13" t="n">
        <f aca="false">C459-D459</f>
        <v>5.59114094955913</v>
      </c>
    </row>
    <row r="460" customFormat="false" ht="15" hidden="false" customHeight="false" outlineLevel="0" collapsed="false">
      <c r="A460" s="2" t="n">
        <v>449</v>
      </c>
      <c r="B460" s="13" t="n">
        <f aca="true">OFFSET(Datos!$B$1,1+$B$4+448,0)</f>
        <v>24.9109999999998</v>
      </c>
      <c r="C460" s="13" t="n">
        <f aca="true">OFFSET(Datos!$D$1,1+$B$4+448,0)</f>
        <v>167.259677276633</v>
      </c>
      <c r="D460" s="13" t="n">
        <f aca="true">OFFSET(Datos!$D$1,1+448,0)</f>
        <v>161.012014352141</v>
      </c>
      <c r="E460" s="13" t="n">
        <f aca="false">C460-D460</f>
        <v>6.24766292449141</v>
      </c>
    </row>
    <row r="461" customFormat="false" ht="15" hidden="false" customHeight="false" outlineLevel="0" collapsed="false">
      <c r="A461" s="2" t="n">
        <v>450</v>
      </c>
      <c r="B461" s="13" t="n">
        <f aca="true">OFFSET(Datos!$B$1,1+$B$4+449,0)</f>
        <v>24.961</v>
      </c>
      <c r="C461" s="13" t="n">
        <f aca="true">OFFSET(Datos!$D$1,1+$B$4+449,0)</f>
        <v>166.203533230003</v>
      </c>
      <c r="D461" s="13" t="n">
        <f aca="true">OFFSET(Datos!$D$1,1+449,0)</f>
        <v>159.602632938564</v>
      </c>
      <c r="E461" s="13" t="n">
        <f aca="false">C461-D461</f>
        <v>6.60090029143868</v>
      </c>
    </row>
    <row r="462" customFormat="false" ht="15" hidden="false" customHeight="false" outlineLevel="0" collapsed="false">
      <c r="A462" s="2" t="n">
        <v>451</v>
      </c>
      <c r="B462" s="13" t="n">
        <f aca="true">OFFSET(Datos!$B$1,1+$B$4+450,0)</f>
        <v>25.0109999999997</v>
      </c>
      <c r="C462" s="13" t="n">
        <f aca="true">OFFSET(Datos!$D$1,1+$B$4+450,0)</f>
        <v>166.860055204935</v>
      </c>
      <c r="D462" s="13" t="n">
        <f aca="true">OFFSET(Datos!$D$1,1+450,0)</f>
        <v>162.414259657296</v>
      </c>
      <c r="E462" s="13" t="n">
        <f aca="false">C462-D462</f>
        <v>4.44579554763922</v>
      </c>
    </row>
    <row r="463" customFormat="false" ht="15" hidden="false" customHeight="false" outlineLevel="0" collapsed="false">
      <c r="A463" s="2" t="n">
        <v>452</v>
      </c>
      <c r="B463" s="13" t="n">
        <f aca="true">OFFSET(Datos!$B$1,1+$B$4+451,0)</f>
        <v>25.0609999999999</v>
      </c>
      <c r="C463" s="13" t="n">
        <f aca="true">OFFSET(Datos!$D$1,1+$B$4+451,0)</f>
        <v>170.909796735088</v>
      </c>
      <c r="D463" s="13" t="n">
        <f aca="true">OFFSET(Datos!$D$1,1+451,0)</f>
        <v>164.069836811473</v>
      </c>
      <c r="E463" s="13" t="n">
        <f aca="false">C463-D463</f>
        <v>6.83995992361511</v>
      </c>
    </row>
    <row r="464" customFormat="false" ht="15" hidden="false" customHeight="false" outlineLevel="0" collapsed="false">
      <c r="A464" s="2" t="n">
        <v>453</v>
      </c>
      <c r="B464" s="13" t="n">
        <f aca="true">OFFSET(Datos!$B$1,1+$B$4+452,0)</f>
        <v>25.1110000000001</v>
      </c>
      <c r="C464" s="13" t="n">
        <f aca="true">OFFSET(Datos!$D$1,1+$B$4+452,0)</f>
        <v>165.579123742975</v>
      </c>
      <c r="D464" s="13" t="n">
        <f aca="true">OFFSET(Datos!$D$1,1+452,0)</f>
        <v>161.218961496413</v>
      </c>
      <c r="E464" s="13" t="n">
        <f aca="false">C464-D464</f>
        <v>4.36016224656112</v>
      </c>
    </row>
    <row r="465" customFormat="false" ht="15" hidden="false" customHeight="false" outlineLevel="0" collapsed="false">
      <c r="A465" s="2" t="n">
        <v>454</v>
      </c>
      <c r="B465" s="13" t="n">
        <f aca="true">OFFSET(Datos!$B$1,1+$B$4+453,0)</f>
        <v>25.1609999999998</v>
      </c>
      <c r="C465" s="13" t="n">
        <f aca="true">OFFSET(Datos!$D$1,1+$B$4+453,0)</f>
        <v>163.035101090112</v>
      </c>
      <c r="D465" s="13" t="n">
        <f aca="true">OFFSET(Datos!$D$1,1+453,0)</f>
        <v>161.636423839169</v>
      </c>
      <c r="E465" s="13" t="n">
        <f aca="false">C465-D465</f>
        <v>1.39867725094268</v>
      </c>
    </row>
    <row r="466" customFormat="false" ht="15" hidden="false" customHeight="false" outlineLevel="0" collapsed="false">
      <c r="A466" s="2" t="n">
        <v>455</v>
      </c>
      <c r="B466" s="13" t="n">
        <f aca="true">OFFSET(Datos!$B$1,1+$B$4+454,0)</f>
        <v>25.211</v>
      </c>
      <c r="C466" s="13" t="n">
        <f aca="true">OFFSET(Datos!$D$1,1+$B$4+454,0)</f>
        <v>167.088410674476</v>
      </c>
      <c r="D466" s="13" t="n">
        <f aca="true">OFFSET(Datos!$D$1,1+454,0)</f>
        <v>161.022718514776</v>
      </c>
      <c r="E466" s="13" t="n">
        <f aca="false">C466-D466</f>
        <v>6.0656921597004</v>
      </c>
    </row>
    <row r="467" customFormat="false" ht="15" hidden="false" customHeight="false" outlineLevel="0" collapsed="false">
      <c r="A467" s="2" t="n">
        <v>456</v>
      </c>
      <c r="B467" s="13" t="n">
        <f aca="true">OFFSET(Datos!$B$1,1+$B$4+455,0)</f>
        <v>25.2609999999997</v>
      </c>
      <c r="C467" s="13" t="n">
        <f aca="true">OFFSET(Datos!$D$1,1+$B$4+455,0)</f>
        <v>166.638835843816</v>
      </c>
      <c r="D467" s="13" t="n">
        <f aca="true">OFFSET(Datos!$D$1,1+455,0)</f>
        <v>161.989661206117</v>
      </c>
      <c r="E467" s="13" t="n">
        <f aca="false">C467-D467</f>
        <v>4.64917463769976</v>
      </c>
    </row>
    <row r="468" customFormat="false" ht="15" hidden="false" customHeight="false" outlineLevel="0" collapsed="false">
      <c r="A468" s="2" t="n">
        <v>457</v>
      </c>
      <c r="B468" s="13" t="n">
        <f aca="true">OFFSET(Datos!$B$1,1+$B$4+456,0)</f>
        <v>25.3109999999999</v>
      </c>
      <c r="C468" s="13" t="n">
        <f aca="true">OFFSET(Datos!$D$1,1+$B$4+456,0)</f>
        <v>164.819128195906</v>
      </c>
      <c r="D468" s="13" t="n">
        <f aca="true">OFFSET(Datos!$D$1,1+456,0)</f>
        <v>161.565062754938</v>
      </c>
      <c r="E468" s="13" t="n">
        <f aca="false">C468-D468</f>
        <v>3.25406544096867</v>
      </c>
    </row>
    <row r="469" customFormat="false" ht="15" hidden="false" customHeight="false" outlineLevel="0" collapsed="false">
      <c r="A469" s="2" t="n">
        <v>458</v>
      </c>
      <c r="B469" s="13" t="n">
        <f aca="true">OFFSET(Datos!$B$1,1+$B$4+457,0)</f>
        <v>25.3619999999999</v>
      </c>
      <c r="C469" s="13" t="n">
        <f aca="true">OFFSET(Datos!$D$1,1+$B$4+457,0)</f>
        <v>169.603888893646</v>
      </c>
      <c r="D469" s="13" t="n">
        <f aca="true">OFFSET(Datos!$D$1,1+457,0)</f>
        <v>163.791528582969</v>
      </c>
      <c r="E469" s="13" t="n">
        <f aca="false">C469-D469</f>
        <v>5.8123603106776</v>
      </c>
    </row>
    <row r="470" customFormat="false" ht="15" hidden="false" customHeight="false" outlineLevel="0" collapsed="false">
      <c r="A470" s="2" t="n">
        <v>459</v>
      </c>
      <c r="B470" s="13" t="n">
        <f aca="true">OFFSET(Datos!$B$1,1+$B$4+458,0)</f>
        <v>25.412</v>
      </c>
      <c r="C470" s="13" t="n">
        <f aca="true">OFFSET(Datos!$D$1,1+$B$4+458,0)</f>
        <v>166.37836788637</v>
      </c>
      <c r="D470" s="13" t="n">
        <f aca="true">OFFSET(Datos!$D$1,1+458,0)</f>
        <v>165.632644556148</v>
      </c>
      <c r="E470" s="13" t="n">
        <f aca="false">C470-D470</f>
        <v>0.745723330222006</v>
      </c>
    </row>
    <row r="471" customFormat="false" ht="15" hidden="false" customHeight="false" outlineLevel="0" collapsed="false">
      <c r="A471" s="2" t="n">
        <v>460</v>
      </c>
      <c r="B471" s="13" t="n">
        <f aca="true">OFFSET(Datos!$B$1,1+$B$4+459,0)</f>
        <v>25.4619999999998</v>
      </c>
      <c r="C471" s="13" t="n">
        <f aca="true">OFFSET(Datos!$D$1,1+$B$4+459,0)</f>
        <v>170.927637006146</v>
      </c>
      <c r="D471" s="13" t="n">
        <f aca="true">OFFSET(Datos!$D$1,1+459,0)</f>
        <v>163.491812029195</v>
      </c>
      <c r="E471" s="13" t="n">
        <f aca="false">C471-D471</f>
        <v>7.43582497695039</v>
      </c>
    </row>
    <row r="472" customFormat="false" ht="15" hidden="false" customHeight="false" outlineLevel="0" collapsed="false">
      <c r="A472" s="2" t="n">
        <v>461</v>
      </c>
      <c r="B472" s="13" t="n">
        <f aca="true">OFFSET(Datos!$B$1,1+$B$4+460,0)</f>
        <v>25.5119999999999</v>
      </c>
      <c r="C472" s="13" t="n">
        <f aca="true">OFFSET(Datos!$D$1,1+$B$4+460,0)</f>
        <v>167.120523162381</v>
      </c>
      <c r="D472" s="13" t="n">
        <f aca="true">OFFSET(Datos!$D$1,1+460,0)</f>
        <v>163.738007769795</v>
      </c>
      <c r="E472" s="13" t="n">
        <f aca="false">C472-D472</f>
        <v>3.38251539258587</v>
      </c>
    </row>
    <row r="473" customFormat="false" ht="15" hidden="false" customHeight="false" outlineLevel="0" collapsed="false">
      <c r="A473" s="2" t="n">
        <v>462</v>
      </c>
      <c r="B473" s="13" t="n">
        <f aca="true">OFFSET(Datos!$B$1,1+$B$4+461,0)</f>
        <v>25.5620000000001</v>
      </c>
      <c r="C473" s="13" t="n">
        <f aca="true">OFFSET(Datos!$D$1,1+$B$4+461,0)</f>
        <v>162.417827711507</v>
      </c>
      <c r="D473" s="13" t="n">
        <f aca="true">OFFSET(Datos!$D$1,1+461,0)</f>
        <v>162.342898573064</v>
      </c>
      <c r="E473" s="13" t="n">
        <f aca="false">C473-D473</f>
        <v>0.0749291384433661</v>
      </c>
    </row>
    <row r="474" customFormat="false" ht="15" hidden="false" customHeight="false" outlineLevel="0" collapsed="false">
      <c r="A474" s="2" t="n">
        <v>463</v>
      </c>
      <c r="B474" s="13" t="n">
        <f aca="true">OFFSET(Datos!$B$1,1+$B$4+462,0)</f>
        <v>25.6119999999999</v>
      </c>
      <c r="C474" s="13" t="n">
        <f aca="true">OFFSET(Datos!$D$1,1+$B$4+462,0)</f>
        <v>167.302493927172</v>
      </c>
      <c r="D474" s="13" t="n">
        <f aca="true">OFFSET(Datos!$D$1,1+462,0)</f>
        <v>165.414993249242</v>
      </c>
      <c r="E474" s="13" t="n">
        <f aca="false">C474-D474</f>
        <v>1.88750067793026</v>
      </c>
    </row>
    <row r="475" customFormat="false" ht="15" hidden="false" customHeight="false" outlineLevel="0" collapsed="false">
      <c r="A475" s="2" t="n">
        <v>464</v>
      </c>
      <c r="B475" s="13" t="n">
        <f aca="true">OFFSET(Datos!$B$1,1+$B$4+463,0)</f>
        <v>25.662</v>
      </c>
      <c r="C475" s="13" t="n">
        <f aca="true">OFFSET(Datos!$D$1,1+$B$4+463,0)</f>
        <v>169.407645912009</v>
      </c>
      <c r="D475" s="13" t="n">
        <f aca="true">OFFSET(Datos!$D$1,1+463,0)</f>
        <v>163.944954914067</v>
      </c>
      <c r="E475" s="13" t="n">
        <f aca="false">C475-D475</f>
        <v>5.46269099794193</v>
      </c>
    </row>
    <row r="476" customFormat="false" ht="15" hidden="false" customHeight="false" outlineLevel="0" collapsed="false">
      <c r="A476" s="2" t="n">
        <v>465</v>
      </c>
      <c r="B476" s="13" t="n">
        <f aca="true">OFFSET(Datos!$B$1,1+$B$4+464,0)</f>
        <v>25.7119999999998</v>
      </c>
      <c r="C476" s="13" t="n">
        <f aca="true">OFFSET(Datos!$D$1,1+$B$4+464,0)</f>
        <v>170.153369242231</v>
      </c>
      <c r="D476" s="13" t="n">
        <f aca="true">OFFSET(Datos!$D$1,1+464,0)</f>
        <v>165.129548912314</v>
      </c>
      <c r="E476" s="13" t="n">
        <f aca="false">C476-D476</f>
        <v>5.02382032991656</v>
      </c>
    </row>
    <row r="477" customFormat="false" ht="15" hidden="false" customHeight="false" outlineLevel="0" collapsed="false">
      <c r="A477" s="2" t="n">
        <v>466</v>
      </c>
      <c r="B477" s="13" t="n">
        <f aca="true">OFFSET(Datos!$B$1,1+$B$4+465,0)</f>
        <v>25.7619999999999</v>
      </c>
      <c r="C477" s="13" t="n">
        <f aca="true">OFFSET(Datos!$D$1,1+$B$4+465,0)</f>
        <v>172.39767534132</v>
      </c>
      <c r="D477" s="13" t="n">
        <f aca="true">OFFSET(Datos!$D$1,1+465,0)</f>
        <v>167.402399445096</v>
      </c>
      <c r="E477" s="13" t="n">
        <f aca="false">C477-D477</f>
        <v>4.99527589622386</v>
      </c>
    </row>
    <row r="478" customFormat="false" ht="15" hidden="false" customHeight="false" outlineLevel="0" collapsed="false">
      <c r="A478" s="2" t="n">
        <v>467</v>
      </c>
      <c r="B478" s="13" t="n">
        <f aca="true">OFFSET(Datos!$B$1,1+$B$4+466,0)</f>
        <v>25.8120000000001</v>
      </c>
      <c r="C478" s="13" t="n">
        <f aca="true">OFFSET(Datos!$D$1,1+$B$4+466,0)</f>
        <v>166.806534391761</v>
      </c>
      <c r="D478" s="13" t="n">
        <f aca="true">OFFSET(Datos!$D$1,1+466,0)</f>
        <v>170.156937296443</v>
      </c>
      <c r="E478" s="13" t="n">
        <f aca="false">C478-D478</f>
        <v>-3.35040290468157</v>
      </c>
    </row>
    <row r="479" customFormat="false" ht="15" hidden="false" customHeight="false" outlineLevel="0" collapsed="false">
      <c r="A479" s="2" t="n">
        <v>468</v>
      </c>
      <c r="B479" s="13" t="n">
        <f aca="true">OFFSET(Datos!$B$1,1+$B$4+467,0)</f>
        <v>25.8619999999999</v>
      </c>
      <c r="C479" s="13" t="n">
        <f aca="true">OFFSET(Datos!$D$1,1+$B$4+467,0)</f>
        <v>166.656676114874</v>
      </c>
      <c r="D479" s="13" t="n">
        <f aca="true">OFFSET(Datos!$D$1,1+467,0)</f>
        <v>161.836234875018</v>
      </c>
      <c r="E479" s="13" t="n">
        <f aca="false">C479-D479</f>
        <v>4.82044123985602</v>
      </c>
    </row>
    <row r="480" customFormat="false" ht="15" hidden="false" customHeight="false" outlineLevel="0" collapsed="false">
      <c r="A480" s="2" t="n">
        <v>469</v>
      </c>
      <c r="B480" s="13" t="n">
        <f aca="true">OFFSET(Datos!$B$1,1+$B$4+468,0)</f>
        <v>25.912</v>
      </c>
      <c r="C480" s="13" t="n">
        <f aca="true">OFFSET(Datos!$D$1,1+$B$4+468,0)</f>
        <v>166.246349880542</v>
      </c>
      <c r="D480" s="13" t="n">
        <f aca="true">OFFSET(Datos!$D$1,1+468,0)</f>
        <v>163.584581438697</v>
      </c>
      <c r="E480" s="13" t="n">
        <f aca="false">C480-D480</f>
        <v>2.66176844184497</v>
      </c>
    </row>
    <row r="481" customFormat="false" ht="15" hidden="false" customHeight="false" outlineLevel="0" collapsed="false">
      <c r="A481" s="2" t="n">
        <v>470</v>
      </c>
      <c r="B481" s="13" t="n">
        <f aca="true">OFFSET(Datos!$B$1,1+$B$4+469,0)</f>
        <v>25.9619999999998</v>
      </c>
      <c r="C481" s="13" t="n">
        <f aca="true">OFFSET(Datos!$D$1,1+$B$4+469,0)</f>
        <v>167.124091216592</v>
      </c>
      <c r="D481" s="13" t="n">
        <f aca="true">OFFSET(Datos!$D$1,1+469,0)</f>
        <v>164.876217063292</v>
      </c>
      <c r="E481" s="13" t="n">
        <f aca="false">C481-D481</f>
        <v>2.24787415330076</v>
      </c>
    </row>
    <row r="482" customFormat="false" ht="15" hidden="false" customHeight="false" outlineLevel="0" collapsed="false">
      <c r="A482" s="2" t="n">
        <v>471</v>
      </c>
      <c r="B482" s="13" t="n">
        <f aca="true">OFFSET(Datos!$B$1,1+$B$4+470,0)</f>
        <v>26.0119999999999</v>
      </c>
      <c r="C482" s="13" t="n">
        <f aca="true">OFFSET(Datos!$D$1,1+$B$4+470,0)</f>
        <v>163.584581438697</v>
      </c>
      <c r="D482" s="13" t="n">
        <f aca="true">OFFSET(Datos!$D$1,1+470,0)</f>
        <v>168.958071081349</v>
      </c>
      <c r="E482" s="13" t="n">
        <f aca="false">C482-D482</f>
        <v>-5.3734896426522</v>
      </c>
    </row>
    <row r="483" customFormat="false" ht="15" hidden="false" customHeight="false" outlineLevel="0" collapsed="false">
      <c r="A483" s="2" t="n">
        <v>472</v>
      </c>
      <c r="B483" s="13" t="n">
        <f aca="true">OFFSET(Datos!$B$1,1+$B$4+471,0)</f>
        <v>26.0620000000001</v>
      </c>
      <c r="C483" s="13" t="n">
        <f aca="true">OFFSET(Datos!$D$1,1+$B$4+471,0)</f>
        <v>164.419506124208</v>
      </c>
      <c r="D483" s="13" t="n">
        <f aca="true">OFFSET(Datos!$D$1,1+471,0)</f>
        <v>165.336496056587</v>
      </c>
      <c r="E483" s="13" t="n">
        <f aca="false">C483-D483</f>
        <v>-0.916989932378243</v>
      </c>
    </row>
    <row r="484" customFormat="false" ht="15" hidden="false" customHeight="false" outlineLevel="0" collapsed="false">
      <c r="A484" s="2" t="n">
        <v>473</v>
      </c>
      <c r="B484" s="13" t="n">
        <f aca="true">OFFSET(Datos!$B$1,1+$B$4+472,0)</f>
        <v>26.1119999999999</v>
      </c>
      <c r="C484" s="13" t="n">
        <f aca="true">OFFSET(Datos!$D$1,1+$B$4+472,0)</f>
        <v>167.923335359988</v>
      </c>
      <c r="D484" s="13" t="n">
        <f aca="true">OFFSET(Datos!$D$1,1+472,0)</f>
        <v>162.082430615618</v>
      </c>
      <c r="E484" s="13" t="n">
        <f aca="false">C484-D484</f>
        <v>5.84090474437033</v>
      </c>
    </row>
    <row r="485" customFormat="false" ht="15" hidden="false" customHeight="false" outlineLevel="0" collapsed="false">
      <c r="A485" s="2" t="n">
        <v>474</v>
      </c>
      <c r="B485" s="13" t="n">
        <f aca="true">OFFSET(Datos!$B$1,1+$B$4+473,0)</f>
        <v>26.162</v>
      </c>
      <c r="C485" s="13" t="n">
        <f aca="true">OFFSET(Datos!$D$1,1+$B$4+473,0)</f>
        <v>171.152424421476</v>
      </c>
      <c r="D485" s="13" t="n">
        <f aca="true">OFFSET(Datos!$D$1,1+473,0)</f>
        <v>165.718277857227</v>
      </c>
      <c r="E485" s="13" t="n">
        <f aca="false">C485-D485</f>
        <v>5.43414656424923</v>
      </c>
    </row>
    <row r="486" customFormat="false" ht="15" hidden="false" customHeight="false" outlineLevel="0" collapsed="false">
      <c r="A486" s="2" t="n">
        <v>475</v>
      </c>
      <c r="B486" s="13" t="n">
        <f aca="true">OFFSET(Datos!$B$1,1+$B$4+474,0)</f>
        <v>26.2119999999998</v>
      </c>
      <c r="C486" s="13" t="n">
        <f aca="true">OFFSET(Datos!$D$1,1+$B$4+474,0)</f>
        <v>166.631699735393</v>
      </c>
      <c r="D486" s="13" t="n">
        <f aca="true">OFFSET(Datos!$D$1,1+474,0)</f>
        <v>165.714709803015</v>
      </c>
      <c r="E486" s="13" t="n">
        <f aca="false">C486-D486</f>
        <v>0.916989932378243</v>
      </c>
    </row>
    <row r="487" customFormat="false" ht="15" hidden="false" customHeight="false" outlineLevel="0" collapsed="false">
      <c r="A487" s="2" t="n">
        <v>476</v>
      </c>
      <c r="B487" s="13" t="n">
        <f aca="true">OFFSET(Datos!$B$1,1+$B$4+475,0)</f>
        <v>26.2619999999999</v>
      </c>
      <c r="C487" s="13" t="n">
        <f aca="true">OFFSET(Datos!$D$1,1+$B$4+475,0)</f>
        <v>164.622885214269</v>
      </c>
      <c r="D487" s="13" t="n">
        <f aca="true">OFFSET(Datos!$D$1,1+475,0)</f>
        <v>167.391695282461</v>
      </c>
      <c r="E487" s="13" t="n">
        <f aca="false">C487-D487</f>
        <v>-2.76881006819266</v>
      </c>
    </row>
    <row r="488" customFormat="false" ht="15" hidden="false" customHeight="false" outlineLevel="0" collapsed="false">
      <c r="A488" s="2" t="n">
        <v>477</v>
      </c>
      <c r="B488" s="13" t="n">
        <f aca="true">OFFSET(Datos!$B$1,1+$B$4+476,0)</f>
        <v>26.3120000000001</v>
      </c>
      <c r="C488" s="13" t="n">
        <f aca="true">OFFSET(Datos!$D$1,1+$B$4+476,0)</f>
        <v>166.028698573635</v>
      </c>
      <c r="D488" s="13" t="n">
        <f aca="true">OFFSET(Datos!$D$1,1+476,0)</f>
        <v>164.594340780576</v>
      </c>
      <c r="E488" s="13" t="n">
        <f aca="false">C488-D488</f>
        <v>1.43435779305855</v>
      </c>
    </row>
    <row r="489" customFormat="false" ht="15" hidden="false" customHeight="false" outlineLevel="0" collapsed="false">
      <c r="A489" s="2" t="n">
        <v>478</v>
      </c>
      <c r="B489" s="13" t="n">
        <f aca="true">OFFSET(Datos!$B$1,1+$B$4+477,0)</f>
        <v>26.3619999999999</v>
      </c>
      <c r="C489" s="13" t="n">
        <f aca="true">OFFSET(Datos!$D$1,1+$B$4+477,0)</f>
        <v>168.833189183943</v>
      </c>
      <c r="D489" s="13" t="n">
        <f aca="true">OFFSET(Datos!$D$1,1+477,0)</f>
        <v>165.036779502813</v>
      </c>
      <c r="E489" s="13" t="n">
        <f aca="false">C489-D489</f>
        <v>3.79640968113014</v>
      </c>
    </row>
    <row r="490" customFormat="false" ht="15" hidden="false" customHeight="false" outlineLevel="0" collapsed="false">
      <c r="A490" s="2" t="n">
        <v>479</v>
      </c>
      <c r="B490" s="13" t="n">
        <f aca="true">OFFSET(Datos!$B$1,1+$B$4+478,0)</f>
        <v>26.412</v>
      </c>
      <c r="C490" s="13" t="n">
        <f aca="true">OFFSET(Datos!$D$1,1+$B$4+478,0)</f>
        <v>167.452352204058</v>
      </c>
      <c r="D490" s="13" t="n">
        <f aca="true">OFFSET(Datos!$D$1,1+478,0)</f>
        <v>167.38812722825</v>
      </c>
      <c r="E490" s="13" t="n">
        <f aca="false">C490-D490</f>
        <v>0.0642249758085995</v>
      </c>
    </row>
    <row r="491" customFormat="false" ht="15" hidden="false" customHeight="false" outlineLevel="0" collapsed="false">
      <c r="A491" s="2" t="n">
        <v>480</v>
      </c>
      <c r="B491" s="13" t="n">
        <f aca="true">OFFSET(Datos!$B$1,1+$B$4+479,0)</f>
        <v>26.4619999999998</v>
      </c>
      <c r="C491" s="13" t="n">
        <f aca="true">OFFSET(Datos!$D$1,1+$B$4+479,0)</f>
        <v>167.238268951363</v>
      </c>
      <c r="D491" s="13" t="n">
        <f aca="true">OFFSET(Datos!$D$1,1+479,0)</f>
        <v>164.537251913191</v>
      </c>
      <c r="E491" s="13" t="n">
        <f aca="false">C491-D491</f>
        <v>2.70101703817247</v>
      </c>
    </row>
    <row r="492" customFormat="false" ht="15" hidden="false" customHeight="false" outlineLevel="0" collapsed="false">
      <c r="A492" s="2" t="n">
        <v>481</v>
      </c>
      <c r="B492" s="13" t="n">
        <f aca="true">OFFSET(Datos!$B$1,1+$B$4+480,0)</f>
        <v>26.5119999999999</v>
      </c>
      <c r="C492" s="13" t="n">
        <f aca="true">OFFSET(Datos!$D$1,1+$B$4+480,0)</f>
        <v>164.89405733435</v>
      </c>
      <c r="D492" s="13" t="n">
        <f aca="true">OFFSET(Datos!$D$1,1+480,0)</f>
        <v>165.743254236708</v>
      </c>
      <c r="E492" s="13" t="n">
        <f aca="false">C492-D492</f>
        <v>-0.849196902358045</v>
      </c>
    </row>
    <row r="493" customFormat="false" ht="15" hidden="false" customHeight="false" outlineLevel="0" collapsed="false">
      <c r="A493" s="2" t="n">
        <v>482</v>
      </c>
      <c r="B493" s="13" t="n">
        <f aca="true">OFFSET(Datos!$B$1,1+$B$4+481,0)</f>
        <v>26.5620000000001</v>
      </c>
      <c r="C493" s="13" t="n">
        <f aca="true">OFFSET(Datos!$D$1,1+$B$4+481,0)</f>
        <v>165.539875146647</v>
      </c>
      <c r="D493" s="13" t="n">
        <f aca="true">OFFSET(Datos!$D$1,1+481,0)</f>
        <v>163.709463336102</v>
      </c>
      <c r="E493" s="13" t="n">
        <f aca="false">C493-D493</f>
        <v>1.83041181054489</v>
      </c>
    </row>
    <row r="494" customFormat="false" ht="15" hidden="false" customHeight="false" outlineLevel="0" collapsed="false">
      <c r="A494" s="2" t="n">
        <v>483</v>
      </c>
      <c r="B494" s="13" t="n">
        <f aca="true">OFFSET(Datos!$B$1,1+$B$4+482,0)</f>
        <v>26.6119999999999</v>
      </c>
      <c r="C494" s="13" t="n">
        <f aca="true">OFFSET(Datos!$D$1,1+$B$4+482,0)</f>
        <v>167.912631197353</v>
      </c>
      <c r="D494" s="13" t="n">
        <f aca="true">OFFSET(Datos!$D$1,1+482,0)</f>
        <v>168.041081148971</v>
      </c>
      <c r="E494" s="13" t="n">
        <f aca="false">C494-D494</f>
        <v>-0.128449951617171</v>
      </c>
    </row>
    <row r="495" customFormat="false" ht="15" hidden="false" customHeight="false" outlineLevel="0" collapsed="false">
      <c r="A495" s="2" t="n">
        <v>484</v>
      </c>
      <c r="B495" s="13" t="n">
        <f aca="true">OFFSET(Datos!$B$1,1+$B$4+483,0)</f>
        <v>26.662</v>
      </c>
      <c r="C495" s="13" t="n">
        <f aca="true">OFFSET(Datos!$D$1,1+$B$4+483,0)</f>
        <v>163.420450944964</v>
      </c>
      <c r="D495" s="13" t="n">
        <f aca="true">OFFSET(Datos!$D$1,1+483,0)</f>
        <v>165.618372339302</v>
      </c>
      <c r="E495" s="13" t="n">
        <f aca="false">C495-D495</f>
        <v>-2.19792139433852</v>
      </c>
    </row>
    <row r="496" customFormat="false" ht="15" hidden="false" customHeight="false" outlineLevel="0" collapsed="false">
      <c r="A496" s="2" t="n">
        <v>485</v>
      </c>
      <c r="B496" s="13" t="n">
        <f aca="true">OFFSET(Datos!$B$1,1+$B$4+484,0)</f>
        <v>26.7119999999998</v>
      </c>
      <c r="C496" s="13" t="n">
        <f aca="true">OFFSET(Datos!$D$1,1+$B$4+484,0)</f>
        <v>163.05294136117</v>
      </c>
      <c r="D496" s="13" t="n">
        <f aca="true">OFFSET(Datos!$D$1,1+484,0)</f>
        <v>164.373121419458</v>
      </c>
      <c r="E496" s="13" t="n">
        <f aca="false">C496-D496</f>
        <v>-1.32018005828775</v>
      </c>
    </row>
    <row r="497" customFormat="false" ht="15" hidden="false" customHeight="false" outlineLevel="0" collapsed="false">
      <c r="A497" s="2" t="n">
        <v>486</v>
      </c>
      <c r="B497" s="13" t="n">
        <f aca="true">OFFSET(Datos!$B$1,1+$B$4+485,0)</f>
        <v>26.7619999999999</v>
      </c>
      <c r="C497" s="13" t="n">
        <f aca="true">OFFSET(Datos!$D$1,1+$B$4+485,0)</f>
        <v>166.481841458506</v>
      </c>
      <c r="D497" s="13" t="n">
        <f aca="true">OFFSET(Datos!$D$1,1+485,0)</f>
        <v>168.950934972926</v>
      </c>
      <c r="E497" s="13" t="n">
        <f aca="false">C497-D497</f>
        <v>-2.46909351441923</v>
      </c>
    </row>
    <row r="498" customFormat="false" ht="15" hidden="false" customHeight="false" outlineLevel="0" collapsed="false">
      <c r="A498" s="2" t="n">
        <v>487</v>
      </c>
      <c r="B498" s="13" t="n">
        <f aca="true">OFFSET(Datos!$B$1,1+$B$4+486,0)</f>
        <v>26.8129999999999</v>
      </c>
      <c r="C498" s="13" t="n">
        <f aca="true">OFFSET(Datos!$D$1,1+$B$4+486,0)</f>
        <v>161.350979502242</v>
      </c>
      <c r="D498" s="13" t="n">
        <f aca="true">OFFSET(Datos!$D$1,1+486,0)</f>
        <v>168.558449009651</v>
      </c>
      <c r="E498" s="13" t="n">
        <f aca="false">C498-D498</f>
        <v>-7.20746950740875</v>
      </c>
    </row>
    <row r="499" customFormat="false" ht="15" hidden="false" customHeight="false" outlineLevel="0" collapsed="false">
      <c r="A499" s="2" t="n">
        <v>488</v>
      </c>
      <c r="B499" s="13" t="n">
        <f aca="true">OFFSET(Datos!$B$1,1+$B$4+487,0)</f>
        <v>26.8630000000001</v>
      </c>
      <c r="C499" s="13" t="n">
        <f aca="true">OFFSET(Datos!$D$1,1+$B$4+487,0)</f>
        <v>168.636946202306</v>
      </c>
      <c r="D499" s="13" t="n">
        <f aca="true">OFFSET(Datos!$D$1,1+487,0)</f>
        <v>163.845049396143</v>
      </c>
      <c r="E499" s="13" t="n">
        <f aca="false">C499-D499</f>
        <v>4.79189680616332</v>
      </c>
    </row>
    <row r="500" customFormat="false" ht="15" hidden="false" customHeight="false" outlineLevel="0" collapsed="false">
      <c r="A500" s="2" t="n">
        <v>489</v>
      </c>
      <c r="B500" s="13" t="n">
        <f aca="true">OFFSET(Datos!$B$1,1+$B$4+488,0)</f>
        <v>26.9129999999998</v>
      </c>
      <c r="C500" s="13" t="n">
        <f aca="true">OFFSET(Datos!$D$1,1+$B$4+488,0)</f>
        <v>163.473971758137</v>
      </c>
      <c r="D500" s="13" t="n">
        <f aca="true">OFFSET(Datos!$D$1,1+488,0)</f>
        <v>166.592451139066</v>
      </c>
      <c r="E500" s="13" t="n">
        <f aca="false">C500-D500</f>
        <v>-3.11847938092831</v>
      </c>
    </row>
    <row r="501" customFormat="false" ht="15" hidden="false" customHeight="false" outlineLevel="0" collapsed="false">
      <c r="A501" s="2" t="n">
        <v>490</v>
      </c>
      <c r="B501" s="13" t="n">
        <f aca="true">OFFSET(Datos!$B$1,1+$B$4+489,0)</f>
        <v>26.963</v>
      </c>
      <c r="C501" s="13" t="n">
        <f aca="true">OFFSET(Datos!$D$1,1+$B$4+489,0)</f>
        <v>163.0315330359</v>
      </c>
      <c r="D501" s="13" t="n">
        <f aca="true">OFFSET(Datos!$D$1,1+489,0)</f>
        <v>167.081274566053</v>
      </c>
      <c r="E501" s="13" t="n">
        <f aca="false">C501-D501</f>
        <v>-4.04974153015291</v>
      </c>
    </row>
    <row r="502" customFormat="false" ht="15" hidden="false" customHeight="false" outlineLevel="0" collapsed="false">
      <c r="A502" s="2" t="n">
        <v>491</v>
      </c>
      <c r="B502" s="13" t="n">
        <f aca="true">OFFSET(Datos!$B$1,1+$B$4+490,0)</f>
        <v>27.0129999999997</v>
      </c>
      <c r="C502" s="13" t="n">
        <f aca="true">OFFSET(Datos!$D$1,1+$B$4+490,0)</f>
        <v>155.410169239947</v>
      </c>
      <c r="D502" s="13" t="n">
        <f aca="true">OFFSET(Datos!$D$1,1+490,0)</f>
        <v>166.039402736269</v>
      </c>
      <c r="E502" s="13" t="n">
        <f aca="false">C502-D502</f>
        <v>-10.6292334963221</v>
      </c>
    </row>
    <row r="503" customFormat="false" ht="15" hidden="false" customHeight="false" outlineLevel="0" collapsed="false">
      <c r="A503" s="2" t="n">
        <v>492</v>
      </c>
      <c r="B503" s="13" t="n">
        <f aca="true">OFFSET(Datos!$B$1,1+$B$4+491,0)</f>
        <v>27.0629999999999</v>
      </c>
      <c r="C503" s="13" t="n">
        <f aca="true">OFFSET(Datos!$D$1,1+$B$4+491,0)</f>
        <v>160.890700508947</v>
      </c>
      <c r="D503" s="13" t="n">
        <f aca="true">OFFSET(Datos!$D$1,1+491,0)</f>
        <v>167.056298186572</v>
      </c>
      <c r="E503" s="13" t="n">
        <f aca="false">C503-D503</f>
        <v>-6.16559767762485</v>
      </c>
    </row>
    <row r="504" customFormat="false" ht="15" hidden="false" customHeight="false" outlineLevel="0" collapsed="false">
      <c r="A504" s="2" t="n">
        <v>493</v>
      </c>
      <c r="B504" s="13" t="n">
        <f aca="true">OFFSET(Datos!$B$1,1+$B$4+492,0)</f>
        <v>27.1130000000001</v>
      </c>
      <c r="C504" s="13" t="n">
        <f aca="true">OFFSET(Datos!$D$1,1+$B$4+492,0)</f>
        <v>159.113809511576</v>
      </c>
      <c r="D504" s="13" t="n">
        <f aca="true">OFFSET(Datos!$D$1,1+492,0)</f>
        <v>165.504194604531</v>
      </c>
      <c r="E504" s="13" t="n">
        <f aca="false">C504-D504</f>
        <v>-6.39038509295497</v>
      </c>
    </row>
    <row r="505" customFormat="false" ht="15" hidden="false" customHeight="false" outlineLevel="0" collapsed="false">
      <c r="A505" s="2" t="n">
        <v>494</v>
      </c>
      <c r="B505" s="13" t="n">
        <f aca="true">OFFSET(Datos!$B$1,1+$B$4+493,0)</f>
        <v>27.1629999999998</v>
      </c>
      <c r="C505" s="13" t="n">
        <f aca="true">OFFSET(Datos!$D$1,1+$B$4+493,0)</f>
        <v>160.387604865113</v>
      </c>
      <c r="D505" s="13" t="n">
        <f aca="true">OFFSET(Datos!$D$1,1+493,0)</f>
        <v>165.782502833035</v>
      </c>
      <c r="E505" s="13" t="n">
        <f aca="false">C505-D505</f>
        <v>-5.39489796792176</v>
      </c>
    </row>
    <row r="506" customFormat="false" ht="15" hidden="false" customHeight="false" outlineLevel="0" collapsed="false">
      <c r="A506" s="2" t="n">
        <v>495</v>
      </c>
      <c r="B506" s="13" t="n">
        <f aca="true">OFFSET(Datos!$B$1,1+$B$4+494,0)</f>
        <v>27.213</v>
      </c>
      <c r="C506" s="13" t="n">
        <f aca="true">OFFSET(Datos!$D$1,1+$B$4+494,0)</f>
        <v>164.990394798062</v>
      </c>
      <c r="D506" s="13" t="n">
        <f aca="true">OFFSET(Datos!$D$1,1+494,0)</f>
        <v>168.786804479193</v>
      </c>
      <c r="E506" s="13" t="n">
        <f aca="false">C506-D506</f>
        <v>-3.79640968113011</v>
      </c>
    </row>
    <row r="507" customFormat="false" ht="15" hidden="false" customHeight="false" outlineLevel="0" collapsed="false">
      <c r="A507" s="2" t="n">
        <v>496</v>
      </c>
      <c r="B507" s="13" t="n">
        <f aca="true">OFFSET(Datos!$B$1,1+$B$4+495,0)</f>
        <v>27.2629999999997</v>
      </c>
      <c r="C507" s="13" t="n">
        <f aca="true">OFFSET(Datos!$D$1,1+$B$4+495,0)</f>
        <v>160.805067207869</v>
      </c>
      <c r="D507" s="13" t="n">
        <f aca="true">OFFSET(Datos!$D$1,1+495,0)</f>
        <v>163.95209102249</v>
      </c>
      <c r="E507" s="13" t="n">
        <f aca="false">C507-D507</f>
        <v>-3.14702381462104</v>
      </c>
    </row>
    <row r="508" customFormat="false" ht="15" hidden="false" customHeight="false" outlineLevel="0" collapsed="false">
      <c r="A508" s="2" t="n">
        <v>497</v>
      </c>
      <c r="B508" s="13" t="n">
        <f aca="true">OFFSET(Datos!$B$1,1+$B$4+496,0)</f>
        <v>27.3129999999999</v>
      </c>
      <c r="C508" s="13" t="n">
        <f aca="true">OFFSET(Datos!$D$1,1+$B$4+496,0)</f>
        <v>160.60525617202</v>
      </c>
      <c r="D508" s="13" t="n">
        <f aca="true">OFFSET(Datos!$D$1,1+496,0)</f>
        <v>168.37647824486</v>
      </c>
      <c r="E508" s="13" t="n">
        <f aca="false">C508-D508</f>
        <v>-7.77122207283969</v>
      </c>
    </row>
    <row r="509" customFormat="false" ht="15" hidden="false" customHeight="false" outlineLevel="0" collapsed="false">
      <c r="A509" s="2" t="n">
        <v>498</v>
      </c>
      <c r="B509" s="13" t="n">
        <f aca="true">OFFSET(Datos!$B$1,1+$B$4+497,0)</f>
        <v>27.3630000000001</v>
      </c>
      <c r="C509" s="13" t="n">
        <f aca="true">OFFSET(Datos!$D$1,1+$B$4+497,0)</f>
        <v>159.741787052816</v>
      </c>
      <c r="D509" s="13" t="n">
        <f aca="true">OFFSET(Datos!$D$1,1+497,0)</f>
        <v>169.11863352087</v>
      </c>
      <c r="E509" s="13" t="n">
        <f aca="false">C509-D509</f>
        <v>-9.37684646805451</v>
      </c>
    </row>
    <row r="510" customFormat="false" ht="15" hidden="false" customHeight="false" outlineLevel="0" collapsed="false">
      <c r="A510" s="2" t="n">
        <v>499</v>
      </c>
      <c r="B510" s="13" t="n">
        <f aca="true">OFFSET(Datos!$B$1,1+$B$4+498,0)</f>
        <v>27.4129999999998</v>
      </c>
      <c r="C510" s="13" t="n">
        <f aca="true">OFFSET(Datos!$D$1,1+$B$4+498,0)</f>
        <v>159.092401186307</v>
      </c>
      <c r="D510" s="13" t="n">
        <f aca="true">OFFSET(Datos!$D$1,1+498,0)</f>
        <v>167.259677276633</v>
      </c>
      <c r="E510" s="13" t="n">
        <f aca="false">C510-D510</f>
        <v>-8.16727609032603</v>
      </c>
    </row>
    <row r="511" customFormat="false" ht="15" hidden="false" customHeight="false" outlineLevel="0" collapsed="false">
      <c r="A511" s="2" t="n">
        <v>500</v>
      </c>
      <c r="B511" s="13" t="n">
        <f aca="true">OFFSET(Datos!$B$1,1+$B$4+499,0)</f>
        <v>27.463</v>
      </c>
      <c r="C511" s="13" t="n">
        <f aca="true">OFFSET(Datos!$D$1,1+$B$4+499,0)</f>
        <v>160.476806220403</v>
      </c>
      <c r="D511" s="13" t="n">
        <f aca="true">OFFSET(Datos!$D$1,1+499,0)</f>
        <v>166.203533230003</v>
      </c>
      <c r="E511" s="13" t="n">
        <f aca="false">C511-D511</f>
        <v>-5.7267270095995</v>
      </c>
    </row>
    <row r="512" customFormat="false" ht="15" hidden="false" customHeight="false" outlineLevel="0" collapsed="false">
      <c r="A512" s="2" t="n">
        <v>501</v>
      </c>
      <c r="B512" s="13" t="n">
        <f aca="true">OFFSET(Datos!$B$1,1+$B$4+500,0)</f>
        <v>27.5129999999997</v>
      </c>
      <c r="C512" s="13" t="n">
        <f aca="true">OFFSET(Datos!$D$1,1+$B$4+500,0)</f>
        <v>158.150434874447</v>
      </c>
      <c r="D512" s="13" t="n">
        <f aca="true">OFFSET(Datos!$D$1,1+500,0)</f>
        <v>166.860055204935</v>
      </c>
      <c r="E512" s="13" t="n">
        <f aca="false">C512-D512</f>
        <v>-8.70962033048744</v>
      </c>
    </row>
    <row r="513" customFormat="false" ht="15" hidden="false" customHeight="false" outlineLevel="0" collapsed="false">
      <c r="A513" s="2" t="n">
        <v>502</v>
      </c>
      <c r="B513" s="13" t="n">
        <f aca="true">OFFSET(Datos!$B$1,1+$B$4+501,0)</f>
        <v>27.5629999999999</v>
      </c>
      <c r="C513" s="13" t="n">
        <f aca="true">OFFSET(Datos!$D$1,1+$B$4+501,0)</f>
        <v>163.427587053387</v>
      </c>
      <c r="D513" s="13" t="n">
        <f aca="true">OFFSET(Datos!$D$1,1+501,0)</f>
        <v>170.909796735088</v>
      </c>
      <c r="E513" s="13" t="n">
        <f aca="false">C513-D513</f>
        <v>-7.48220968170105</v>
      </c>
    </row>
    <row r="514" customFormat="false" ht="15" hidden="false" customHeight="false" outlineLevel="0" collapsed="false">
      <c r="A514" s="2" t="n">
        <v>503</v>
      </c>
      <c r="B514" s="13" t="n">
        <f aca="true">OFFSET(Datos!$B$1,1+$B$4+502,0)</f>
        <v>27.6130000000001</v>
      </c>
      <c r="C514" s="13" t="n">
        <f aca="true">OFFSET(Datos!$D$1,1+$B$4+502,0)</f>
        <v>158.339541747662</v>
      </c>
      <c r="D514" s="13" t="n">
        <f aca="true">OFFSET(Datos!$D$1,1+502,0)</f>
        <v>165.579123742975</v>
      </c>
      <c r="E514" s="13" t="n">
        <f aca="false">C514-D514</f>
        <v>-7.23958199531302</v>
      </c>
    </row>
    <row r="515" customFormat="false" ht="15" hidden="false" customHeight="false" outlineLevel="0" collapsed="false">
      <c r="A515" s="2" t="n">
        <v>504</v>
      </c>
      <c r="B515" s="13" t="n">
        <f aca="true">OFFSET(Datos!$B$1,1+$B$4+503,0)</f>
        <v>27.6629999999998</v>
      </c>
      <c r="C515" s="13" t="n">
        <f aca="true">OFFSET(Datos!$D$1,1+$B$4+503,0)</f>
        <v>158.221795958679</v>
      </c>
      <c r="D515" s="13" t="n">
        <f aca="true">OFFSET(Datos!$D$1,1+503,0)</f>
        <v>163.035101090112</v>
      </c>
      <c r="E515" s="13" t="n">
        <f aca="false">C515-D515</f>
        <v>-4.81330513143286</v>
      </c>
    </row>
    <row r="516" customFormat="false" ht="15" hidden="false" customHeight="false" outlineLevel="0" collapsed="false">
      <c r="A516" s="2" t="n">
        <v>505</v>
      </c>
      <c r="B516" s="13" t="n">
        <f aca="true">OFFSET(Datos!$B$1,1+$B$4+504,0)</f>
        <v>27.713</v>
      </c>
      <c r="C516" s="13" t="n">
        <f aca="true">OFFSET(Datos!$D$1,1+$B$4+504,0)</f>
        <v>160.366196539844</v>
      </c>
      <c r="D516" s="13" t="n">
        <f aca="true">OFFSET(Datos!$D$1,1+504,0)</f>
        <v>167.088410674476</v>
      </c>
      <c r="E516" s="13" t="n">
        <f aca="false">C516-D516</f>
        <v>-6.72221413463271</v>
      </c>
    </row>
    <row r="517" customFormat="false" ht="15" hidden="false" customHeight="false" outlineLevel="0" collapsed="false">
      <c r="A517" s="2" t="n">
        <v>506</v>
      </c>
      <c r="B517" s="13" t="n">
        <f aca="true">OFFSET(Datos!$B$1,1+$B$4+505,0)</f>
        <v>27.7629999999997</v>
      </c>
      <c r="C517" s="13" t="n">
        <f aca="true">OFFSET(Datos!$D$1,1+$B$4+505,0)</f>
        <v>160.384036810902</v>
      </c>
      <c r="D517" s="13" t="n">
        <f aca="true">OFFSET(Datos!$D$1,1+505,0)</f>
        <v>166.638835843816</v>
      </c>
      <c r="E517" s="13" t="n">
        <f aca="false">C517-D517</f>
        <v>-6.25479903291458</v>
      </c>
    </row>
    <row r="518" customFormat="false" ht="15" hidden="false" customHeight="false" outlineLevel="0" collapsed="false">
      <c r="A518" s="2" t="n">
        <v>507</v>
      </c>
      <c r="B518" s="13" t="n">
        <f aca="true">OFFSET(Datos!$B$1,1+$B$4+506,0)</f>
        <v>27.8129999999999</v>
      </c>
      <c r="C518" s="13" t="n">
        <f aca="true">OFFSET(Datos!$D$1,1+$B$4+506,0)</f>
        <v>159.987982793415</v>
      </c>
      <c r="D518" s="13" t="n">
        <f aca="true">OFFSET(Datos!$D$1,1+506,0)</f>
        <v>164.819128195906</v>
      </c>
      <c r="E518" s="13" t="n">
        <f aca="false">C518-D518</f>
        <v>-4.83114540249079</v>
      </c>
    </row>
    <row r="519" customFormat="false" ht="15" hidden="false" customHeight="false" outlineLevel="0" collapsed="false">
      <c r="A519" s="2" t="n">
        <v>508</v>
      </c>
      <c r="B519" s="13" t="n">
        <f aca="true">OFFSET(Datos!$B$1,1+$B$4+507,0)</f>
        <v>27.8630000000001</v>
      </c>
      <c r="C519" s="13" t="n">
        <f aca="true">OFFSET(Datos!$D$1,1+$B$4+507,0)</f>
        <v>161.654264110227</v>
      </c>
      <c r="D519" s="13" t="n">
        <f aca="true">OFFSET(Datos!$D$1,1+507,0)</f>
        <v>169.603888893646</v>
      </c>
      <c r="E519" s="13" t="n">
        <f aca="false">C519-D519</f>
        <v>-7.9496247834191</v>
      </c>
    </row>
    <row r="520" customFormat="false" ht="15" hidden="false" customHeight="false" outlineLevel="0" collapsed="false">
      <c r="A520" s="2" t="n">
        <v>509</v>
      </c>
      <c r="B520" s="13" t="n">
        <f aca="true">OFFSET(Datos!$B$1,1+$B$4+508,0)</f>
        <v>27.9129999999998</v>
      </c>
      <c r="C520" s="13" t="n">
        <f aca="true">OFFSET(Datos!$D$1,1+$B$4+508,0)</f>
        <v>160.070048040282</v>
      </c>
      <c r="D520" s="13" t="n">
        <f aca="true">OFFSET(Datos!$D$1,1+508,0)</f>
        <v>166.37836788637</v>
      </c>
      <c r="E520" s="13" t="n">
        <f aca="false">C520-D520</f>
        <v>-6.30831984608844</v>
      </c>
    </row>
    <row r="521" customFormat="false" ht="15" hidden="false" customHeight="false" outlineLevel="0" collapsed="false">
      <c r="A521" s="2" t="n">
        <v>510</v>
      </c>
      <c r="B521" s="13" t="n">
        <f aca="true">OFFSET(Datos!$B$1,1+$B$4+509,0)</f>
        <v>27.963</v>
      </c>
      <c r="C521" s="13" t="n">
        <f aca="true">OFFSET(Datos!$D$1,1+$B$4+509,0)</f>
        <v>160.241314642438</v>
      </c>
      <c r="D521" s="13" t="n">
        <f aca="true">OFFSET(Datos!$D$1,1+509,0)</f>
        <v>170.927637006146</v>
      </c>
      <c r="E521" s="13" t="n">
        <f aca="false">C521-D521</f>
        <v>-10.6863223637075</v>
      </c>
    </row>
    <row r="522" customFormat="false" ht="15" hidden="false" customHeight="false" outlineLevel="0" collapsed="false">
      <c r="A522" s="2" t="n">
        <v>511</v>
      </c>
      <c r="B522" s="13" t="n">
        <f aca="true">OFFSET(Datos!$B$1,1+$B$4+510,0)</f>
        <v>28.0129999999997</v>
      </c>
      <c r="C522" s="13" t="n">
        <f aca="true">OFFSET(Datos!$D$1,1+$B$4+510,0)</f>
        <v>155.945377371686</v>
      </c>
      <c r="D522" s="13" t="n">
        <f aca="true">OFFSET(Datos!$D$1,1+510,0)</f>
        <v>167.120523162381</v>
      </c>
      <c r="E522" s="13" t="n">
        <f aca="false">C522-D522</f>
        <v>-11.1751457906951</v>
      </c>
    </row>
    <row r="523" customFormat="false" ht="15" hidden="false" customHeight="false" outlineLevel="0" collapsed="false">
      <c r="A523" s="2" t="n">
        <v>512</v>
      </c>
      <c r="B523" s="13" t="n">
        <f aca="true">OFFSET(Datos!$B$1,1+$B$4+511,0)</f>
        <v>28.0629999999999</v>
      </c>
      <c r="C523" s="13" t="n">
        <f aca="true">OFFSET(Datos!$D$1,1+$B$4+511,0)</f>
        <v>159.902349492337</v>
      </c>
      <c r="D523" s="13" t="n">
        <f aca="true">OFFSET(Datos!$D$1,1+511,0)</f>
        <v>162.417827711507</v>
      </c>
      <c r="E523" s="13" t="n">
        <f aca="false">C523-D523</f>
        <v>-2.51547821916989</v>
      </c>
    </row>
    <row r="524" customFormat="false" ht="15" hidden="false" customHeight="false" outlineLevel="0" collapsed="false">
      <c r="A524" s="2" t="n">
        <v>513</v>
      </c>
      <c r="B524" s="13" t="n">
        <f aca="true">OFFSET(Datos!$B$1,1+$B$4+512,0)</f>
        <v>28.1130000000001</v>
      </c>
      <c r="C524" s="13" t="n">
        <f aca="true">OFFSET(Datos!$D$1,1+$B$4+512,0)</f>
        <v>160.805067207869</v>
      </c>
      <c r="D524" s="13" t="n">
        <f aca="true">OFFSET(Datos!$D$1,1+512,0)</f>
        <v>167.302493927172</v>
      </c>
      <c r="E524" s="13" t="n">
        <f aca="false">C524-D524</f>
        <v>-6.49742671930258</v>
      </c>
    </row>
    <row r="525" customFormat="false" ht="15" hidden="false" customHeight="false" outlineLevel="0" collapsed="false">
      <c r="A525" s="2" t="n">
        <v>514</v>
      </c>
      <c r="B525" s="13" t="n">
        <f aca="true">OFFSET(Datos!$B$1,1+$B$4+513,0)</f>
        <v>28.1629999999998</v>
      </c>
      <c r="C525" s="13" t="n">
        <f aca="true">OFFSET(Datos!$D$1,1+$B$4+513,0)</f>
        <v>157.247717158915</v>
      </c>
      <c r="D525" s="13" t="n">
        <f aca="true">OFFSET(Datos!$D$1,1+513,0)</f>
        <v>169.407645912009</v>
      </c>
      <c r="E525" s="13" t="n">
        <f aca="false">C525-D525</f>
        <v>-12.1599287530935</v>
      </c>
    </row>
    <row r="526" customFormat="false" ht="15" hidden="false" customHeight="false" outlineLevel="0" collapsed="false">
      <c r="A526" s="2" t="n">
        <v>515</v>
      </c>
      <c r="B526" s="13" t="n">
        <f aca="true">OFFSET(Datos!$B$1,1+$B$4+514,0)</f>
        <v>28.213</v>
      </c>
      <c r="C526" s="13" t="n">
        <f aca="true">OFFSET(Datos!$D$1,1+$B$4+514,0)</f>
        <v>162.435667982565</v>
      </c>
      <c r="D526" s="13" t="n">
        <f aca="true">OFFSET(Datos!$D$1,1+514,0)</f>
        <v>170.153369242231</v>
      </c>
      <c r="E526" s="13" t="n">
        <f aca="false">C526-D526</f>
        <v>-7.71770125966586</v>
      </c>
    </row>
    <row r="527" customFormat="false" ht="15" hidden="false" customHeight="false" outlineLevel="0" collapsed="false">
      <c r="A527" s="2" t="n">
        <v>516</v>
      </c>
      <c r="B527" s="13" t="n">
        <f aca="true">OFFSET(Datos!$B$1,1+$B$4+515,0)</f>
        <v>28.2629999999997</v>
      </c>
      <c r="C527" s="13" t="n">
        <f aca="true">OFFSET(Datos!$D$1,1+$B$4+515,0)</f>
        <v>158.771276307264</v>
      </c>
      <c r="D527" s="13" t="n">
        <f aca="true">OFFSET(Datos!$D$1,1+515,0)</f>
        <v>172.39767534132</v>
      </c>
      <c r="E527" s="13" t="n">
        <f aca="false">C527-D527</f>
        <v>-13.6263990340564</v>
      </c>
    </row>
    <row r="528" customFormat="false" ht="15" hidden="false" customHeight="false" outlineLevel="0" collapsed="false">
      <c r="A528" s="2" t="n">
        <v>517</v>
      </c>
      <c r="B528" s="13" t="n">
        <f aca="true">OFFSET(Datos!$B$1,1+$B$4+516,0)</f>
        <v>28.3129999999999</v>
      </c>
      <c r="C528" s="13" t="n">
        <f aca="true">OFFSET(Datos!$D$1,1+$B$4+516,0)</f>
        <v>160.972765755814</v>
      </c>
      <c r="D528" s="13" t="n">
        <f aca="true">OFFSET(Datos!$D$1,1+516,0)</f>
        <v>166.806534391761</v>
      </c>
      <c r="E528" s="13" t="n">
        <f aca="false">C528-D528</f>
        <v>-5.83376863594717</v>
      </c>
    </row>
    <row r="529" customFormat="false" ht="15" hidden="false" customHeight="false" outlineLevel="0" collapsed="false">
      <c r="A529" s="2" t="n">
        <v>518</v>
      </c>
      <c r="B529" s="13" t="n">
        <f aca="true">OFFSET(Datos!$B$1,1+$B$4+517,0)</f>
        <v>28.3630000000001</v>
      </c>
      <c r="C529" s="13" t="n">
        <f aca="true">OFFSET(Datos!$D$1,1+$B$4+517,0)</f>
        <v>163.641670306082</v>
      </c>
      <c r="D529" s="13" t="n">
        <f aca="true">OFFSET(Datos!$D$1,1+517,0)</f>
        <v>166.656676114874</v>
      </c>
      <c r="E529" s="13" t="n">
        <f aca="false">C529-D529</f>
        <v>-3.01500580879224</v>
      </c>
    </row>
    <row r="530" customFormat="false" ht="15" hidden="false" customHeight="false" outlineLevel="0" collapsed="false">
      <c r="A530" s="2" t="n">
        <v>519</v>
      </c>
      <c r="B530" s="13" t="n">
        <f aca="true">OFFSET(Datos!$B$1,1+$B$4+518,0)</f>
        <v>28.4129999999998</v>
      </c>
      <c r="C530" s="13" t="n">
        <f aca="true">OFFSET(Datos!$D$1,1+$B$4+518,0)</f>
        <v>160.612392280443</v>
      </c>
      <c r="D530" s="13" t="n">
        <f aca="true">OFFSET(Datos!$D$1,1+518,0)</f>
        <v>166.246349880542</v>
      </c>
      <c r="E530" s="13" t="n">
        <f aca="false">C530-D530</f>
        <v>-5.6339576000982</v>
      </c>
    </row>
    <row r="531" customFormat="false" ht="15" hidden="false" customHeight="false" outlineLevel="0" collapsed="false">
      <c r="A531" s="2" t="n">
        <v>520</v>
      </c>
      <c r="B531" s="13" t="n">
        <f aca="true">OFFSET(Datos!$B$1,1+$B$4+519,0)</f>
        <v>28.463</v>
      </c>
      <c r="C531" s="13" t="n">
        <f aca="true">OFFSET(Datos!$D$1,1+$B$4+519,0)</f>
        <v>162.228720838293</v>
      </c>
      <c r="D531" s="13" t="n">
        <f aca="true">OFFSET(Datos!$D$1,1+519,0)</f>
        <v>167.124091216592</v>
      </c>
      <c r="E531" s="13" t="n">
        <f aca="false">C531-D531</f>
        <v>-4.89537037829936</v>
      </c>
    </row>
    <row r="532" customFormat="false" ht="15" hidden="false" customHeight="false" outlineLevel="0" collapsed="false">
      <c r="A532" s="2" t="n">
        <v>521</v>
      </c>
      <c r="B532" s="13" t="n">
        <f aca="true">OFFSET(Datos!$B$1,1+$B$4+520,0)</f>
        <v>28.5129999999997</v>
      </c>
      <c r="C532" s="13" t="n">
        <f aca="true">OFFSET(Datos!$D$1,1+$B$4+520,0)</f>
        <v>157.508185116361</v>
      </c>
      <c r="D532" s="13" t="n">
        <f aca="true">OFFSET(Datos!$D$1,1+520,0)</f>
        <v>163.584581438697</v>
      </c>
      <c r="E532" s="13" t="n">
        <f aca="false">C532-D532</f>
        <v>-6.07639632233517</v>
      </c>
    </row>
    <row r="533" customFormat="false" ht="15" hidden="false" customHeight="false" outlineLevel="0" collapsed="false">
      <c r="A533" s="2" t="n">
        <v>522</v>
      </c>
      <c r="B533" s="13" t="n">
        <f aca="true">OFFSET(Datos!$B$1,1+$B$4+521,0)</f>
        <v>28.5629999999999</v>
      </c>
      <c r="C533" s="13" t="n">
        <f aca="true">OFFSET(Datos!$D$1,1+$B$4+521,0)</f>
        <v>161.108351815854</v>
      </c>
      <c r="D533" s="13" t="n">
        <f aca="true">OFFSET(Datos!$D$1,1+521,0)</f>
        <v>164.419506124208</v>
      </c>
      <c r="E533" s="13" t="n">
        <f aca="false">C533-D533</f>
        <v>-3.31115430835411</v>
      </c>
    </row>
    <row r="534" customFormat="false" ht="15" hidden="false" customHeight="false" outlineLevel="0" collapsed="false">
      <c r="A534" s="2" t="n">
        <v>523</v>
      </c>
      <c r="B534" s="13" t="n">
        <f aca="true">OFFSET(Datos!$B$1,1+$B$4+522,0)</f>
        <v>28.6130000000001</v>
      </c>
      <c r="C534" s="13" t="n">
        <f aca="true">OFFSET(Datos!$D$1,1+$B$4+522,0)</f>
        <v>157.897103025425</v>
      </c>
      <c r="D534" s="13" t="n">
        <f aca="true">OFFSET(Datos!$D$1,1+522,0)</f>
        <v>167.923335359988</v>
      </c>
      <c r="E534" s="13" t="n">
        <f aca="false">C534-D534</f>
        <v>-10.0262323345636</v>
      </c>
    </row>
    <row r="535" customFormat="false" ht="15" hidden="false" customHeight="false" outlineLevel="0" collapsed="false">
      <c r="A535" s="2" t="n">
        <v>524</v>
      </c>
      <c r="B535" s="13" t="n">
        <f aca="true">OFFSET(Datos!$B$1,1+$B$4+523,0)</f>
        <v>28.6629999999998</v>
      </c>
      <c r="C535" s="13" t="n">
        <f aca="true">OFFSET(Datos!$D$1,1+$B$4+523,0)</f>
        <v>160.505350654096</v>
      </c>
      <c r="D535" s="13" t="n">
        <f aca="true">OFFSET(Datos!$D$1,1+523,0)</f>
        <v>171.152424421476</v>
      </c>
      <c r="E535" s="13" t="n">
        <f aca="false">C535-D535</f>
        <v>-10.64707376738</v>
      </c>
    </row>
    <row r="536" customFormat="false" ht="15" hidden="false" customHeight="false" outlineLevel="0" collapsed="false">
      <c r="A536" s="2" t="n">
        <v>525</v>
      </c>
      <c r="B536" s="13" t="n">
        <f aca="true">OFFSET(Datos!$B$1,1+$B$4+524,0)</f>
        <v>28.713</v>
      </c>
      <c r="C536" s="13" t="n">
        <f aca="true">OFFSET(Datos!$D$1,1+$B$4+524,0)</f>
        <v>163.263456559654</v>
      </c>
      <c r="D536" s="13" t="n">
        <f aca="true">OFFSET(Datos!$D$1,1+524,0)</f>
        <v>166.631699735393</v>
      </c>
      <c r="E536" s="13" t="n">
        <f aca="false">C536-D536</f>
        <v>-3.36824317573951</v>
      </c>
    </row>
    <row r="537" customFormat="false" ht="15" hidden="false" customHeight="false" outlineLevel="0" collapsed="false">
      <c r="A537" s="2" t="n">
        <v>526</v>
      </c>
      <c r="B537" s="13" t="n">
        <f aca="true">OFFSET(Datos!$B$1,1+$B$4+525,0)</f>
        <v>28.7629999999997</v>
      </c>
      <c r="C537" s="13" t="n">
        <f aca="true">OFFSET(Datos!$D$1,1+$B$4+525,0)</f>
        <v>159.652585697526</v>
      </c>
      <c r="D537" s="13" t="n">
        <f aca="true">OFFSET(Datos!$D$1,1+525,0)</f>
        <v>164.622885214269</v>
      </c>
      <c r="E537" s="13" t="n">
        <f aca="false">C537-D537</f>
        <v>-4.97029951674273</v>
      </c>
    </row>
    <row r="538" customFormat="false" ht="15" hidden="false" customHeight="false" outlineLevel="0" collapsed="false">
      <c r="A538" s="2" t="n">
        <v>527</v>
      </c>
      <c r="B538" s="13" t="n">
        <f aca="true">OFFSET(Datos!$B$1,1+$B$4+526,0)</f>
        <v>28.8129999999999</v>
      </c>
      <c r="C538" s="13" t="n">
        <f aca="true">OFFSET(Datos!$D$1,1+$B$4+526,0)</f>
        <v>158.881885987823</v>
      </c>
      <c r="D538" s="13" t="n">
        <f aca="true">OFFSET(Datos!$D$1,1+526,0)</f>
        <v>166.028698573635</v>
      </c>
      <c r="E538" s="13" t="n">
        <f aca="false">C538-D538</f>
        <v>-7.14681258581169</v>
      </c>
    </row>
    <row r="539" customFormat="false" ht="15" hidden="false" customHeight="false" outlineLevel="0" collapsed="false">
      <c r="A539" s="2" t="n">
        <v>528</v>
      </c>
      <c r="B539" s="13" t="n">
        <f aca="true">OFFSET(Datos!$B$1,1+$B$4+527,0)</f>
        <v>28.8630000000001</v>
      </c>
      <c r="C539" s="13" t="n">
        <f aca="true">OFFSET(Datos!$D$1,1+$B$4+527,0)</f>
        <v>163.338385698097</v>
      </c>
      <c r="D539" s="13" t="n">
        <f aca="true">OFFSET(Datos!$D$1,1+527,0)</f>
        <v>168.833189183943</v>
      </c>
      <c r="E539" s="13" t="n">
        <f aca="false">C539-D539</f>
        <v>-5.49480348584626</v>
      </c>
    </row>
    <row r="540" customFormat="false" ht="15" hidden="false" customHeight="false" outlineLevel="0" collapsed="false">
      <c r="A540" s="2" t="n">
        <v>529</v>
      </c>
      <c r="B540" s="13" t="n">
        <f aca="true">OFFSET(Datos!$B$1,1+$B$4+528,0)</f>
        <v>28.9129999999998</v>
      </c>
      <c r="C540" s="13" t="n">
        <f aca="true">OFFSET(Datos!$D$1,1+$B$4+528,0)</f>
        <v>164.522979696344</v>
      </c>
      <c r="D540" s="13" t="n">
        <f aca="true">OFFSET(Datos!$D$1,1+528,0)</f>
        <v>167.452352204058</v>
      </c>
      <c r="E540" s="13" t="n">
        <f aca="false">C540-D540</f>
        <v>-2.92937250771413</v>
      </c>
    </row>
    <row r="541" customFormat="false" ht="15" hidden="false" customHeight="false" outlineLevel="0" collapsed="false">
      <c r="A541" s="2" t="n">
        <v>530</v>
      </c>
      <c r="B541" s="13" t="n">
        <f aca="true">OFFSET(Datos!$B$1,1+$B$4+529,0)</f>
        <v>28.963</v>
      </c>
      <c r="C541" s="13" t="n">
        <f aca="true">OFFSET(Datos!$D$1,1+$B$4+529,0)</f>
        <v>157.914943296483</v>
      </c>
      <c r="D541" s="13" t="n">
        <f aca="true">OFFSET(Datos!$D$1,1+529,0)</f>
        <v>167.238268951363</v>
      </c>
      <c r="E541" s="13" t="n">
        <f aca="false">C541-D541</f>
        <v>-9.32332565488068</v>
      </c>
    </row>
    <row r="542" customFormat="false" ht="15" hidden="false" customHeight="false" outlineLevel="0" collapsed="false">
      <c r="A542" s="2" t="n">
        <v>531</v>
      </c>
      <c r="B542" s="13" t="n">
        <f aca="true">OFFSET(Datos!$B$1,1+$B$4+530,0)</f>
        <v>29.0129999999997</v>
      </c>
      <c r="C542" s="13" t="n">
        <f aca="true">OFFSET(Datos!$D$1,1+$B$4+530,0)</f>
        <v>161.978957043482</v>
      </c>
      <c r="D542" s="13" t="n">
        <f aca="true">OFFSET(Datos!$D$1,1+530,0)</f>
        <v>164.89405733435</v>
      </c>
      <c r="E542" s="13" t="n">
        <f aca="false">C542-D542</f>
        <v>-2.91510029086777</v>
      </c>
    </row>
    <row r="543" customFormat="false" ht="15" hidden="false" customHeight="false" outlineLevel="0" collapsed="false">
      <c r="A543" s="2" t="n">
        <v>532</v>
      </c>
      <c r="B543" s="13" t="n">
        <f aca="true">OFFSET(Datos!$B$1,1+$B$4+531,0)</f>
        <v>29.0629999999999</v>
      </c>
      <c r="C543" s="13" t="n">
        <f aca="true">OFFSET(Datos!$D$1,1+$B$4+531,0)</f>
        <v>165.575555688763</v>
      </c>
      <c r="D543" s="13" t="n">
        <f aca="true">OFFSET(Datos!$D$1,1+531,0)</f>
        <v>165.539875146647</v>
      </c>
      <c r="E543" s="13" t="n">
        <f aca="false">C543-D543</f>
        <v>0.0356805421158981</v>
      </c>
    </row>
    <row r="544" customFormat="false" ht="15" hidden="false" customHeight="false" outlineLevel="0" collapsed="false">
      <c r="A544" s="2" t="n">
        <v>533</v>
      </c>
      <c r="B544" s="13" t="n">
        <f aca="true">OFFSET(Datos!$B$1,1+$B$4+532,0)</f>
        <v>29.1130000000001</v>
      </c>
      <c r="C544" s="13" t="n">
        <f aca="true">OFFSET(Datos!$D$1,1+$B$4+532,0)</f>
        <v>168.194507480069</v>
      </c>
      <c r="D544" s="13" t="n">
        <f aca="true">OFFSET(Datos!$D$1,1+532,0)</f>
        <v>167.912631197353</v>
      </c>
      <c r="E544" s="13" t="n">
        <f aca="false">C544-D544</f>
        <v>0.281876282715473</v>
      </c>
    </row>
    <row r="545" customFormat="false" ht="15" hidden="false" customHeight="false" outlineLevel="0" collapsed="false">
      <c r="A545" s="2" t="n">
        <v>534</v>
      </c>
      <c r="B545" s="13" t="n">
        <f aca="true">OFFSET(Datos!$B$1,1+$B$4+533,0)</f>
        <v>29.1629999999998</v>
      </c>
      <c r="C545" s="13" t="n">
        <f aca="true">OFFSET(Datos!$D$1,1+$B$4+533,0)</f>
        <v>167.645027131484</v>
      </c>
      <c r="D545" s="13" t="n">
        <f aca="true">OFFSET(Datos!$D$1,1+533,0)</f>
        <v>163.420450944964</v>
      </c>
      <c r="E545" s="13" t="n">
        <f aca="false">C545-D545</f>
        <v>4.22457618652078</v>
      </c>
    </row>
    <row r="546" customFormat="false" ht="15" hidden="false" customHeight="false" outlineLevel="0" collapsed="false">
      <c r="A546" s="2" t="n">
        <v>535</v>
      </c>
      <c r="B546" s="13" t="n">
        <f aca="true">OFFSET(Datos!$B$1,1+$B$4+534,0)</f>
        <v>29.213</v>
      </c>
      <c r="C546" s="13" t="n">
        <f aca="true">OFFSET(Datos!$D$1,1+$B$4+534,0)</f>
        <v>161.186849008509</v>
      </c>
      <c r="D546" s="13" t="n">
        <f aca="true">OFFSET(Datos!$D$1,1+534,0)</f>
        <v>163.05294136117</v>
      </c>
      <c r="E546" s="13" t="n">
        <f aca="false">C546-D546</f>
        <v>-1.86609235266076</v>
      </c>
    </row>
    <row r="547" customFormat="false" ht="15" hidden="false" customHeight="false" outlineLevel="0" collapsed="false">
      <c r="A547" s="2" t="n">
        <v>536</v>
      </c>
      <c r="B547" s="13" t="n">
        <f aca="true">OFFSET(Datos!$B$1,1+$B$4+535,0)</f>
        <v>29.2629999999997</v>
      </c>
      <c r="C547" s="13" t="n">
        <f aca="true">OFFSET(Datos!$D$1,1+$B$4+535,0)</f>
        <v>162.606934584721</v>
      </c>
      <c r="D547" s="13" t="n">
        <f aca="true">OFFSET(Datos!$D$1,1+535,0)</f>
        <v>166.481841458506</v>
      </c>
      <c r="E547" s="13" t="n">
        <f aca="false">C547-D547</f>
        <v>-3.87490687378505</v>
      </c>
    </row>
    <row r="548" customFormat="false" ht="15" hidden="false" customHeight="false" outlineLevel="0" collapsed="false">
      <c r="A548" s="2" t="n">
        <v>537</v>
      </c>
      <c r="B548" s="13" t="n">
        <f aca="true">OFFSET(Datos!$B$1,1+$B$4+536,0)</f>
        <v>29.3129999999999</v>
      </c>
      <c r="C548" s="13" t="n">
        <f aca="true">OFFSET(Datos!$D$1,1+$B$4+536,0)</f>
        <v>163.227776017538</v>
      </c>
      <c r="D548" s="13" t="n">
        <f aca="true">OFFSET(Datos!$D$1,1+536,0)</f>
        <v>161.350979502242</v>
      </c>
      <c r="E548" s="13" t="n">
        <f aca="false">C548-D548</f>
        <v>1.87679651529555</v>
      </c>
    </row>
    <row r="549" customFormat="false" ht="15" hidden="false" customHeight="false" outlineLevel="0" collapsed="false">
      <c r="A549" s="2" t="n">
        <v>538</v>
      </c>
      <c r="B549" s="13" t="n">
        <f aca="true">OFFSET(Datos!$B$1,1+$B$4+537,0)</f>
        <v>29.3630000000001</v>
      </c>
      <c r="C549" s="13" t="n">
        <f aca="true">OFFSET(Datos!$D$1,1+$B$4+537,0)</f>
        <v>163.680918902409</v>
      </c>
      <c r="D549" s="13" t="n">
        <f aca="true">OFFSET(Datos!$D$1,1+537,0)</f>
        <v>168.636946202306</v>
      </c>
      <c r="E549" s="13" t="n">
        <f aca="false">C549-D549</f>
        <v>-4.95602729989639</v>
      </c>
    </row>
    <row r="550" customFormat="false" ht="15" hidden="false" customHeight="false" outlineLevel="0" collapsed="false">
      <c r="A550" s="2" t="n">
        <v>539</v>
      </c>
      <c r="B550" s="13" t="n">
        <f aca="true">OFFSET(Datos!$B$1,1+$B$4+538,0)</f>
        <v>29.4129999999998</v>
      </c>
      <c r="C550" s="13" t="n">
        <f aca="true">OFFSET(Datos!$D$1,1+$B$4+538,0)</f>
        <v>156.955136713565</v>
      </c>
      <c r="D550" s="13" t="n">
        <f aca="true">OFFSET(Datos!$D$1,1+538,0)</f>
        <v>163.473971758137</v>
      </c>
      <c r="E550" s="13" t="n">
        <f aca="false">C550-D550</f>
        <v>-6.51883504457214</v>
      </c>
    </row>
    <row r="551" customFormat="false" ht="15" hidden="false" customHeight="false" outlineLevel="0" collapsed="false">
      <c r="A551" s="2" t="n">
        <v>540</v>
      </c>
      <c r="B551" s="13" t="n">
        <f aca="true">OFFSET(Datos!$B$1,1+$B$4+539,0)</f>
        <v>29.463</v>
      </c>
      <c r="C551" s="13" t="n">
        <f aca="true">OFFSET(Datos!$D$1,1+$B$4+539,0)</f>
        <v>157.811469724346</v>
      </c>
      <c r="D551" s="13" t="n">
        <f aca="true">OFFSET(Datos!$D$1,1+539,0)</f>
        <v>163.0315330359</v>
      </c>
      <c r="E551" s="13" t="n">
        <f aca="false">C551-D551</f>
        <v>-5.22006331155393</v>
      </c>
    </row>
    <row r="552" customFormat="false" ht="15" hidden="false" customHeight="false" outlineLevel="0" collapsed="false">
      <c r="A552" s="2" t="n">
        <v>541</v>
      </c>
      <c r="B552" s="13" t="n">
        <f aca="true">OFFSET(Datos!$B$1,1+$B$4+540,0)</f>
        <v>29.5129999999997</v>
      </c>
      <c r="C552" s="13" t="n">
        <f aca="true">OFFSET(Datos!$D$1,1+$B$4+540,0)</f>
        <v>163.609557818178</v>
      </c>
      <c r="D552" s="13" t="n">
        <f aca="true">OFFSET(Datos!$D$1,1+540,0)</f>
        <v>155.410169239947</v>
      </c>
      <c r="E552" s="13" t="n">
        <f aca="false">C552-D552</f>
        <v>8.1993885782303</v>
      </c>
    </row>
    <row r="553" customFormat="false" ht="15" hidden="false" customHeight="false" outlineLevel="0" collapsed="false">
      <c r="A553" s="2" t="n">
        <v>542</v>
      </c>
      <c r="B553" s="13" t="n">
        <f aca="true">OFFSET(Datos!$B$1,1+$B$4+541,0)</f>
        <v>29.5629999999999</v>
      </c>
      <c r="C553" s="13" t="n">
        <f aca="true">OFFSET(Datos!$D$1,1+$B$4+541,0)</f>
        <v>161.333139231184</v>
      </c>
      <c r="D553" s="13" t="n">
        <f aca="true">OFFSET(Datos!$D$1,1+541,0)</f>
        <v>160.890700508947</v>
      </c>
      <c r="E553" s="13" t="n">
        <f aca="false">C553-D553</f>
        <v>0.442438722236972</v>
      </c>
    </row>
    <row r="554" customFormat="false" ht="15" hidden="false" customHeight="false" outlineLevel="0" collapsed="false">
      <c r="A554" s="2" t="n">
        <v>543</v>
      </c>
      <c r="B554" s="13" t="n">
        <f aca="true">OFFSET(Datos!$B$1,1+$B$4+542,0)</f>
        <v>29.6130000000001</v>
      </c>
      <c r="C554" s="13" t="n">
        <f aca="true">OFFSET(Datos!$D$1,1+$B$4+542,0)</f>
        <v>162.960171951669</v>
      </c>
      <c r="D554" s="13" t="n">
        <f aca="true">OFFSET(Datos!$D$1,1+542,0)</f>
        <v>159.113809511576</v>
      </c>
      <c r="E554" s="13" t="n">
        <f aca="false">C554-D554</f>
        <v>3.84636244009238</v>
      </c>
    </row>
    <row r="555" customFormat="false" ht="15" hidden="false" customHeight="false" outlineLevel="0" collapsed="false">
      <c r="A555" s="2" t="n">
        <v>544</v>
      </c>
      <c r="B555" s="13" t="n">
        <f aca="true">OFFSET(Datos!$B$1,1+$B$4+543,0)</f>
        <v>29.6629999999998</v>
      </c>
      <c r="C555" s="13" t="n">
        <f aca="true">OFFSET(Datos!$D$1,1+$B$4+543,0)</f>
        <v>160.562439521481</v>
      </c>
      <c r="D555" s="13" t="n">
        <f aca="true">OFFSET(Datos!$D$1,1+543,0)</f>
        <v>160.387604865113</v>
      </c>
      <c r="E555" s="13" t="n">
        <f aca="false">C555-D555</f>
        <v>0.174834656367835</v>
      </c>
    </row>
    <row r="556" customFormat="false" ht="15" hidden="false" customHeight="false" outlineLevel="0" collapsed="false">
      <c r="A556" s="2" t="n">
        <v>545</v>
      </c>
      <c r="B556" s="13" t="n">
        <f aca="true">OFFSET(Datos!$B$1,1+$B$4+544,0)</f>
        <v>29.7139999999997</v>
      </c>
      <c r="C556" s="13" t="n">
        <f aca="true">OFFSET(Datos!$D$1,1+$B$4+544,0)</f>
        <v>157.982736326503</v>
      </c>
      <c r="D556" s="13" t="n">
        <f aca="true">OFFSET(Datos!$D$1,1+544,0)</f>
        <v>164.990394798062</v>
      </c>
      <c r="E556" s="13" t="n">
        <f aca="false">C556-D556</f>
        <v>-7.00765847155978</v>
      </c>
    </row>
    <row r="557" customFormat="false" ht="15" hidden="false" customHeight="false" outlineLevel="0" collapsed="false">
      <c r="A557" s="2" t="n">
        <v>546</v>
      </c>
      <c r="B557" s="13" t="n">
        <f aca="true">OFFSET(Datos!$B$1,1+$B$4+545,0)</f>
        <v>29.7639999999999</v>
      </c>
      <c r="C557" s="13" t="n">
        <f aca="true">OFFSET(Datos!$D$1,1+$B$4+545,0)</f>
        <v>161.779146007633</v>
      </c>
      <c r="D557" s="13" t="n">
        <f aca="true">OFFSET(Datos!$D$1,1+545,0)</f>
        <v>160.805067207869</v>
      </c>
      <c r="E557" s="13" t="n">
        <f aca="false">C557-D557</f>
        <v>0.974078799763646</v>
      </c>
    </row>
    <row r="558" customFormat="false" ht="15" hidden="false" customHeight="false" outlineLevel="0" collapsed="false">
      <c r="A558" s="2" t="n">
        <v>547</v>
      </c>
      <c r="B558" s="13" t="n">
        <f aca="true">OFFSET(Datos!$B$1,1+$B$4+546,0)</f>
        <v>29.8140000000001</v>
      </c>
      <c r="C558" s="13" t="n">
        <f aca="true">OFFSET(Datos!$D$1,1+$B$4+546,0)</f>
        <v>161.072671273738</v>
      </c>
      <c r="D558" s="13" t="n">
        <f aca="true">OFFSET(Datos!$D$1,1+546,0)</f>
        <v>160.60525617202</v>
      </c>
      <c r="E558" s="13" t="n">
        <f aca="false">C558-D558</f>
        <v>0.467415101718103</v>
      </c>
    </row>
    <row r="559" customFormat="false" ht="15" hidden="false" customHeight="false" outlineLevel="0" collapsed="false">
      <c r="A559" s="2" t="n">
        <v>548</v>
      </c>
      <c r="B559" s="13" t="n">
        <f aca="true">OFFSET(Datos!$B$1,1+$B$4+547,0)</f>
        <v>29.8639999999998</v>
      </c>
      <c r="C559" s="13" t="n">
        <f aca="true">OFFSET(Datos!$D$1,1+$B$4+547,0)</f>
        <v>161.21182538799</v>
      </c>
      <c r="D559" s="13" t="n">
        <f aca="true">OFFSET(Datos!$D$1,1+547,0)</f>
        <v>159.741787052816</v>
      </c>
      <c r="E559" s="13" t="n">
        <f aca="false">C559-D559</f>
        <v>1.47003833517445</v>
      </c>
    </row>
    <row r="560" customFormat="false" ht="15" hidden="false" customHeight="false" outlineLevel="0" collapsed="false">
      <c r="A560" s="2" t="n">
        <v>549</v>
      </c>
      <c r="B560" s="13" t="n">
        <f aca="true">OFFSET(Datos!$B$1,1+$B$4+548,0)</f>
        <v>29.914</v>
      </c>
      <c r="C560" s="13" t="n">
        <f aca="true">OFFSET(Datos!$D$1,1+$B$4+548,0)</f>
        <v>161.400932261204</v>
      </c>
      <c r="D560" s="13" t="n">
        <f aca="true">OFFSET(Datos!$D$1,1+548,0)</f>
        <v>159.092401186307</v>
      </c>
      <c r="E560" s="13" t="n">
        <f aca="false">C560-D560</f>
        <v>2.30853107489776</v>
      </c>
    </row>
    <row r="561" customFormat="false" ht="15" hidden="false" customHeight="false" outlineLevel="0" collapsed="false">
      <c r="A561" s="2" t="n">
        <v>550</v>
      </c>
      <c r="B561" s="13" t="n">
        <f aca="true">OFFSET(Datos!$B$1,1+$B$4+549,0)</f>
        <v>29.9639999999997</v>
      </c>
      <c r="C561" s="13" t="n">
        <f aca="true">OFFSET(Datos!$D$1,1+$B$4+549,0)</f>
        <v>161.254642038529</v>
      </c>
      <c r="D561" s="13" t="n">
        <f aca="true">OFFSET(Datos!$D$1,1+549,0)</f>
        <v>160.476806220403</v>
      </c>
      <c r="E561" s="13" t="n">
        <f aca="false">C561-D561</f>
        <v>0.777835818126277</v>
      </c>
    </row>
    <row r="562" customFormat="false" ht="15" hidden="false" customHeight="false" outlineLevel="0" collapsed="false">
      <c r="A562" s="2" t="n">
        <v>551</v>
      </c>
      <c r="B562" s="13" t="n">
        <f aca="true">OFFSET(Datos!$B$1,1+$B$4+550,0)</f>
        <v>30.0139999999999</v>
      </c>
      <c r="C562" s="13" t="n">
        <f aca="true">OFFSET(Datos!$D$1,1+$B$4+550,0)</f>
        <v>160.904972725794</v>
      </c>
      <c r="D562" s="13" t="n">
        <f aca="true">OFFSET(Datos!$D$1,1+550,0)</f>
        <v>158.150434874447</v>
      </c>
      <c r="E562" s="13" t="n">
        <f aca="false">C562-D562</f>
        <v>2.7545378513463</v>
      </c>
    </row>
    <row r="563" customFormat="false" ht="15" hidden="false" customHeight="false" outlineLevel="0" collapsed="false">
      <c r="A563" s="2" t="n">
        <v>552</v>
      </c>
      <c r="B563" s="13" t="n">
        <f aca="true">OFFSET(Datos!$B$1,1+$B$4+551,0)</f>
        <v>30.0640000000001</v>
      </c>
      <c r="C563" s="13" t="n">
        <f aca="true">OFFSET(Datos!$D$1,1+$B$4+551,0)</f>
        <v>163.859321612989</v>
      </c>
      <c r="D563" s="13" t="n">
        <f aca="true">OFFSET(Datos!$D$1,1+551,0)</f>
        <v>163.427587053387</v>
      </c>
      <c r="E563" s="13" t="n">
        <f aca="false">C563-D563</f>
        <v>0.431734559602234</v>
      </c>
    </row>
    <row r="564" customFormat="false" ht="15" hidden="false" customHeight="false" outlineLevel="0" collapsed="false">
      <c r="A564" s="2" t="n">
        <v>553</v>
      </c>
      <c r="B564" s="13" t="n">
        <f aca="true">OFFSET(Datos!$B$1,1+$B$4+552,0)</f>
        <v>30.1139999999998</v>
      </c>
      <c r="C564" s="13" t="n">
        <f aca="true">OFFSET(Datos!$D$1,1+$B$4+552,0)</f>
        <v>162.835290054263</v>
      </c>
      <c r="D564" s="13" t="n">
        <f aca="true">OFFSET(Datos!$D$1,1+552,0)</f>
        <v>158.339541747662</v>
      </c>
      <c r="E564" s="13" t="n">
        <f aca="false">C564-D564</f>
        <v>4.49574830660148</v>
      </c>
    </row>
    <row r="565" customFormat="false" ht="15" hidden="false" customHeight="false" outlineLevel="0" collapsed="false">
      <c r="A565" s="2" t="n">
        <v>554</v>
      </c>
      <c r="B565" s="13" t="n">
        <f aca="true">OFFSET(Datos!$B$1,1+$B$4+553,0)</f>
        <v>30.164</v>
      </c>
      <c r="C565" s="13" t="n">
        <f aca="true">OFFSET(Datos!$D$1,1+$B$4+553,0)</f>
        <v>160.458965949345</v>
      </c>
      <c r="D565" s="13" t="n">
        <f aca="true">OFFSET(Datos!$D$1,1+553,0)</f>
        <v>158.221795958679</v>
      </c>
      <c r="E565" s="13" t="n">
        <f aca="false">C565-D565</f>
        <v>2.23716999066596</v>
      </c>
    </row>
    <row r="566" customFormat="false" ht="15" hidden="false" customHeight="false" outlineLevel="0" collapsed="false">
      <c r="A566" s="2" t="n">
        <v>555</v>
      </c>
      <c r="B566" s="13" t="n">
        <f aca="true">OFFSET(Datos!$B$1,1+$B$4+554,0)</f>
        <v>30.2139999999997</v>
      </c>
      <c r="C566" s="13" t="n">
        <f aca="true">OFFSET(Datos!$D$1,1+$B$4+554,0)</f>
        <v>156.923024225661</v>
      </c>
      <c r="D566" s="13" t="n">
        <f aca="true">OFFSET(Datos!$D$1,1+554,0)</f>
        <v>160.366196539844</v>
      </c>
      <c r="E566" s="13" t="n">
        <f aca="false">C566-D566</f>
        <v>-3.44317231418285</v>
      </c>
    </row>
    <row r="567" customFormat="false" ht="15" hidden="false" customHeight="false" outlineLevel="0" collapsed="false">
      <c r="A567" s="2" t="n">
        <v>556</v>
      </c>
      <c r="B567" s="13" t="n">
        <f aca="true">OFFSET(Datos!$B$1,1+$B$4+555,0)</f>
        <v>30.2639999999999</v>
      </c>
      <c r="C567" s="13" t="n">
        <f aca="true">OFFSET(Datos!$D$1,1+$B$4+555,0)</f>
        <v>159.438502444831</v>
      </c>
      <c r="D567" s="13" t="n">
        <f aca="true">OFFSET(Datos!$D$1,1+555,0)</f>
        <v>160.384036810902</v>
      </c>
      <c r="E567" s="13" t="n">
        <f aca="false">C567-D567</f>
        <v>-0.945534366070945</v>
      </c>
    </row>
    <row r="568" customFormat="false" ht="15" hidden="false" customHeight="false" outlineLevel="0" collapsed="false">
      <c r="A568" s="2" t="n">
        <v>557</v>
      </c>
      <c r="B568" s="13" t="n">
        <f aca="true">OFFSET(Datos!$B$1,1+$B$4+556,0)</f>
        <v>30.3140000000001</v>
      </c>
      <c r="C568" s="13" t="n">
        <f aca="true">OFFSET(Datos!$D$1,1+$B$4+556,0)</f>
        <v>159.79530786599</v>
      </c>
      <c r="D568" s="13" t="n">
        <f aca="true">OFFSET(Datos!$D$1,1+556,0)</f>
        <v>159.987982793415</v>
      </c>
      <c r="E568" s="13" t="n">
        <f aca="false">C568-D568</f>
        <v>-0.19267492742577</v>
      </c>
    </row>
    <row r="569" customFormat="false" ht="15" hidden="false" customHeight="false" outlineLevel="0" collapsed="false">
      <c r="A569" s="2" t="n">
        <v>558</v>
      </c>
      <c r="B569" s="13" t="n">
        <f aca="true">OFFSET(Datos!$B$1,1+$B$4+557,0)</f>
        <v>30.3639999999998</v>
      </c>
      <c r="C569" s="13" t="n">
        <f aca="true">OFFSET(Datos!$D$1,1+$B$4+557,0)</f>
        <v>164.876217063292</v>
      </c>
      <c r="D569" s="13" t="n">
        <f aca="true">OFFSET(Datos!$D$1,1+557,0)</f>
        <v>161.654264110227</v>
      </c>
      <c r="E569" s="13" t="n">
        <f aca="false">C569-D569</f>
        <v>3.22195295306437</v>
      </c>
    </row>
    <row r="570" customFormat="false" ht="15" hidden="false" customHeight="false" outlineLevel="0" collapsed="false">
      <c r="A570" s="2" t="n">
        <v>559</v>
      </c>
      <c r="B570" s="13" t="n">
        <f aca="true">OFFSET(Datos!$B$1,1+$B$4+558,0)</f>
        <v>30.414</v>
      </c>
      <c r="C570" s="13" t="n">
        <f aca="true">OFFSET(Datos!$D$1,1+$B$4+558,0)</f>
        <v>160.009391118685</v>
      </c>
      <c r="D570" s="13" t="n">
        <f aca="true">OFFSET(Datos!$D$1,1+558,0)</f>
        <v>160.070048040282</v>
      </c>
      <c r="E570" s="13" t="n">
        <f aca="false">C570-D570</f>
        <v>-0.0606569215970012</v>
      </c>
    </row>
    <row r="571" customFormat="false" ht="15" hidden="false" customHeight="false" outlineLevel="0" collapsed="false">
      <c r="A571" s="2" t="n">
        <v>560</v>
      </c>
      <c r="B571" s="13" t="n">
        <f aca="true">OFFSET(Datos!$B$1,1+$B$4+559,0)</f>
        <v>30.4639999999997</v>
      </c>
      <c r="C571" s="13" t="n">
        <f aca="true">OFFSET(Datos!$D$1,1+$B$4+559,0)</f>
        <v>158.08977795285</v>
      </c>
      <c r="D571" s="13" t="n">
        <f aca="true">OFFSET(Datos!$D$1,1+559,0)</f>
        <v>160.241314642438</v>
      </c>
      <c r="E571" s="13" t="n">
        <f aca="false">C571-D571</f>
        <v>-2.15153668958786</v>
      </c>
    </row>
    <row r="572" customFormat="false" ht="15" hidden="false" customHeight="false" outlineLevel="0" collapsed="false">
      <c r="A572" s="2" t="n">
        <v>561</v>
      </c>
      <c r="B572" s="13" t="n">
        <f aca="true">OFFSET(Datos!$B$1,1+$B$4+560,0)</f>
        <v>30.5139999999999</v>
      </c>
      <c r="C572" s="13" t="n">
        <f aca="true">OFFSET(Datos!$D$1,1+$B$4+560,0)</f>
        <v>160.419717353018</v>
      </c>
      <c r="D572" s="13" t="n">
        <f aca="true">OFFSET(Datos!$D$1,1+560,0)</f>
        <v>155.945377371686</v>
      </c>
      <c r="E572" s="13" t="n">
        <f aca="false">C572-D572</f>
        <v>4.47433998133195</v>
      </c>
    </row>
    <row r="573" customFormat="false" ht="15" hidden="false" customHeight="false" outlineLevel="0" collapsed="false">
      <c r="A573" s="2" t="n">
        <v>562</v>
      </c>
      <c r="B573" s="13" t="n">
        <f aca="true">OFFSET(Datos!$B$1,1+$B$4+561,0)</f>
        <v>30.5640000000001</v>
      </c>
      <c r="C573" s="13" t="n">
        <f aca="true">OFFSET(Datos!$D$1,1+$B$4+561,0)</f>
        <v>153.779568465252</v>
      </c>
      <c r="D573" s="13" t="n">
        <f aca="true">OFFSET(Datos!$D$1,1+561,0)</f>
        <v>159.902349492337</v>
      </c>
      <c r="E573" s="13" t="n">
        <f aca="false">C573-D573</f>
        <v>-6.12278102708578</v>
      </c>
    </row>
    <row r="574" customFormat="false" ht="15" hidden="false" customHeight="false" outlineLevel="0" collapsed="false">
      <c r="A574" s="2" t="n">
        <v>563</v>
      </c>
      <c r="B574" s="13" t="n">
        <f aca="true">OFFSET(Datos!$B$1,1+$B$4+562,0)</f>
        <v>30.6139999999998</v>
      </c>
      <c r="C574" s="13" t="n">
        <f aca="true">OFFSET(Datos!$D$1,1+$B$4+562,0)</f>
        <v>161.693512706555</v>
      </c>
      <c r="D574" s="13" t="n">
        <f aca="true">OFFSET(Datos!$D$1,1+562,0)</f>
        <v>160.805067207869</v>
      </c>
      <c r="E574" s="13" t="n">
        <f aca="false">C574-D574</f>
        <v>0.888445498685542</v>
      </c>
    </row>
    <row r="575" customFormat="false" ht="15" hidden="false" customHeight="false" outlineLevel="0" collapsed="false">
      <c r="A575" s="2" t="n">
        <v>564</v>
      </c>
      <c r="B575" s="13" t="n">
        <f aca="true">OFFSET(Datos!$B$1,1+$B$4+563,0)</f>
        <v>30.664</v>
      </c>
      <c r="C575" s="13" t="n">
        <f aca="true">OFFSET(Datos!$D$1,1+$B$4+563,0)</f>
        <v>159.470614932735</v>
      </c>
      <c r="D575" s="13" t="n">
        <f aca="true">OFFSET(Datos!$D$1,1+563,0)</f>
        <v>157.247717158915</v>
      </c>
      <c r="E575" s="13" t="n">
        <f aca="false">C575-D575</f>
        <v>2.22289777381963</v>
      </c>
    </row>
    <row r="576" customFormat="false" ht="15" hidden="false" customHeight="false" outlineLevel="0" collapsed="false">
      <c r="A576" s="2" t="n">
        <v>565</v>
      </c>
      <c r="B576" s="13" t="n">
        <f aca="true">OFFSET(Datos!$B$1,1+$B$4+564,0)</f>
        <v>30.7139999999997</v>
      </c>
      <c r="C576" s="13" t="n">
        <f aca="true">OFFSET(Datos!$D$1,1+$B$4+564,0)</f>
        <v>162.467780470469</v>
      </c>
      <c r="D576" s="13" t="n">
        <f aca="true">OFFSET(Datos!$D$1,1+564,0)</f>
        <v>162.435667982565</v>
      </c>
      <c r="E576" s="13" t="n">
        <f aca="false">C576-D576</f>
        <v>0.0321124879042998</v>
      </c>
    </row>
    <row r="577" customFormat="false" ht="15" hidden="false" customHeight="false" outlineLevel="0" collapsed="false">
      <c r="A577" s="2" t="n">
        <v>566</v>
      </c>
      <c r="B577" s="13" t="n">
        <f aca="true">OFFSET(Datos!$B$1,1+$B$4+565,0)</f>
        <v>30.7639999999999</v>
      </c>
      <c r="C577" s="13" t="n">
        <f aca="true">OFFSET(Datos!$D$1,1+$B$4+565,0)</f>
        <v>161.340275339607</v>
      </c>
      <c r="D577" s="13" t="n">
        <f aca="true">OFFSET(Datos!$D$1,1+565,0)</f>
        <v>158.771276307264</v>
      </c>
      <c r="E577" s="13" t="n">
        <f aca="false">C577-D577</f>
        <v>2.5689990323437</v>
      </c>
    </row>
    <row r="578" customFormat="false" ht="15" hidden="false" customHeight="false" outlineLevel="0" collapsed="false">
      <c r="A578" s="2" t="n">
        <v>567</v>
      </c>
      <c r="B578" s="13" t="n">
        <f aca="true">OFFSET(Datos!$B$1,1+$B$4+566,0)</f>
        <v>30.8140000000001</v>
      </c>
      <c r="C578" s="13" t="n">
        <f aca="true">OFFSET(Datos!$D$1,1+$B$4+566,0)</f>
        <v>155.342376209927</v>
      </c>
      <c r="D578" s="13" t="n">
        <f aca="true">OFFSET(Datos!$D$1,1+566,0)</f>
        <v>160.972765755814</v>
      </c>
      <c r="E578" s="13" t="n">
        <f aca="false">C578-D578</f>
        <v>-5.6303895458866</v>
      </c>
    </row>
    <row r="579" customFormat="false" ht="15" hidden="false" customHeight="false" outlineLevel="0" collapsed="false">
      <c r="A579" s="2" t="n">
        <v>568</v>
      </c>
      <c r="B579" s="13" t="n">
        <f aca="true">OFFSET(Datos!$B$1,1+$B$4+567,0)</f>
        <v>30.8639999999998</v>
      </c>
      <c r="C579" s="13" t="n">
        <f aca="true">OFFSET(Datos!$D$1,1+$B$4+567,0)</f>
        <v>155.071204089847</v>
      </c>
      <c r="D579" s="13" t="n">
        <f aca="true">OFFSET(Datos!$D$1,1+567,0)</f>
        <v>163.641670306082</v>
      </c>
      <c r="E579" s="13" t="n">
        <f aca="false">C579-D579</f>
        <v>-8.5704662162355</v>
      </c>
    </row>
    <row r="580" customFormat="false" ht="15" hidden="false" customHeight="false" outlineLevel="0" collapsed="false">
      <c r="A580" s="2" t="n">
        <v>569</v>
      </c>
      <c r="B580" s="13" t="n">
        <f aca="true">OFFSET(Datos!$B$1,1+$B$4+568,0)</f>
        <v>30.914</v>
      </c>
      <c r="C580" s="13" t="n">
        <f aca="true">OFFSET(Datos!$D$1,1+$B$4+568,0)</f>
        <v>161.343843393819</v>
      </c>
      <c r="D580" s="13" t="n">
        <f aca="true">OFFSET(Datos!$D$1,1+568,0)</f>
        <v>160.612392280443</v>
      </c>
      <c r="E580" s="13" t="n">
        <f aca="false">C580-D580</f>
        <v>0.731451113375641</v>
      </c>
    </row>
    <row r="581" customFormat="false" ht="15" hidden="false" customHeight="false" outlineLevel="0" collapsed="false">
      <c r="A581" s="2" t="n">
        <v>570</v>
      </c>
      <c r="B581" s="13" t="n">
        <f aca="true">OFFSET(Datos!$B$1,1+$B$4+569,0)</f>
        <v>30.9639999999997</v>
      </c>
      <c r="C581" s="13" t="n">
        <f aca="true">OFFSET(Datos!$D$1,1+$B$4+569,0)</f>
        <v>159.035312318921</v>
      </c>
      <c r="D581" s="13" t="n">
        <f aca="true">OFFSET(Datos!$D$1,1+569,0)</f>
        <v>162.228720838293</v>
      </c>
      <c r="E581" s="13" t="n">
        <f aca="false">C581-D581</f>
        <v>-3.1934085193717</v>
      </c>
    </row>
    <row r="582" customFormat="false" ht="15" hidden="false" customHeight="false" outlineLevel="0" collapsed="false">
      <c r="A582" s="2" t="n">
        <v>571</v>
      </c>
      <c r="B582" s="13" t="n">
        <f aca="true">OFFSET(Datos!$B$1,1+$B$4+570,0)</f>
        <v>31.0139999999999</v>
      </c>
      <c r="C582" s="13" t="n">
        <f aca="true">OFFSET(Datos!$D$1,1+$B$4+570,0)</f>
        <v>155.278151234119</v>
      </c>
      <c r="D582" s="13" t="n">
        <f aca="true">OFFSET(Datos!$D$1,1+570,0)</f>
        <v>157.508185116361</v>
      </c>
      <c r="E582" s="13" t="n">
        <f aca="false">C582-D582</f>
        <v>-2.23003388224279</v>
      </c>
    </row>
    <row r="583" customFormat="false" ht="15" hidden="false" customHeight="false" outlineLevel="0" collapsed="false">
      <c r="A583" s="2" t="n">
        <v>572</v>
      </c>
      <c r="B583" s="13" t="n">
        <f aca="true">OFFSET(Datos!$B$1,1+$B$4+571,0)</f>
        <v>31.0640000000001</v>
      </c>
      <c r="C583" s="13" t="n">
        <f aca="true">OFFSET(Datos!$D$1,1+$B$4+571,0)</f>
        <v>161.971820935059</v>
      </c>
      <c r="D583" s="13" t="n">
        <f aca="true">OFFSET(Datos!$D$1,1+571,0)</f>
        <v>161.108351815854</v>
      </c>
      <c r="E583" s="13" t="n">
        <f aca="false">C583-D583</f>
        <v>0.86346911920441</v>
      </c>
    </row>
    <row r="584" customFormat="false" ht="15" hidden="false" customHeight="false" outlineLevel="0" collapsed="false">
      <c r="A584" s="2" t="n">
        <v>573</v>
      </c>
      <c r="B584" s="13" t="n">
        <f aca="true">OFFSET(Datos!$B$1,1+$B$4+572,0)</f>
        <v>31.1139999999998</v>
      </c>
      <c r="C584" s="13" t="n">
        <f aca="true">OFFSET(Datos!$D$1,1+$B$4+572,0)</f>
        <v>164.415938069997</v>
      </c>
      <c r="D584" s="13" t="n">
        <f aca="true">OFFSET(Datos!$D$1,1+572,0)</f>
        <v>157.897103025425</v>
      </c>
      <c r="E584" s="13" t="n">
        <f aca="false">C584-D584</f>
        <v>6.51883504457217</v>
      </c>
    </row>
    <row r="585" customFormat="false" ht="15" hidden="false" customHeight="false" outlineLevel="0" collapsed="false">
      <c r="A585" s="2" t="n">
        <v>574</v>
      </c>
      <c r="B585" s="13" t="n">
        <f aca="true">OFFSET(Datos!$B$1,1+$B$4+573,0)</f>
        <v>31.1649999999997</v>
      </c>
      <c r="C585" s="13" t="n">
        <f aca="true">OFFSET(Datos!$D$1,1+$B$4+573,0)</f>
        <v>154.778623644496</v>
      </c>
      <c r="D585" s="13" t="n">
        <f aca="true">OFFSET(Datos!$D$1,1+573,0)</f>
        <v>160.505350654096</v>
      </c>
      <c r="E585" s="13" t="n">
        <f aca="false">C585-D585</f>
        <v>-5.7267270095995</v>
      </c>
    </row>
    <row r="586" customFormat="false" ht="15" hidden="false" customHeight="false" outlineLevel="0" collapsed="false">
      <c r="A586" s="2" t="n">
        <v>575</v>
      </c>
      <c r="B586" s="13" t="n">
        <f aca="true">OFFSET(Datos!$B$1,1+$B$4+574,0)</f>
        <v>31.2149999999999</v>
      </c>
      <c r="C586" s="13" t="n">
        <f aca="true">OFFSET(Datos!$D$1,1+$B$4+574,0)</f>
        <v>162.178768079331</v>
      </c>
      <c r="D586" s="13" t="n">
        <f aca="true">OFFSET(Datos!$D$1,1+574,0)</f>
        <v>163.263456559654</v>
      </c>
      <c r="E586" s="13" t="n">
        <f aca="false">C586-D586</f>
        <v>-1.08468848032291</v>
      </c>
    </row>
    <row r="587" customFormat="false" ht="15" hidden="false" customHeight="false" outlineLevel="0" collapsed="false">
      <c r="A587" s="2" t="n">
        <v>576</v>
      </c>
      <c r="B587" s="13" t="n">
        <f aca="true">OFFSET(Datos!$B$1,1+$B$4+575,0)</f>
        <v>31.2650000000001</v>
      </c>
      <c r="C587" s="13" t="n">
        <f aca="true">OFFSET(Datos!$D$1,1+$B$4+575,0)</f>
        <v>158.821229066226</v>
      </c>
      <c r="D587" s="13" t="n">
        <f aca="true">OFFSET(Datos!$D$1,1+575,0)</f>
        <v>159.652585697526</v>
      </c>
      <c r="E587" s="13" t="n">
        <f aca="false">C587-D587</f>
        <v>-0.83135663130011</v>
      </c>
    </row>
    <row r="588" customFormat="false" ht="15" hidden="false" customHeight="false" outlineLevel="0" collapsed="false">
      <c r="A588" s="2" t="n">
        <v>577</v>
      </c>
      <c r="B588" s="13" t="n">
        <f aca="true">OFFSET(Datos!$B$1,1+$B$4+576,0)</f>
        <v>31.3149999999998</v>
      </c>
      <c r="C588" s="13" t="n">
        <f aca="true">OFFSET(Datos!$D$1,1+$B$4+576,0)</f>
        <v>153.615437971518</v>
      </c>
      <c r="D588" s="13" t="n">
        <f aca="true">OFFSET(Datos!$D$1,1+576,0)</f>
        <v>158.881885987823</v>
      </c>
      <c r="E588" s="13" t="n">
        <f aca="false">C588-D588</f>
        <v>-5.26644801630459</v>
      </c>
    </row>
    <row r="589" customFormat="false" ht="15" hidden="false" customHeight="false" outlineLevel="0" collapsed="false">
      <c r="A589" s="2" t="n">
        <v>578</v>
      </c>
      <c r="B589" s="13" t="n">
        <f aca="true">OFFSET(Datos!$B$1,1+$B$4+577,0)</f>
        <v>31.365</v>
      </c>
      <c r="C589" s="13" t="n">
        <f aca="true">OFFSET(Datos!$D$1,1+$B$4+577,0)</f>
        <v>154.054308639544</v>
      </c>
      <c r="D589" s="13" t="n">
        <f aca="true">OFFSET(Datos!$D$1,1+577,0)</f>
        <v>163.338385698097</v>
      </c>
      <c r="E589" s="13" t="n">
        <f aca="false">C589-D589</f>
        <v>-9.28407705855318</v>
      </c>
    </row>
    <row r="590" customFormat="false" ht="15" hidden="false" customHeight="false" outlineLevel="0" collapsed="false">
      <c r="A590" s="2" t="n">
        <v>579</v>
      </c>
      <c r="B590" s="13" t="n">
        <f aca="true">OFFSET(Datos!$B$1,1+$B$4+578,0)</f>
        <v>31.4149999999997</v>
      </c>
      <c r="C590" s="13" t="n">
        <f aca="true">OFFSET(Datos!$D$1,1+$B$4+578,0)</f>
        <v>154.62876536761</v>
      </c>
      <c r="D590" s="13" t="n">
        <f aca="true">OFFSET(Datos!$D$1,1+578,0)</f>
        <v>164.522979696344</v>
      </c>
      <c r="E590" s="13" t="n">
        <f aca="false">C590-D590</f>
        <v>-9.89421432873482</v>
      </c>
    </row>
    <row r="591" customFormat="false" ht="15" hidden="false" customHeight="false" outlineLevel="0" collapsed="false">
      <c r="A591" s="2" t="n">
        <v>580</v>
      </c>
      <c r="B591" s="13" t="n">
        <f aca="true">OFFSET(Datos!$B$1,1+$B$4+579,0)</f>
        <v>31.4649999999999</v>
      </c>
      <c r="C591" s="13" t="n">
        <f aca="true">OFFSET(Datos!$D$1,1+$B$4+579,0)</f>
        <v>155.706317739509</v>
      </c>
      <c r="D591" s="13" t="n">
        <f aca="true">OFFSET(Datos!$D$1,1+579,0)</f>
        <v>157.914943296483</v>
      </c>
      <c r="E591" s="13" t="n">
        <f aca="false">C591-D591</f>
        <v>-2.20862555697326</v>
      </c>
    </row>
    <row r="592" customFormat="false" ht="15" hidden="false" customHeight="false" outlineLevel="0" collapsed="false">
      <c r="A592" s="2" t="n">
        <v>581</v>
      </c>
      <c r="B592" s="13" t="n">
        <f aca="true">OFFSET(Datos!$B$1,1+$B$4+580,0)</f>
        <v>31.5150000000001</v>
      </c>
      <c r="C592" s="13" t="n">
        <f aca="true">OFFSET(Datos!$D$1,1+$B$4+580,0)</f>
        <v>155.809791311645</v>
      </c>
      <c r="D592" s="13" t="n">
        <f aca="true">OFFSET(Datos!$D$1,1+580,0)</f>
        <v>161.978957043482</v>
      </c>
      <c r="E592" s="13" t="n">
        <f aca="false">C592-D592</f>
        <v>-6.16916573183647</v>
      </c>
    </row>
    <row r="593" customFormat="false" ht="15" hidden="false" customHeight="false" outlineLevel="0" collapsed="false">
      <c r="A593" s="2" t="n">
        <v>582</v>
      </c>
      <c r="B593" s="13" t="n">
        <f aca="true">OFFSET(Datos!$B$1,1+$B$4+581,0)</f>
        <v>31.5649999999998</v>
      </c>
      <c r="C593" s="13" t="n">
        <f aca="true">OFFSET(Datos!$D$1,1+$B$4+581,0)</f>
        <v>160.002255010262</v>
      </c>
      <c r="D593" s="13" t="n">
        <f aca="true">OFFSET(Datos!$D$1,1+581,0)</f>
        <v>165.575555688763</v>
      </c>
      <c r="E593" s="13" t="n">
        <f aca="false">C593-D593</f>
        <v>-5.5733006785012</v>
      </c>
    </row>
    <row r="594" customFormat="false" ht="15" hidden="false" customHeight="false" outlineLevel="0" collapsed="false">
      <c r="A594" s="2" t="n">
        <v>583</v>
      </c>
      <c r="B594" s="13" t="n">
        <f aca="true">OFFSET(Datos!$B$1,1+$B$4+582,0)</f>
        <v>31.615</v>
      </c>
      <c r="C594" s="13" t="n">
        <f aca="true">OFFSET(Datos!$D$1,1+$B$4+582,0)</f>
        <v>154.62876536761</v>
      </c>
      <c r="D594" s="13" t="n">
        <f aca="true">OFFSET(Datos!$D$1,1+582,0)</f>
        <v>168.194507480069</v>
      </c>
      <c r="E594" s="13" t="n">
        <f aca="false">C594-D594</f>
        <v>-13.5657421124594</v>
      </c>
    </row>
    <row r="595" customFormat="false" ht="15" hidden="false" customHeight="false" outlineLevel="0" collapsed="false">
      <c r="A595" s="2" t="n">
        <v>584</v>
      </c>
      <c r="B595" s="13" t="n">
        <f aca="true">OFFSET(Datos!$B$1,1+$B$4+583,0)</f>
        <v>31.6649999999997</v>
      </c>
      <c r="C595" s="13" t="n">
        <f aca="true">OFFSET(Datos!$D$1,1+$B$4+583,0)</f>
        <v>159.524135745909</v>
      </c>
      <c r="D595" s="13" t="n">
        <f aca="true">OFFSET(Datos!$D$1,1+583,0)</f>
        <v>167.645027131484</v>
      </c>
      <c r="E595" s="13" t="n">
        <f aca="false">C595-D595</f>
        <v>-8.12089138557539</v>
      </c>
    </row>
    <row r="596" customFormat="false" ht="15" hidden="false" customHeight="false" outlineLevel="0" collapsed="false">
      <c r="A596" s="2" t="n">
        <v>585</v>
      </c>
      <c r="B596" s="13" t="n">
        <f aca="true">OFFSET(Datos!$B$1,1+$B$4+584,0)</f>
        <v>31.7149999999999</v>
      </c>
      <c r="C596" s="13" t="n">
        <f aca="true">OFFSET(Datos!$D$1,1+$B$4+584,0)</f>
        <v>154.892801379267</v>
      </c>
      <c r="D596" s="13" t="n">
        <f aca="true">OFFSET(Datos!$D$1,1+584,0)</f>
        <v>161.186849008509</v>
      </c>
      <c r="E596" s="13" t="n">
        <f aca="false">C596-D596</f>
        <v>-6.29404762924207</v>
      </c>
    </row>
    <row r="597" customFormat="false" ht="15" hidden="false" customHeight="false" outlineLevel="0" collapsed="false">
      <c r="A597" s="2" t="n">
        <v>586</v>
      </c>
      <c r="B597" s="13" t="n">
        <f aca="true">OFFSET(Datos!$B$1,1+$B$4+585,0)</f>
        <v>31.7650000000001</v>
      </c>
      <c r="C597" s="13" t="n">
        <f aca="true">OFFSET(Datos!$D$1,1+$B$4+585,0)</f>
        <v>153.940130904773</v>
      </c>
      <c r="D597" s="13" t="n">
        <f aca="true">OFFSET(Datos!$D$1,1+585,0)</f>
        <v>162.606934584721</v>
      </c>
      <c r="E597" s="13" t="n">
        <f aca="false">C597-D597</f>
        <v>-8.6668036799484</v>
      </c>
    </row>
    <row r="598" customFormat="false" ht="15" hidden="false" customHeight="false" outlineLevel="0" collapsed="false">
      <c r="A598" s="2" t="n">
        <v>587</v>
      </c>
      <c r="B598" s="13" t="n">
        <f aca="true">OFFSET(Datos!$B$1,1+$B$4+586,0)</f>
        <v>31.8149999999998</v>
      </c>
      <c r="C598" s="13" t="n">
        <f aca="true">OFFSET(Datos!$D$1,1+$B$4+586,0)</f>
        <v>156.188005058074</v>
      </c>
      <c r="D598" s="13" t="n">
        <f aca="true">OFFSET(Datos!$D$1,1+586,0)</f>
        <v>163.227776017538</v>
      </c>
      <c r="E598" s="13" t="n">
        <f aca="false">C598-D598</f>
        <v>-7.03977095946405</v>
      </c>
    </row>
    <row r="599" customFormat="false" ht="15" hidden="false" customHeight="false" outlineLevel="0" collapsed="false">
      <c r="A599" s="2" t="n">
        <v>588</v>
      </c>
      <c r="B599" s="13" t="n">
        <f aca="true">OFFSET(Datos!$B$1,1+$B$4+587,0)</f>
        <v>31.865</v>
      </c>
      <c r="C599" s="13" t="n">
        <f aca="true">OFFSET(Datos!$D$1,1+$B$4+587,0)</f>
        <v>159.609769046987</v>
      </c>
      <c r="D599" s="13" t="n">
        <f aca="true">OFFSET(Datos!$D$1,1+587,0)</f>
        <v>163.680918902409</v>
      </c>
      <c r="E599" s="13" t="n">
        <f aca="false">C599-D599</f>
        <v>-4.07114985542245</v>
      </c>
    </row>
    <row r="600" customFormat="false" ht="15" hidden="false" customHeight="false" outlineLevel="0" collapsed="false">
      <c r="A600" s="2" t="n">
        <v>589</v>
      </c>
      <c r="B600" s="13" t="n">
        <f aca="true">OFFSET(Datos!$B$1,1+$B$4+588,0)</f>
        <v>31.9149999999997</v>
      </c>
      <c r="C600" s="13" t="n">
        <f aca="true">OFFSET(Datos!$D$1,1+$B$4+588,0)</f>
        <v>155.881152395877</v>
      </c>
      <c r="D600" s="13" t="n">
        <f aca="true">OFFSET(Datos!$D$1,1+588,0)</f>
        <v>156.955136713565</v>
      </c>
      <c r="E600" s="13" t="n">
        <f aca="false">C600-D600</f>
        <v>-1.07398431768812</v>
      </c>
    </row>
    <row r="601" customFormat="false" ht="15" hidden="false" customHeight="false" outlineLevel="0" collapsed="false">
      <c r="A601" s="2" t="n">
        <v>590</v>
      </c>
      <c r="B601" s="13" t="n">
        <f aca="true">OFFSET(Datos!$B$1,1+$B$4+589,0)</f>
        <v>31.9649999999999</v>
      </c>
      <c r="C601" s="13" t="n">
        <f aca="true">OFFSET(Datos!$D$1,1+$B$4+589,0)</f>
        <v>157.757948911173</v>
      </c>
      <c r="D601" s="13" t="n">
        <f aca="true">OFFSET(Datos!$D$1,1+589,0)</f>
        <v>157.811469724346</v>
      </c>
      <c r="E601" s="13" t="n">
        <f aca="false">C601-D601</f>
        <v>-0.053520813173833</v>
      </c>
    </row>
    <row r="602" customFormat="false" ht="15" hidden="false" customHeight="false" outlineLevel="0" collapsed="false">
      <c r="A602" s="2" t="n">
        <v>591</v>
      </c>
      <c r="B602" s="13" t="n">
        <f aca="true">OFFSET(Datos!$B$1,1+$B$4+590,0)</f>
        <v>32.0150000000001</v>
      </c>
      <c r="C602" s="13" t="n">
        <f aca="true">OFFSET(Datos!$D$1,1+$B$4+590,0)</f>
        <v>156.1344842449</v>
      </c>
      <c r="D602" s="13" t="n">
        <f aca="true">OFFSET(Datos!$D$1,1+590,0)</f>
        <v>163.609557818178</v>
      </c>
      <c r="E602" s="13" t="n">
        <f aca="false">C602-D602</f>
        <v>-7.47507357327785</v>
      </c>
    </row>
    <row r="603" customFormat="false" ht="15" hidden="false" customHeight="false" outlineLevel="0" collapsed="false">
      <c r="A603" s="2" t="n">
        <v>592</v>
      </c>
      <c r="B603" s="13" t="n">
        <f aca="true">OFFSET(Datos!$B$1,1+$B$4+591,0)</f>
        <v>32.0649999999998</v>
      </c>
      <c r="C603" s="13" t="n">
        <f aca="true">OFFSET(Datos!$D$1,1+$B$4+591,0)</f>
        <v>155.256742908849</v>
      </c>
      <c r="D603" s="13" t="n">
        <f aca="true">OFFSET(Datos!$D$1,1+591,0)</f>
        <v>161.333139231184</v>
      </c>
      <c r="E603" s="13" t="n">
        <f aca="false">C603-D603</f>
        <v>-6.07639632233517</v>
      </c>
    </row>
    <row r="604" customFormat="false" ht="15" hidden="false" customHeight="false" outlineLevel="0" collapsed="false">
      <c r="A604" s="2" t="n">
        <v>593</v>
      </c>
      <c r="B604" s="13" t="n">
        <f aca="true">OFFSET(Datos!$B$1,1+$B$4+592,0)</f>
        <v>32.115</v>
      </c>
      <c r="C604" s="13" t="n">
        <f aca="true">OFFSET(Datos!$D$1,1+$B$4+592,0)</f>
        <v>155.592140004738</v>
      </c>
      <c r="D604" s="13" t="n">
        <f aca="true">OFFSET(Datos!$D$1,1+592,0)</f>
        <v>162.960171951669</v>
      </c>
      <c r="E604" s="13" t="n">
        <f aca="false">C604-D604</f>
        <v>-7.36803194693019</v>
      </c>
    </row>
    <row r="605" customFormat="false" ht="15" hidden="false" customHeight="false" outlineLevel="0" collapsed="false">
      <c r="A605" s="2" t="n">
        <v>594</v>
      </c>
      <c r="B605" s="13" t="n">
        <f aca="true">OFFSET(Datos!$B$1,1+$B$4+593,0)</f>
        <v>32.1649999999997</v>
      </c>
      <c r="C605" s="13" t="n">
        <f aca="true">OFFSET(Datos!$D$1,1+$B$4+593,0)</f>
        <v>157.757948911173</v>
      </c>
      <c r="D605" s="13" t="n">
        <f aca="true">OFFSET(Datos!$D$1,1+593,0)</f>
        <v>160.562439521481</v>
      </c>
      <c r="E605" s="13" t="n">
        <f aca="false">C605-D605</f>
        <v>-2.80449061030853</v>
      </c>
    </row>
    <row r="606" customFormat="false" ht="15" hidden="false" customHeight="false" outlineLevel="0" collapsed="false">
      <c r="A606" s="2" t="n">
        <v>595</v>
      </c>
      <c r="B606" s="13" t="n">
        <f aca="true">OFFSET(Datos!$B$1,1+$B$4+594,0)</f>
        <v>32.2149999999999</v>
      </c>
      <c r="C606" s="13" t="n">
        <f aca="true">OFFSET(Datos!$D$1,1+$B$4+594,0)</f>
        <v>158.457287536644</v>
      </c>
      <c r="D606" s="13" t="n">
        <f aca="true">OFFSET(Datos!$D$1,1+594,0)</f>
        <v>157.982736326503</v>
      </c>
      <c r="E606" s="13" t="n">
        <f aca="false">C606-D606</f>
        <v>0.4745512101413</v>
      </c>
    </row>
    <row r="607" customFormat="false" ht="15" hidden="false" customHeight="false" outlineLevel="0" collapsed="false">
      <c r="A607" s="2" t="n">
        <v>596</v>
      </c>
      <c r="B607" s="13" t="n">
        <f aca="true">OFFSET(Datos!$B$1,1+$B$4+595,0)</f>
        <v>32.2650000000001</v>
      </c>
      <c r="C607" s="13" t="n">
        <f aca="true">OFFSET(Datos!$D$1,1+$B$4+595,0)</f>
        <v>158.856909608342</v>
      </c>
      <c r="D607" s="13" t="n">
        <f aca="true">OFFSET(Datos!$D$1,1+595,0)</f>
        <v>161.779146007633</v>
      </c>
      <c r="E607" s="13" t="n">
        <f aca="false">C607-D607</f>
        <v>-2.92223639929094</v>
      </c>
    </row>
    <row r="608" customFormat="false" ht="15" hidden="false" customHeight="false" outlineLevel="0" collapsed="false">
      <c r="A608" s="2" t="n">
        <v>597</v>
      </c>
      <c r="B608" s="13" t="n">
        <f aca="true">OFFSET(Datos!$B$1,1+$B$4+596,0)</f>
        <v>32.3149999999998</v>
      </c>
      <c r="C608" s="13" t="n">
        <f aca="true">OFFSET(Datos!$D$1,1+$B$4+596,0)</f>
        <v>161.43661280332</v>
      </c>
      <c r="D608" s="13" t="n">
        <f aca="true">OFFSET(Datos!$D$1,1+596,0)</f>
        <v>161.072671273738</v>
      </c>
      <c r="E608" s="13" t="n">
        <f aca="false">C608-D608</f>
        <v>0.363941529582007</v>
      </c>
    </row>
    <row r="609" customFormat="false" ht="15" hidden="false" customHeight="false" outlineLevel="0" collapsed="false">
      <c r="A609" s="2" t="n">
        <v>598</v>
      </c>
      <c r="B609" s="13" t="n">
        <f aca="true">OFFSET(Datos!$B$1,1+$B$4+597,0)</f>
        <v>32.365</v>
      </c>
      <c r="C609" s="13" t="n">
        <f aca="true">OFFSET(Datos!$D$1,1+$B$4+597,0)</f>
        <v>156.070259269091</v>
      </c>
      <c r="D609" s="13" t="n">
        <f aca="true">OFFSET(Datos!$D$1,1+597,0)</f>
        <v>161.21182538799</v>
      </c>
      <c r="E609" s="13" t="n">
        <f aca="false">C609-D609</f>
        <v>-5.14156611889896</v>
      </c>
    </row>
    <row r="610" customFormat="false" ht="15" hidden="false" customHeight="false" outlineLevel="0" collapsed="false">
      <c r="A610" s="2" t="n">
        <v>599</v>
      </c>
      <c r="B610" s="13" t="n">
        <f aca="true">OFFSET(Datos!$B$1,1+$B$4+598,0)</f>
        <v>32.4149999999997</v>
      </c>
      <c r="C610" s="13" t="n">
        <f aca="true">OFFSET(Datos!$D$1,1+$B$4+598,0)</f>
        <v>162.339330518852</v>
      </c>
      <c r="D610" s="13" t="n">
        <f aca="true">OFFSET(Datos!$D$1,1+598,0)</f>
        <v>161.400932261204</v>
      </c>
      <c r="E610" s="13" t="n">
        <f aca="false">C610-D610</f>
        <v>0.938398257647776</v>
      </c>
    </row>
    <row r="611" customFormat="false" ht="15" hidden="false" customHeight="false" outlineLevel="0" collapsed="false">
      <c r="A611" s="2" t="n">
        <v>600</v>
      </c>
      <c r="B611" s="13" t="n">
        <f aca="true">OFFSET(Datos!$B$1,1+$B$4+599,0)</f>
        <v>32.4649999999999</v>
      </c>
      <c r="C611" s="13" t="n">
        <f aca="true">OFFSET(Datos!$D$1,1+$B$4+599,0)</f>
        <v>162.995852493785</v>
      </c>
      <c r="D611" s="13" t="n">
        <f aca="true">OFFSET(Datos!$D$1,1+599,0)</f>
        <v>161.254642038529</v>
      </c>
      <c r="E611" s="13" t="n">
        <f aca="false">C611-D611</f>
        <v>1.74121045525519</v>
      </c>
    </row>
    <row r="612" customFormat="false" ht="15" hidden="false" customHeight="false" outlineLevel="0" collapsed="false">
      <c r="A612" s="2" t="n">
        <v>601</v>
      </c>
      <c r="B612" s="13" t="n">
        <f aca="true">OFFSET(Datos!$B$1,1+$B$4+600,0)</f>
        <v>32.5150000000001</v>
      </c>
      <c r="C612" s="13" t="n">
        <f aca="true">OFFSET(Datos!$D$1,1+$B$4+600,0)</f>
        <v>155.806223257434</v>
      </c>
      <c r="D612" s="13" t="n">
        <f aca="true">OFFSET(Datos!$D$1,1+600,0)</f>
        <v>160.904972725794</v>
      </c>
      <c r="E612" s="13" t="n">
        <f aca="false">C612-D612</f>
        <v>-5.09874946835993</v>
      </c>
    </row>
    <row r="613" customFormat="false" ht="15" hidden="false" customHeight="false" outlineLevel="0" collapsed="false">
      <c r="A613" s="2" t="n">
        <v>602</v>
      </c>
      <c r="B613" s="13" t="n">
        <f aca="true">OFFSET(Datos!$B$1,1+$B$4+601,0)</f>
        <v>32.5649999999998</v>
      </c>
      <c r="C613" s="13" t="n">
        <f aca="true">OFFSET(Datos!$D$1,1+$B$4+601,0)</f>
        <v>170.024919290614</v>
      </c>
      <c r="D613" s="13" t="n">
        <f aca="true">OFFSET(Datos!$D$1,1+601,0)</f>
        <v>163.859321612989</v>
      </c>
      <c r="E613" s="13" t="n">
        <f aca="false">C613-D613</f>
        <v>6.16559767762487</v>
      </c>
    </row>
    <row r="614" customFormat="false" ht="15" hidden="false" customHeight="false" outlineLevel="0" collapsed="false">
      <c r="A614" s="2" t="n">
        <v>603</v>
      </c>
      <c r="B614" s="13" t="n">
        <f aca="true">OFFSET(Datos!$B$1,1+$B$4+602,0)</f>
        <v>32.615</v>
      </c>
      <c r="C614" s="13" t="n">
        <f aca="true">OFFSET(Datos!$D$1,1+$B$4+602,0)</f>
        <v>154.493179307569</v>
      </c>
      <c r="D614" s="13" t="n">
        <f aca="true">OFFSET(Datos!$D$1,1+602,0)</f>
        <v>162.835290054263</v>
      </c>
      <c r="E614" s="13" t="n">
        <f aca="false">C614-D614</f>
        <v>-8.34211074669383</v>
      </c>
    </row>
    <row r="615" customFormat="false" ht="15" hidden="false" customHeight="false" outlineLevel="0" collapsed="false">
      <c r="A615" s="2" t="n">
        <v>604</v>
      </c>
      <c r="B615" s="13" t="n">
        <f aca="true">OFFSET(Datos!$B$1,1+$B$4+603,0)</f>
        <v>32.6649999999997</v>
      </c>
      <c r="C615" s="13" t="n">
        <f aca="true">OFFSET(Datos!$D$1,1+$B$4+603,0)</f>
        <v>156.537674370809</v>
      </c>
      <c r="D615" s="13" t="n">
        <f aca="true">OFFSET(Datos!$D$1,1+603,0)</f>
        <v>160.458965949345</v>
      </c>
      <c r="E615" s="13" t="n">
        <f aca="false">C615-D615</f>
        <v>-3.92129157853572</v>
      </c>
    </row>
    <row r="616" customFormat="false" ht="15" hidden="false" customHeight="false" outlineLevel="0" collapsed="false">
      <c r="A616" s="2" t="n">
        <v>605</v>
      </c>
      <c r="B616" s="13" t="n">
        <f aca="true">OFFSET(Datos!$B$1,1+$B$4+604,0)</f>
        <v>32.7149999999999</v>
      </c>
      <c r="C616" s="13" t="n">
        <f aca="true">OFFSET(Datos!$D$1,1+$B$4+604,0)</f>
        <v>159.602632938564</v>
      </c>
      <c r="D616" s="13" t="n">
        <f aca="true">OFFSET(Datos!$D$1,1+604,0)</f>
        <v>156.923024225661</v>
      </c>
      <c r="E616" s="13" t="n">
        <f aca="false">C616-D616</f>
        <v>2.67960871290293</v>
      </c>
    </row>
    <row r="617" customFormat="false" ht="15" hidden="false" customHeight="false" outlineLevel="0" collapsed="false">
      <c r="A617" s="2" t="n">
        <v>606</v>
      </c>
      <c r="B617" s="13" t="n">
        <f aca="true">OFFSET(Datos!$B$1,1+$B$4+605,0)</f>
        <v>32.7650000000001</v>
      </c>
      <c r="C617" s="13" t="n">
        <f aca="true">OFFSET(Datos!$D$1,1+$B$4+605,0)</f>
        <v>157.597386471651</v>
      </c>
      <c r="D617" s="13" t="n">
        <f aca="true">OFFSET(Datos!$D$1,1+605,0)</f>
        <v>159.438502444831</v>
      </c>
      <c r="E617" s="13" t="n">
        <f aca="false">C617-D617</f>
        <v>-1.84111597317965</v>
      </c>
    </row>
    <row r="618" customFormat="false" ht="15" hidden="false" customHeight="false" outlineLevel="0" collapsed="false">
      <c r="A618" s="2" t="n">
        <v>607</v>
      </c>
      <c r="B618" s="13" t="n">
        <f aca="true">OFFSET(Datos!$B$1,1+$B$4+606,0)</f>
        <v>32.8149999999998</v>
      </c>
      <c r="C618" s="13" t="n">
        <f aca="true">OFFSET(Datos!$D$1,1+$B$4+606,0)</f>
        <v>160.005823064473</v>
      </c>
      <c r="D618" s="13" t="n">
        <f aca="true">OFFSET(Datos!$D$1,1+606,0)</f>
        <v>159.79530786599</v>
      </c>
      <c r="E618" s="13" t="n">
        <f aca="false">C618-D618</f>
        <v>0.210515198483733</v>
      </c>
    </row>
    <row r="619" customFormat="false" ht="15" hidden="false" customHeight="false" outlineLevel="0" collapsed="false">
      <c r="A619" s="2" t="n">
        <v>608</v>
      </c>
      <c r="B619" s="13" t="n">
        <f aca="true">OFFSET(Datos!$B$1,1+$B$4+607,0)</f>
        <v>32.865</v>
      </c>
      <c r="C619" s="13" t="n">
        <f aca="true">OFFSET(Datos!$D$1,1+$B$4+607,0)</f>
        <v>160.67304920204</v>
      </c>
      <c r="D619" s="13" t="n">
        <f aca="true">OFFSET(Datos!$D$1,1+607,0)</f>
        <v>164.876217063292</v>
      </c>
      <c r="E619" s="13" t="n">
        <f aca="false">C619-D619</f>
        <v>-4.20316786125119</v>
      </c>
    </row>
    <row r="620" customFormat="false" ht="15" hidden="false" customHeight="false" outlineLevel="0" collapsed="false">
      <c r="A620" s="2" t="n">
        <v>609</v>
      </c>
      <c r="B620" s="13" t="n">
        <f aca="true">OFFSET(Datos!$B$1,1+$B$4+608,0)</f>
        <v>32.9149999999997</v>
      </c>
      <c r="C620" s="13" t="n">
        <f aca="true">OFFSET(Datos!$D$1,1+$B$4+608,0)</f>
        <v>156.776734002986</v>
      </c>
      <c r="D620" s="13" t="n">
        <f aca="true">OFFSET(Datos!$D$1,1+608,0)</f>
        <v>160.009391118685</v>
      </c>
      <c r="E620" s="13" t="n">
        <f aca="false">C620-D620</f>
        <v>-3.23265711569914</v>
      </c>
    </row>
    <row r="621" customFormat="false" ht="15" hidden="false" customHeight="false" outlineLevel="0" collapsed="false">
      <c r="A621" s="2" t="n">
        <v>610</v>
      </c>
      <c r="B621" s="13" t="n">
        <f aca="true">OFFSET(Datos!$B$1,1+$B$4+609,0)</f>
        <v>32.9649999999999</v>
      </c>
      <c r="C621" s="13" t="n">
        <f aca="true">OFFSET(Datos!$D$1,1+$B$4+609,0)</f>
        <v>159.984414739204</v>
      </c>
      <c r="D621" s="13" t="n">
        <f aca="true">OFFSET(Datos!$D$1,1+609,0)</f>
        <v>158.08977795285</v>
      </c>
      <c r="E621" s="13" t="n">
        <f aca="false">C621-D621</f>
        <v>1.89463678635349</v>
      </c>
    </row>
    <row r="622" customFormat="false" ht="15" hidden="false" customHeight="false" outlineLevel="0" collapsed="false">
      <c r="A622" s="2" t="n">
        <v>611</v>
      </c>
      <c r="B622" s="13" t="n">
        <f aca="true">OFFSET(Datos!$B$1,1+$B$4+610,0)</f>
        <v>33.0150000000001</v>
      </c>
      <c r="C622" s="13" t="n">
        <f aca="true">OFFSET(Datos!$D$1,1+$B$4+610,0)</f>
        <v>158.532216675087</v>
      </c>
      <c r="D622" s="13" t="n">
        <f aca="true">OFFSET(Datos!$D$1,1+610,0)</f>
        <v>160.419717353018</v>
      </c>
      <c r="E622" s="13" t="n">
        <f aca="false">C622-D622</f>
        <v>-1.88750067793032</v>
      </c>
    </row>
    <row r="623" customFormat="false" ht="15" hidden="false" customHeight="false" outlineLevel="0" collapsed="false">
      <c r="A623" s="2" t="n">
        <v>612</v>
      </c>
      <c r="B623" s="13" t="n">
        <f aca="true">OFFSET(Datos!$B$1,1+$B$4+611,0)</f>
        <v>33.0649999999998</v>
      </c>
      <c r="C623" s="13" t="n">
        <f aca="true">OFFSET(Datos!$D$1,1+$B$4+611,0)</f>
        <v>165.018939231755</v>
      </c>
      <c r="D623" s="13" t="n">
        <f aca="true">OFFSET(Datos!$D$1,1+611,0)</f>
        <v>153.779568465252</v>
      </c>
      <c r="E623" s="13" t="n">
        <f aca="false">C623-D623</f>
        <v>11.2393707665037</v>
      </c>
    </row>
    <row r="624" customFormat="false" ht="15" hidden="false" customHeight="false" outlineLevel="0" collapsed="false">
      <c r="A624" s="2" t="n">
        <v>613</v>
      </c>
      <c r="B624" s="13" t="n">
        <f aca="true">OFFSET(Datos!$B$1,1+$B$4+612,0)</f>
        <v>33.115</v>
      </c>
      <c r="C624" s="13" t="n">
        <f aca="true">OFFSET(Datos!$D$1,1+$B$4+612,0)</f>
        <v>159.317188601637</v>
      </c>
      <c r="D624" s="13" t="n">
        <f aca="true">OFFSET(Datos!$D$1,1+612,0)</f>
        <v>161.693512706555</v>
      </c>
      <c r="E624" s="13" t="n">
        <f aca="false">C624-D624</f>
        <v>-2.37632410491796</v>
      </c>
    </row>
    <row r="625" customFormat="false" ht="15" hidden="false" customHeight="false" outlineLevel="0" collapsed="false">
      <c r="A625" s="2" t="n">
        <v>614</v>
      </c>
      <c r="B625" s="13" t="n">
        <f aca="true">OFFSET(Datos!$B$1,1+$B$4+613,0)</f>
        <v>33.1649999999997</v>
      </c>
      <c r="C625" s="13" t="n">
        <f aca="true">OFFSET(Datos!$D$1,1+$B$4+613,0)</f>
        <v>163.845049396143</v>
      </c>
      <c r="D625" s="13" t="n">
        <f aca="true">OFFSET(Datos!$D$1,1+613,0)</f>
        <v>159.470614932735</v>
      </c>
      <c r="E625" s="13" t="n">
        <f aca="false">C625-D625</f>
        <v>4.37443446340745</v>
      </c>
    </row>
    <row r="626" customFormat="false" ht="15" hidden="false" customHeight="false" outlineLevel="0" collapsed="false">
      <c r="A626" s="2" t="n">
        <v>615</v>
      </c>
      <c r="B626" s="13" t="n">
        <f aca="true">OFFSET(Datos!$B$1,1+$B$4+614,0)</f>
        <v>33.2149999999999</v>
      </c>
      <c r="C626" s="13" t="n">
        <f aca="true">OFFSET(Datos!$D$1,1+$B$4+614,0)</f>
        <v>158.457287536644</v>
      </c>
      <c r="D626" s="13" t="n">
        <f aca="true">OFFSET(Datos!$D$1,1+614,0)</f>
        <v>162.467780470469</v>
      </c>
      <c r="E626" s="13" t="n">
        <f aca="false">C626-D626</f>
        <v>-4.01049293382542</v>
      </c>
    </row>
    <row r="627" customFormat="false" ht="15" hidden="false" customHeight="false" outlineLevel="0" collapsed="false">
      <c r="A627" s="2" t="n">
        <v>616</v>
      </c>
      <c r="B627" s="13" t="n">
        <f aca="true">OFFSET(Datos!$B$1,1+$B$4+615,0)</f>
        <v>33.2650000000001</v>
      </c>
      <c r="C627" s="13" t="n">
        <f aca="true">OFFSET(Datos!$D$1,1+$B$4+615,0)</f>
        <v>158.368086181354</v>
      </c>
      <c r="D627" s="13" t="n">
        <f aca="true">OFFSET(Datos!$D$1,1+615,0)</f>
        <v>161.340275339607</v>
      </c>
      <c r="E627" s="13" t="n">
        <f aca="false">C627-D627</f>
        <v>-2.9721891582532</v>
      </c>
    </row>
    <row r="628" customFormat="false" ht="15" hidden="false" customHeight="false" outlineLevel="0" collapsed="false">
      <c r="A628" s="2" t="n">
        <v>617</v>
      </c>
      <c r="B628" s="13" t="n">
        <f aca="true">OFFSET(Datos!$B$1,1+$B$4+616,0)</f>
        <v>33.3149999999998</v>
      </c>
      <c r="C628" s="13" t="n">
        <f aca="true">OFFSET(Datos!$D$1,1+$B$4+616,0)</f>
        <v>173.007812611502</v>
      </c>
      <c r="D628" s="13" t="n">
        <f aca="true">OFFSET(Datos!$D$1,1+616,0)</f>
        <v>155.342376209927</v>
      </c>
      <c r="E628" s="13" t="n">
        <f aca="false">C628-D628</f>
        <v>17.6654364015745</v>
      </c>
    </row>
    <row r="629" customFormat="false" ht="15" hidden="false" customHeight="false" outlineLevel="0" collapsed="false">
      <c r="A629" s="2" t="n">
        <v>618</v>
      </c>
      <c r="B629" s="13" t="n">
        <f aca="true">OFFSET(Datos!$B$1,1+$B$4+617,0)</f>
        <v>33.365</v>
      </c>
      <c r="C629" s="13" t="n">
        <f aca="true">OFFSET(Datos!$D$1,1+$B$4+617,0)</f>
        <v>153.340697797226</v>
      </c>
      <c r="D629" s="13" t="n">
        <f aca="true">OFFSET(Datos!$D$1,1+617,0)</f>
        <v>155.071204089847</v>
      </c>
      <c r="E629" s="13" t="n">
        <f aca="false">C629-D629</f>
        <v>-1.73050629262042</v>
      </c>
    </row>
    <row r="630" customFormat="false" ht="15" hidden="false" customHeight="false" outlineLevel="0" collapsed="false">
      <c r="A630" s="2" t="n">
        <v>619</v>
      </c>
      <c r="B630" s="13" t="n">
        <f aca="true">OFFSET(Datos!$B$1,1+$B$4+618,0)</f>
        <v>33.4149999999997</v>
      </c>
      <c r="C630" s="13" t="n">
        <f aca="true">OFFSET(Datos!$D$1,1+$B$4+618,0)</f>
        <v>157.030065852009</v>
      </c>
      <c r="D630" s="13" t="n">
        <f aca="true">OFFSET(Datos!$D$1,1+618,0)</f>
        <v>161.343843393819</v>
      </c>
      <c r="E630" s="13" t="n">
        <f aca="false">C630-D630</f>
        <v>-4.31377754181045</v>
      </c>
    </row>
    <row r="631" customFormat="false" ht="15" hidden="false" customHeight="false" outlineLevel="0" collapsed="false">
      <c r="A631" s="2" t="n">
        <v>620</v>
      </c>
      <c r="B631" s="13" t="n">
        <f aca="true">OFFSET(Datos!$B$1,1+$B$4+619,0)</f>
        <v>33.4649999999999</v>
      </c>
      <c r="C631" s="13" t="n">
        <f aca="true">OFFSET(Datos!$D$1,1+$B$4+619,0)</f>
        <v>163.673782793986</v>
      </c>
      <c r="D631" s="13" t="n">
        <f aca="true">OFFSET(Datos!$D$1,1+619,0)</f>
        <v>159.035312318921</v>
      </c>
      <c r="E631" s="13" t="n">
        <f aca="false">C631-D631</f>
        <v>4.63847047506502</v>
      </c>
    </row>
    <row r="632" customFormat="false" ht="15" hidden="false" customHeight="false" outlineLevel="0" collapsed="false">
      <c r="A632" s="2" t="n">
        <v>621</v>
      </c>
      <c r="B632" s="13" t="n">
        <f aca="true">OFFSET(Datos!$B$1,1+$B$4+620,0)</f>
        <v>33.5150000000001</v>
      </c>
      <c r="C632" s="13" t="n">
        <f aca="true">OFFSET(Datos!$D$1,1+$B$4+620,0)</f>
        <v>158.0433932481</v>
      </c>
      <c r="D632" s="13" t="n">
        <f aca="true">OFFSET(Datos!$D$1,1+620,0)</f>
        <v>155.278151234119</v>
      </c>
      <c r="E632" s="13" t="n">
        <f aca="false">C632-D632</f>
        <v>2.76524201398107</v>
      </c>
    </row>
    <row r="633" customFormat="false" ht="15" hidden="false" customHeight="false" outlineLevel="0" collapsed="false">
      <c r="A633" s="2" t="n">
        <v>622</v>
      </c>
      <c r="B633" s="13" t="n">
        <f aca="true">OFFSET(Datos!$B$1,1+$B$4+621,0)</f>
        <v>33.5649999999998</v>
      </c>
      <c r="C633" s="13" t="n">
        <f aca="true">OFFSET(Datos!$D$1,1+$B$4+621,0)</f>
        <v>157.561705929535</v>
      </c>
      <c r="D633" s="13" t="n">
        <f aca="true">OFFSET(Datos!$D$1,1+621,0)</f>
        <v>161.971820935059</v>
      </c>
      <c r="E633" s="13" t="n">
        <f aca="false">C633-D633</f>
        <v>-4.41011500552335</v>
      </c>
    </row>
    <row r="634" customFormat="false" ht="15" hidden="false" customHeight="false" outlineLevel="0" collapsed="false">
      <c r="A634" s="2" t="n">
        <v>623</v>
      </c>
      <c r="B634" s="13" t="n">
        <f aca="true">OFFSET(Datos!$B$1,1+$B$4+622,0)</f>
        <v>33.615</v>
      </c>
      <c r="C634" s="13" t="n">
        <f aca="true">OFFSET(Datos!$D$1,1+$B$4+622,0)</f>
        <v>162.171631970908</v>
      </c>
      <c r="D634" s="13" t="n">
        <f aca="true">OFFSET(Datos!$D$1,1+622,0)</f>
        <v>164.415938069997</v>
      </c>
      <c r="E634" s="13" t="n">
        <f aca="false">C634-D634</f>
        <v>-2.24430609908916</v>
      </c>
    </row>
    <row r="635" customFormat="false" ht="15" hidden="false" customHeight="false" outlineLevel="0" collapsed="false">
      <c r="A635" s="2" t="n">
        <v>624</v>
      </c>
      <c r="B635" s="13" t="n">
        <f aca="true">OFFSET(Datos!$B$1,1+$B$4+623,0)</f>
        <v>33.6649999999997</v>
      </c>
      <c r="C635" s="13" t="n">
        <f aca="true">OFFSET(Datos!$D$1,1+$B$4+623,0)</f>
        <v>156.362839714442</v>
      </c>
      <c r="D635" s="13" t="n">
        <f aca="true">OFFSET(Datos!$D$1,1+623,0)</f>
        <v>154.778623644496</v>
      </c>
      <c r="E635" s="13" t="n">
        <f aca="false">C635-D635</f>
        <v>1.58421606994528</v>
      </c>
    </row>
    <row r="636" customFormat="false" ht="15" hidden="false" customHeight="false" outlineLevel="0" collapsed="false">
      <c r="A636" s="2" t="n">
        <v>625</v>
      </c>
      <c r="B636" s="13" t="n">
        <f aca="true">OFFSET(Datos!$B$1,1+$B$4+624,0)</f>
        <v>33.7149999999999</v>
      </c>
      <c r="C636" s="13" t="n">
        <f aca="true">OFFSET(Datos!$D$1,1+$B$4+624,0)</f>
        <v>157.786493344865</v>
      </c>
      <c r="D636" s="13" t="n">
        <f aca="true">OFFSET(Datos!$D$1,1+624,0)</f>
        <v>162.178768079331</v>
      </c>
      <c r="E636" s="13" t="n">
        <f aca="false">C636-D636</f>
        <v>-4.39227473446539</v>
      </c>
    </row>
    <row r="637" customFormat="false" ht="15" hidden="false" customHeight="false" outlineLevel="0" collapsed="false">
      <c r="A637" s="2" t="n">
        <v>626</v>
      </c>
      <c r="B637" s="13" t="n">
        <f aca="true">OFFSET(Datos!$B$1,1+$B$4+625,0)</f>
        <v>33.7650000000001</v>
      </c>
      <c r="C637" s="13" t="n">
        <f aca="true">OFFSET(Datos!$D$1,1+$B$4+625,0)</f>
        <v>159.716810673335</v>
      </c>
      <c r="D637" s="13" t="n">
        <f aca="true">OFFSET(Datos!$D$1,1+625,0)</f>
        <v>158.821229066226</v>
      </c>
      <c r="E637" s="13" t="n">
        <f aca="false">C637-D637</f>
        <v>0.89558160710871</v>
      </c>
    </row>
    <row r="638" customFormat="false" ht="15" hidden="false" customHeight="false" outlineLevel="0" collapsed="false">
      <c r="A638" s="2" t="n">
        <v>627</v>
      </c>
      <c r="B638" s="13" t="n">
        <f aca="true">OFFSET(Datos!$B$1,1+$B$4+626,0)</f>
        <v>33.8149999999998</v>
      </c>
      <c r="C638" s="13" t="n">
        <f aca="true">OFFSET(Datos!$D$1,1+$B$4+626,0)</f>
        <v>154.132805832199</v>
      </c>
      <c r="D638" s="13" t="n">
        <f aca="true">OFFSET(Datos!$D$1,1+626,0)</f>
        <v>153.615437971518</v>
      </c>
      <c r="E638" s="13" t="n">
        <f aca="false">C638-D638</f>
        <v>0.517367860680338</v>
      </c>
    </row>
    <row r="639" customFormat="false" ht="15" hidden="false" customHeight="false" outlineLevel="0" collapsed="false">
      <c r="A639" s="2" t="n">
        <v>628</v>
      </c>
      <c r="B639" s="13" t="n">
        <f aca="true">OFFSET(Datos!$B$1,1+$B$4+627,0)</f>
        <v>33.865</v>
      </c>
      <c r="C639" s="13" t="n">
        <f aca="true">OFFSET(Datos!$D$1,1+$B$4+627,0)</f>
        <v>155.085476306693</v>
      </c>
      <c r="D639" s="13" t="n">
        <f aca="true">OFFSET(Datos!$D$1,1+627,0)</f>
        <v>154.054308639544</v>
      </c>
      <c r="E639" s="13" t="n">
        <f aca="false">C639-D639</f>
        <v>1.03116766714905</v>
      </c>
    </row>
    <row r="640" customFormat="false" ht="15" hidden="false" customHeight="false" outlineLevel="0" collapsed="false">
      <c r="A640" s="2" t="n">
        <v>629</v>
      </c>
      <c r="B640" s="13" t="n">
        <f aca="true">OFFSET(Datos!$B$1,1+$B$4+628,0)</f>
        <v>33.9149999999997</v>
      </c>
      <c r="C640" s="13" t="n">
        <f aca="true">OFFSET(Datos!$D$1,1+$B$4+628,0)</f>
        <v>159.477751041158</v>
      </c>
      <c r="D640" s="13" t="n">
        <f aca="true">OFFSET(Datos!$D$1,1+628,0)</f>
        <v>154.62876536761</v>
      </c>
      <c r="E640" s="13" t="n">
        <f aca="false">C640-D640</f>
        <v>4.84898567354873</v>
      </c>
    </row>
    <row r="641" customFormat="false" ht="15" hidden="false" customHeight="false" outlineLevel="0" collapsed="false">
      <c r="A641" s="2" t="n">
        <v>630</v>
      </c>
      <c r="B641" s="13" t="n">
        <f aca="true">OFFSET(Datos!$B$1,1+$B$4+629,0)</f>
        <v>33.9649999999999</v>
      </c>
      <c r="C641" s="13" t="n">
        <f aca="true">OFFSET(Datos!$D$1,1+$B$4+629,0)</f>
        <v>155.781246877953</v>
      </c>
      <c r="D641" s="13" t="n">
        <f aca="true">OFFSET(Datos!$D$1,1+629,0)</f>
        <v>155.706317739509</v>
      </c>
      <c r="E641" s="13" t="n">
        <f aca="false">C641-D641</f>
        <v>0.0749291384433661</v>
      </c>
    </row>
    <row r="642" customFormat="false" ht="15" hidden="false" customHeight="false" outlineLevel="0" collapsed="false">
      <c r="A642" s="2" t="n">
        <v>631</v>
      </c>
      <c r="B642" s="13" t="n">
        <f aca="true">OFFSET(Datos!$B$1,1+$B$4+630,0)</f>
        <v>34.0150000000001</v>
      </c>
      <c r="C642" s="13" t="n">
        <f aca="true">OFFSET(Datos!$D$1,1+$B$4+630,0)</f>
        <v>165.332928002375</v>
      </c>
      <c r="D642" s="13" t="n">
        <f aca="true">OFFSET(Datos!$D$1,1+630,0)</f>
        <v>155.809791311645</v>
      </c>
      <c r="E642" s="13" t="n">
        <f aca="false">C642-D642</f>
        <v>9.52313669072962</v>
      </c>
    </row>
    <row r="643" customFormat="false" ht="15" hidden="false" customHeight="false" outlineLevel="0" collapsed="false">
      <c r="A643" s="2" t="n">
        <v>632</v>
      </c>
      <c r="B643" s="13" t="n">
        <f aca="true">OFFSET(Datos!$B$1,1+$B$4+631,0)</f>
        <v>34.066</v>
      </c>
      <c r="C643" s="13" t="n">
        <f aca="true">OFFSET(Datos!$D$1,1+$B$4+631,0)</f>
        <v>163.473971758137</v>
      </c>
      <c r="D643" s="13" t="n">
        <f aca="true">OFFSET(Datos!$D$1,1+631,0)</f>
        <v>160.002255010262</v>
      </c>
      <c r="E643" s="13" t="n">
        <f aca="false">C643-D643</f>
        <v>3.47171674787558</v>
      </c>
    </row>
    <row r="644" customFormat="false" ht="15" hidden="false" customHeight="false" outlineLevel="0" collapsed="false">
      <c r="A644" s="2" t="n">
        <v>633</v>
      </c>
      <c r="B644" s="13" t="n">
        <f aca="true">OFFSET(Datos!$B$1,1+$B$4+632,0)</f>
        <v>34.1159999999998</v>
      </c>
      <c r="C644" s="13" t="n">
        <f aca="true">OFFSET(Datos!$D$1,1+$B$4+632,0)</f>
        <v>158.31456536818</v>
      </c>
      <c r="D644" s="13" t="n">
        <f aca="true">OFFSET(Datos!$D$1,1+632,0)</f>
        <v>154.62876536761</v>
      </c>
      <c r="E644" s="13" t="n">
        <f aca="false">C644-D644</f>
        <v>3.68580000057088</v>
      </c>
    </row>
    <row r="645" customFormat="false" ht="15" hidden="false" customHeight="false" outlineLevel="0" collapsed="false">
      <c r="A645" s="2" t="n">
        <v>634</v>
      </c>
      <c r="B645" s="13" t="n">
        <f aca="true">OFFSET(Datos!$B$1,1+$B$4+633,0)</f>
        <v>34.1659999999999</v>
      </c>
      <c r="C645" s="13" t="n">
        <f aca="true">OFFSET(Datos!$D$1,1+$B$4+633,0)</f>
        <v>159.977278630781</v>
      </c>
      <c r="D645" s="13" t="n">
        <f aca="true">OFFSET(Datos!$D$1,1+633,0)</f>
        <v>159.524135745909</v>
      </c>
      <c r="E645" s="13" t="n">
        <f aca="false">C645-D645</f>
        <v>0.453142884871767</v>
      </c>
    </row>
    <row r="646" customFormat="false" ht="15" hidden="false" customHeight="false" outlineLevel="0" collapsed="false">
      <c r="A646" s="2" t="n">
        <v>635</v>
      </c>
      <c r="B646" s="13" t="n">
        <f aca="true">OFFSET(Datos!$B$1,1+$B$4+634,0)</f>
        <v>34.2160000000001</v>
      </c>
      <c r="C646" s="13" t="n">
        <f aca="true">OFFSET(Datos!$D$1,1+$B$4+634,0)</f>
        <v>163.231344071749</v>
      </c>
      <c r="D646" s="13" t="n">
        <f aca="true">OFFSET(Datos!$D$1,1+634,0)</f>
        <v>154.892801379267</v>
      </c>
      <c r="E646" s="13" t="n">
        <f aca="false">C646-D646</f>
        <v>8.33854269248226</v>
      </c>
    </row>
    <row r="647" customFormat="false" ht="15" hidden="false" customHeight="false" outlineLevel="0" collapsed="false">
      <c r="A647" s="2" t="n">
        <v>636</v>
      </c>
      <c r="B647" s="13" t="n">
        <f aca="true">OFFSET(Datos!$B$1,1+$B$4+635,0)</f>
        <v>34.2659999999999</v>
      </c>
      <c r="C647" s="13" t="n">
        <f aca="true">OFFSET(Datos!$D$1,1+$B$4+635,0)</f>
        <v>154.575244554436</v>
      </c>
      <c r="D647" s="13" t="n">
        <f aca="true">OFFSET(Datos!$D$1,1+635,0)</f>
        <v>153.940130904773</v>
      </c>
      <c r="E647" s="13" t="n">
        <f aca="false">C647-D647</f>
        <v>0.635113649662742</v>
      </c>
    </row>
    <row r="648" customFormat="false" ht="15" hidden="false" customHeight="false" outlineLevel="0" collapsed="false">
      <c r="A648" s="2" t="n">
        <v>637</v>
      </c>
      <c r="B648" s="13" t="n">
        <f aca="true">OFFSET(Datos!$B$1,1+$B$4+636,0)</f>
        <v>34.316</v>
      </c>
      <c r="C648" s="13" t="n">
        <f aca="true">OFFSET(Datos!$D$1,1+$B$4+636,0)</f>
        <v>161.23323371326</v>
      </c>
      <c r="D648" s="13" t="n">
        <f aca="true">OFFSET(Datos!$D$1,1+636,0)</f>
        <v>156.188005058074</v>
      </c>
      <c r="E648" s="13" t="n">
        <f aca="false">C648-D648</f>
        <v>5.04522865518609</v>
      </c>
    </row>
    <row r="649" customFormat="false" ht="15" hidden="false" customHeight="false" outlineLevel="0" collapsed="false">
      <c r="A649" s="2" t="n">
        <v>638</v>
      </c>
      <c r="B649" s="13" t="n">
        <f aca="true">OFFSET(Datos!$B$1,1+$B$4+637,0)</f>
        <v>34.3659999999998</v>
      </c>
      <c r="C649" s="13" t="n">
        <f aca="true">OFFSET(Datos!$D$1,1+$B$4+637,0)</f>
        <v>158.139730711813</v>
      </c>
      <c r="D649" s="13" t="n">
        <f aca="true">OFFSET(Datos!$D$1,1+637,0)</f>
        <v>159.609769046987</v>
      </c>
      <c r="E649" s="13" t="n">
        <f aca="false">C649-D649</f>
        <v>-1.47003833517445</v>
      </c>
    </row>
    <row r="650" customFormat="false" ht="15" hidden="false" customHeight="false" outlineLevel="0" collapsed="false">
      <c r="A650" s="2" t="n">
        <v>639</v>
      </c>
      <c r="B650" s="13" t="n">
        <f aca="true">OFFSET(Datos!$B$1,1+$B$4+638,0)</f>
        <v>34.4159999999999</v>
      </c>
      <c r="C650" s="13" t="n">
        <f aca="true">OFFSET(Datos!$D$1,1+$B$4+638,0)</f>
        <v>156.658988214003</v>
      </c>
      <c r="D650" s="13" t="n">
        <f aca="true">OFFSET(Datos!$D$1,1+638,0)</f>
        <v>155.881152395877</v>
      </c>
      <c r="E650" s="13" t="n">
        <f aca="false">C650-D650</f>
        <v>0.777835818126277</v>
      </c>
    </row>
    <row r="651" customFormat="false" ht="15" hidden="false" customHeight="false" outlineLevel="0" collapsed="false">
      <c r="A651" s="2" t="n">
        <v>640</v>
      </c>
      <c r="B651" s="13" t="n">
        <f aca="true">OFFSET(Datos!$B$1,1+$B$4+639,0)</f>
        <v>34.4660000000001</v>
      </c>
      <c r="C651" s="13" t="n">
        <f aca="true">OFFSET(Datos!$D$1,1+$B$4+639,0)</f>
        <v>159.474182986947</v>
      </c>
      <c r="D651" s="13" t="n">
        <f aca="true">OFFSET(Datos!$D$1,1+639,0)</f>
        <v>157.757948911173</v>
      </c>
      <c r="E651" s="13" t="n">
        <f aca="false">C651-D651</f>
        <v>1.71623407577405</v>
      </c>
    </row>
    <row r="652" customFormat="false" ht="15" hidden="false" customHeight="false" outlineLevel="0" collapsed="false">
      <c r="A652" s="2" t="n">
        <v>641</v>
      </c>
      <c r="B652" s="13" t="n">
        <f aca="true">OFFSET(Datos!$B$1,1+$B$4+640,0)</f>
        <v>34.5159999999999</v>
      </c>
      <c r="C652" s="13" t="n">
        <f aca="true">OFFSET(Datos!$D$1,1+$B$4+640,0)</f>
        <v>160.494646491461</v>
      </c>
      <c r="D652" s="13" t="n">
        <f aca="true">OFFSET(Datos!$D$1,1+640,0)</f>
        <v>156.1344842449</v>
      </c>
      <c r="E652" s="13" t="n">
        <f aca="false">C652-D652</f>
        <v>4.36016224656112</v>
      </c>
    </row>
    <row r="653" customFormat="false" ht="15" hidden="false" customHeight="false" outlineLevel="0" collapsed="false">
      <c r="A653" s="2" t="n">
        <v>642</v>
      </c>
      <c r="B653" s="13" t="n">
        <f aca="true">OFFSET(Datos!$B$1,1+$B$4+641,0)</f>
        <v>34.566</v>
      </c>
      <c r="C653" s="13" t="n">
        <f aca="true">OFFSET(Datos!$D$1,1+$B$4+641,0)</f>
        <v>159.445638553254</v>
      </c>
      <c r="D653" s="13" t="n">
        <f aca="true">OFFSET(Datos!$D$1,1+641,0)</f>
        <v>155.256742908849</v>
      </c>
      <c r="E653" s="13" t="n">
        <f aca="false">C653-D653</f>
        <v>4.18889564440485</v>
      </c>
    </row>
    <row r="654" customFormat="false" ht="15" hidden="false" customHeight="false" outlineLevel="0" collapsed="false">
      <c r="A654" s="2" t="n">
        <v>643</v>
      </c>
      <c r="B654" s="13" t="n">
        <f aca="true">OFFSET(Datos!$B$1,1+$B$4+642,0)</f>
        <v>34.6159999999998</v>
      </c>
      <c r="C654" s="13" t="n">
        <f aca="true">OFFSET(Datos!$D$1,1+$B$4+642,0)</f>
        <v>162.242993055139</v>
      </c>
      <c r="D654" s="13" t="n">
        <f aca="true">OFFSET(Datos!$D$1,1+642,0)</f>
        <v>155.592140004738</v>
      </c>
      <c r="E654" s="13" t="n">
        <f aca="false">C654-D654</f>
        <v>6.65085305040091</v>
      </c>
    </row>
    <row r="655" customFormat="false" ht="15" hidden="false" customHeight="false" outlineLevel="0" collapsed="false">
      <c r="A655" s="2" t="n">
        <v>644</v>
      </c>
      <c r="B655" s="13" t="n">
        <f aca="true">OFFSET(Datos!$B$1,1+$B$4+643,0)</f>
        <v>34.6659999999999</v>
      </c>
      <c r="C655" s="13" t="n">
        <f aca="true">OFFSET(Datos!$D$1,1+$B$4+643,0)</f>
        <v>158.674938843551</v>
      </c>
      <c r="D655" s="13" t="n">
        <f aca="true">OFFSET(Datos!$D$1,1+643,0)</f>
        <v>157.757948911173</v>
      </c>
      <c r="E655" s="13" t="n">
        <f aca="false">C655-D655</f>
        <v>0.916989932378243</v>
      </c>
    </row>
    <row r="656" customFormat="false" ht="15" hidden="false" customHeight="false" outlineLevel="0" collapsed="false">
      <c r="A656" s="2" t="n">
        <v>645</v>
      </c>
      <c r="B656" s="13" t="n">
        <f aca="true">OFFSET(Datos!$B$1,1+$B$4+644,0)</f>
        <v>34.7160000000001</v>
      </c>
      <c r="C656" s="13" t="n">
        <f aca="true">OFFSET(Datos!$D$1,1+$B$4+644,0)</f>
        <v>158.589305542473</v>
      </c>
      <c r="D656" s="13" t="n">
        <f aca="true">OFFSET(Datos!$D$1,1+644,0)</f>
        <v>158.457287536644</v>
      </c>
      <c r="E656" s="13" t="n">
        <f aca="false">C656-D656</f>
        <v>0.132018005828769</v>
      </c>
    </row>
    <row r="657" customFormat="false" ht="15" hidden="false" customHeight="false" outlineLevel="0" collapsed="false">
      <c r="A657" s="2" t="n">
        <v>646</v>
      </c>
      <c r="B657" s="13" t="n">
        <f aca="true">OFFSET(Datos!$B$1,1+$B$4+645,0)</f>
        <v>34.7659999999999</v>
      </c>
      <c r="C657" s="13" t="n">
        <f aca="true">OFFSET(Datos!$D$1,1+$B$4+645,0)</f>
        <v>160.359060431421</v>
      </c>
      <c r="D657" s="13" t="n">
        <f aca="true">OFFSET(Datos!$D$1,1+645,0)</f>
        <v>158.856909608342</v>
      </c>
      <c r="E657" s="13" t="n">
        <f aca="false">C657-D657</f>
        <v>1.50215082307872</v>
      </c>
    </row>
    <row r="658" customFormat="false" ht="15" hidden="false" customHeight="false" outlineLevel="0" collapsed="false">
      <c r="A658" s="2" t="n">
        <v>647</v>
      </c>
      <c r="B658" s="13" t="n">
        <f aca="true">OFFSET(Datos!$B$1,1+$B$4+646,0)</f>
        <v>34.816</v>
      </c>
      <c r="C658" s="13" t="n">
        <f aca="true">OFFSET(Datos!$D$1,1+$B$4+646,0)</f>
        <v>163.877161884047</v>
      </c>
      <c r="D658" s="13" t="n">
        <f aca="true">OFFSET(Datos!$D$1,1+646,0)</f>
        <v>161.43661280332</v>
      </c>
      <c r="E658" s="13" t="n">
        <f aca="false">C658-D658</f>
        <v>2.44054908072653</v>
      </c>
    </row>
    <row r="659" customFormat="false" ht="15" hidden="false" customHeight="false" outlineLevel="0" collapsed="false">
      <c r="A659" s="2" t="n">
        <v>648</v>
      </c>
      <c r="B659" s="13" t="n">
        <f aca="true">OFFSET(Datos!$B$1,1+$B$4+647,0)</f>
        <v>34.8659999999998</v>
      </c>
      <c r="C659" s="13" t="n">
        <f aca="true">OFFSET(Datos!$D$1,1+$B$4+647,0)</f>
        <v>154.60735704234</v>
      </c>
      <c r="D659" s="13" t="n">
        <f aca="true">OFFSET(Datos!$D$1,1+647,0)</f>
        <v>156.070259269091</v>
      </c>
      <c r="E659" s="13" t="n">
        <f aca="false">C659-D659</f>
        <v>-1.46290222675128</v>
      </c>
    </row>
    <row r="660" customFormat="false" ht="15" hidden="false" customHeight="false" outlineLevel="0" collapsed="false">
      <c r="A660" s="2" t="n">
        <v>649</v>
      </c>
      <c r="B660" s="13" t="n">
        <f aca="true">OFFSET(Datos!$B$1,1+$B$4+648,0)</f>
        <v>34.9159999999999</v>
      </c>
      <c r="C660" s="13" t="n">
        <f aca="true">OFFSET(Datos!$D$1,1+$B$4+648,0)</f>
        <v>162.913787246918</v>
      </c>
      <c r="D660" s="13" t="n">
        <f aca="true">OFFSET(Datos!$D$1,1+648,0)</f>
        <v>162.339330518852</v>
      </c>
      <c r="E660" s="13" t="n">
        <f aca="false">C660-D660</f>
        <v>0.574456728065712</v>
      </c>
    </row>
    <row r="661" customFormat="false" ht="15" hidden="false" customHeight="false" outlineLevel="0" collapsed="false">
      <c r="A661" s="2" t="n">
        <v>650</v>
      </c>
      <c r="B661" s="13" t="n">
        <f aca="true">OFFSET(Datos!$B$1,1+$B$4+649,0)</f>
        <v>34.9660000000001</v>
      </c>
      <c r="C661" s="13" t="n">
        <f aca="true">OFFSET(Datos!$D$1,1+$B$4+649,0)</f>
        <v>157.800765561712</v>
      </c>
      <c r="D661" s="13" t="n">
        <f aca="true">OFFSET(Datos!$D$1,1+649,0)</f>
        <v>162.995852493785</v>
      </c>
      <c r="E661" s="13" t="n">
        <f aca="false">C661-D661</f>
        <v>-5.19508693207283</v>
      </c>
    </row>
    <row r="662" customFormat="false" ht="15" hidden="false" customHeight="false" outlineLevel="0" collapsed="false">
      <c r="A662" s="2" t="n">
        <v>651</v>
      </c>
      <c r="B662" s="13" t="n">
        <f aca="true">OFFSET(Datos!$B$1,1+$B$4+650,0)</f>
        <v>35.0159999999999</v>
      </c>
      <c r="C662" s="13" t="n">
        <f aca="true">OFFSET(Datos!$D$1,1+$B$4+650,0)</f>
        <v>159.995118901839</v>
      </c>
      <c r="D662" s="13" t="n">
        <f aca="true">OFFSET(Datos!$D$1,1+650,0)</f>
        <v>155.806223257434</v>
      </c>
      <c r="E662" s="13" t="n">
        <f aca="false">C662-D662</f>
        <v>4.18889564440488</v>
      </c>
    </row>
    <row r="663" customFormat="false" ht="15" hidden="false" customHeight="false" outlineLevel="0" collapsed="false">
      <c r="A663" s="2" t="n">
        <v>652</v>
      </c>
      <c r="B663" s="13" t="n">
        <f aca="true">OFFSET(Datos!$B$1,1+$B$4+651,0)</f>
        <v>35.066</v>
      </c>
      <c r="C663" s="13" t="n">
        <f aca="true">OFFSET(Datos!$D$1,1+$B$4+651,0)</f>
        <v>157.265557429973</v>
      </c>
      <c r="D663" s="13" t="n">
        <f aca="true">OFFSET(Datos!$D$1,1+651,0)</f>
        <v>170.024919290614</v>
      </c>
      <c r="E663" s="13" t="n">
        <f aca="false">C663-D663</f>
        <v>-12.7593618606404</v>
      </c>
    </row>
    <row r="664" customFormat="false" ht="15" hidden="false" customHeight="false" outlineLevel="0" collapsed="false">
      <c r="A664" s="2" t="n">
        <v>653</v>
      </c>
      <c r="B664" s="13" t="n">
        <f aca="true">OFFSET(Datos!$B$1,1+$B$4+652,0)</f>
        <v>35.1159999999998</v>
      </c>
      <c r="C664" s="13" t="n">
        <f aca="true">OFFSET(Datos!$D$1,1+$B$4+652,0)</f>
        <v>159.313620547425</v>
      </c>
      <c r="D664" s="13" t="n">
        <f aca="true">OFFSET(Datos!$D$1,1+652,0)</f>
        <v>154.493179307569</v>
      </c>
      <c r="E664" s="13" t="n">
        <f aca="false">C664-D664</f>
        <v>4.82044123985602</v>
      </c>
    </row>
    <row r="665" customFormat="false" ht="15" hidden="false" customHeight="false" outlineLevel="0" collapsed="false">
      <c r="A665" s="2" t="n">
        <v>654</v>
      </c>
      <c r="B665" s="13" t="n">
        <f aca="true">OFFSET(Datos!$B$1,1+$B$4+653,0)</f>
        <v>35.1659999999999</v>
      </c>
      <c r="C665" s="13" t="n">
        <f aca="true">OFFSET(Datos!$D$1,1+$B$4+653,0)</f>
        <v>162.76036091582</v>
      </c>
      <c r="D665" s="13" t="n">
        <f aca="true">OFFSET(Datos!$D$1,1+653,0)</f>
        <v>156.537674370809</v>
      </c>
      <c r="E665" s="13" t="n">
        <f aca="false">C665-D665</f>
        <v>6.22268654501031</v>
      </c>
    </row>
    <row r="666" customFormat="false" ht="15" hidden="false" customHeight="false" outlineLevel="0" collapsed="false">
      <c r="A666" s="2" t="n">
        <v>655</v>
      </c>
      <c r="B666" s="13" t="n">
        <f aca="true">OFFSET(Datos!$B$1,1+$B$4+654,0)</f>
        <v>35.2160000000001</v>
      </c>
      <c r="C666" s="13" t="n">
        <f aca="true">OFFSET(Datos!$D$1,1+$B$4+654,0)</f>
        <v>157.144243586779</v>
      </c>
      <c r="D666" s="13" t="n">
        <f aca="true">OFFSET(Datos!$D$1,1+654,0)</f>
        <v>159.602632938564</v>
      </c>
      <c r="E666" s="13" t="n">
        <f aca="false">C666-D666</f>
        <v>-2.45838935178446</v>
      </c>
    </row>
    <row r="667" customFormat="false" ht="15" hidden="false" customHeight="false" outlineLevel="0" collapsed="false">
      <c r="A667" s="2" t="n">
        <v>656</v>
      </c>
      <c r="B667" s="13" t="n">
        <f aca="true">OFFSET(Datos!$B$1,1+$B$4+655,0)</f>
        <v>35.2659999999999</v>
      </c>
      <c r="C667" s="13" t="n">
        <f aca="true">OFFSET(Datos!$D$1,1+$B$4+655,0)</f>
        <v>156.769597894563</v>
      </c>
      <c r="D667" s="13" t="n">
        <f aca="true">OFFSET(Datos!$D$1,1+655,0)</f>
        <v>157.597386471651</v>
      </c>
      <c r="E667" s="13" t="n">
        <f aca="false">C667-D667</f>
        <v>-0.827788577088512</v>
      </c>
    </row>
    <row r="668" customFormat="false" ht="15" hidden="false" customHeight="false" outlineLevel="0" collapsed="false">
      <c r="A668" s="2" t="n">
        <v>657</v>
      </c>
      <c r="B668" s="13" t="n">
        <f aca="true">OFFSET(Datos!$B$1,1+$B$4+656,0)</f>
        <v>35.316</v>
      </c>
      <c r="C668" s="13" t="n">
        <f aca="true">OFFSET(Datos!$D$1,1+$B$4+656,0)</f>
        <v>154.646605638667</v>
      </c>
      <c r="D668" s="13" t="n">
        <f aca="true">OFFSET(Datos!$D$1,1+656,0)</f>
        <v>160.005823064473</v>
      </c>
      <c r="E668" s="13" t="n">
        <f aca="false">C668-D668</f>
        <v>-5.3592174258059</v>
      </c>
    </row>
    <row r="669" customFormat="false" ht="15" hidden="false" customHeight="false" outlineLevel="0" collapsed="false">
      <c r="A669" s="2" t="n">
        <v>658</v>
      </c>
      <c r="B669" s="13" t="n">
        <f aca="true">OFFSET(Datos!$B$1,1+$B$4+657,0)</f>
        <v>35.3659999999998</v>
      </c>
      <c r="C669" s="13" t="n">
        <f aca="true">OFFSET(Datos!$D$1,1+$B$4+657,0)</f>
        <v>160.837179695773</v>
      </c>
      <c r="D669" s="13" t="n">
        <f aca="true">OFFSET(Datos!$D$1,1+657,0)</f>
        <v>160.67304920204</v>
      </c>
      <c r="E669" s="13" t="n">
        <f aca="false">C669-D669</f>
        <v>0.16413049373304</v>
      </c>
    </row>
    <row r="670" customFormat="false" ht="15" hidden="false" customHeight="false" outlineLevel="0" collapsed="false">
      <c r="A670" s="2" t="n">
        <v>659</v>
      </c>
      <c r="B670" s="13" t="n">
        <f aca="true">OFFSET(Datos!$B$1,1+$B$4+658,0)</f>
        <v>35.4159999999999</v>
      </c>
      <c r="C670" s="13" t="n">
        <f aca="true">OFFSET(Datos!$D$1,1+$B$4+658,0)</f>
        <v>158.674938843551</v>
      </c>
      <c r="D670" s="13" t="n">
        <f aca="true">OFFSET(Datos!$D$1,1+658,0)</f>
        <v>156.776734002986</v>
      </c>
      <c r="E670" s="13" t="n">
        <f aca="false">C670-D670</f>
        <v>1.89820484056506</v>
      </c>
    </row>
    <row r="671" customFormat="false" ht="15" hidden="false" customHeight="false" outlineLevel="0" collapsed="false">
      <c r="A671" s="2" t="n">
        <v>660</v>
      </c>
      <c r="B671" s="13" t="n">
        <f aca="true">OFFSET(Datos!$B$1,1+$B$4+659,0)</f>
        <v>35.4660000000001</v>
      </c>
      <c r="C671" s="13" t="n">
        <f aca="true">OFFSET(Datos!$D$1,1+$B$4+659,0)</f>
        <v>153.986515609524</v>
      </c>
      <c r="D671" s="13" t="n">
        <f aca="true">OFFSET(Datos!$D$1,1+659,0)</f>
        <v>159.984414739204</v>
      </c>
      <c r="E671" s="13" t="n">
        <f aca="false">C671-D671</f>
        <v>-5.99789912968024</v>
      </c>
    </row>
    <row r="672" customFormat="false" ht="15" hidden="false" customHeight="false" outlineLevel="0" collapsed="false">
      <c r="A672" s="2" t="n">
        <v>661</v>
      </c>
      <c r="B672" s="13" t="n">
        <f aca="true">OFFSET(Datos!$B$1,1+$B$4+660,0)</f>
        <v>35.5170000000001</v>
      </c>
      <c r="C672" s="13" t="n">
        <f aca="true">OFFSET(Datos!$D$1,1+$B$4+660,0)</f>
        <v>162.078862561406</v>
      </c>
      <c r="D672" s="13" t="n">
        <f aca="true">OFFSET(Datos!$D$1,1+660,0)</f>
        <v>158.532216675087</v>
      </c>
      <c r="E672" s="13" t="n">
        <f aca="false">C672-D672</f>
        <v>3.54664588631894</v>
      </c>
    </row>
    <row r="673" customFormat="false" ht="15" hidden="false" customHeight="false" outlineLevel="0" collapsed="false">
      <c r="A673" s="2" t="n">
        <v>662</v>
      </c>
      <c r="B673" s="13" t="n">
        <f aca="true">OFFSET(Datos!$B$1,1+$B$4+661,0)</f>
        <v>35.5669999999998</v>
      </c>
      <c r="C673" s="13" t="n">
        <f aca="true">OFFSET(Datos!$D$1,1+$B$4+661,0)</f>
        <v>165.711141748803</v>
      </c>
      <c r="D673" s="13" t="n">
        <f aca="true">OFFSET(Datos!$D$1,1+661,0)</f>
        <v>165.018939231755</v>
      </c>
      <c r="E673" s="13" t="n">
        <f aca="false">C673-D673</f>
        <v>0.692202517048173</v>
      </c>
    </row>
    <row r="674" customFormat="false" ht="15" hidden="false" customHeight="false" outlineLevel="0" collapsed="false">
      <c r="A674" s="2" t="n">
        <v>663</v>
      </c>
      <c r="B674" s="13" t="n">
        <f aca="true">OFFSET(Datos!$B$1,1+$B$4+662,0)</f>
        <v>35.617</v>
      </c>
      <c r="C674" s="13" t="n">
        <f aca="true">OFFSET(Datos!$D$1,1+$B$4+662,0)</f>
        <v>156.191573112285</v>
      </c>
      <c r="D674" s="13" t="n">
        <f aca="true">OFFSET(Datos!$D$1,1+662,0)</f>
        <v>159.317188601637</v>
      </c>
      <c r="E674" s="13" t="n">
        <f aca="false">C674-D674</f>
        <v>-3.12561548935147</v>
      </c>
    </row>
    <row r="675" customFormat="false" ht="15" hidden="false" customHeight="false" outlineLevel="0" collapsed="false">
      <c r="A675" s="2" t="n">
        <v>664</v>
      </c>
      <c r="B675" s="13" t="n">
        <f aca="true">OFFSET(Datos!$B$1,1+$B$4+663,0)</f>
        <v>35.6669999999997</v>
      </c>
      <c r="C675" s="13" t="n">
        <f aca="true">OFFSET(Datos!$D$1,1+$B$4+663,0)</f>
        <v>157.97560021808</v>
      </c>
      <c r="D675" s="13" t="n">
        <f aca="true">OFFSET(Datos!$D$1,1+663,0)</f>
        <v>163.845049396143</v>
      </c>
      <c r="E675" s="13" t="n">
        <f aca="false">C675-D675</f>
        <v>-5.86944917806304</v>
      </c>
    </row>
    <row r="676" customFormat="false" ht="15" hidden="false" customHeight="false" outlineLevel="0" collapsed="false">
      <c r="A676" s="2" t="n">
        <v>665</v>
      </c>
      <c r="B676" s="13" t="n">
        <f aca="true">OFFSET(Datos!$B$1,1+$B$4+664,0)</f>
        <v>35.7169999999999</v>
      </c>
      <c r="C676" s="13" t="n">
        <f aca="true">OFFSET(Datos!$D$1,1+$B$4+664,0)</f>
        <v>161.925436230308</v>
      </c>
      <c r="D676" s="13" t="n">
        <f aca="true">OFFSET(Datos!$D$1,1+664,0)</f>
        <v>158.457287536644</v>
      </c>
      <c r="E676" s="13" t="n">
        <f aca="false">C676-D676</f>
        <v>3.46814869366398</v>
      </c>
    </row>
    <row r="677" customFormat="false" ht="15" hidden="false" customHeight="false" outlineLevel="0" collapsed="false">
      <c r="A677" s="2" t="n">
        <v>666</v>
      </c>
      <c r="B677" s="13" t="n">
        <f aca="true">OFFSET(Datos!$B$1,1+$B$4+665,0)</f>
        <v>35.7670000000001</v>
      </c>
      <c r="C677" s="13" t="n">
        <f aca="true">OFFSET(Datos!$D$1,1+$B$4+665,0)</f>
        <v>162.98514833115</v>
      </c>
      <c r="D677" s="13" t="n">
        <f aca="true">OFFSET(Datos!$D$1,1+665,0)</f>
        <v>158.368086181354</v>
      </c>
      <c r="E677" s="13" t="n">
        <f aca="false">C677-D677</f>
        <v>4.61706214979549</v>
      </c>
    </row>
    <row r="678" customFormat="false" ht="15" hidden="false" customHeight="false" outlineLevel="0" collapsed="false">
      <c r="A678" s="2" t="n">
        <v>667</v>
      </c>
      <c r="B678" s="13" t="n">
        <f aca="true">OFFSET(Datos!$B$1,1+$B$4+666,0)</f>
        <v>35.8169999999998</v>
      </c>
      <c r="C678" s="13" t="n">
        <f aca="true">OFFSET(Datos!$D$1,1+$B$4+666,0)</f>
        <v>154.528859849685</v>
      </c>
      <c r="D678" s="13" t="n">
        <f aca="true">OFFSET(Datos!$D$1,1+666,0)</f>
        <v>173.007812611502</v>
      </c>
      <c r="E678" s="13" t="n">
        <f aca="false">C678-D678</f>
        <v>-18.4789527618167</v>
      </c>
    </row>
    <row r="679" customFormat="false" ht="15" hidden="false" customHeight="false" outlineLevel="0" collapsed="false">
      <c r="A679" s="2" t="n">
        <v>668</v>
      </c>
      <c r="B679" s="13" t="n">
        <f aca="true">OFFSET(Datos!$B$1,1+$B$4+667,0)</f>
        <v>35.867</v>
      </c>
      <c r="C679" s="13" t="n">
        <f aca="true">OFFSET(Datos!$D$1,1+$B$4+667,0)</f>
        <v>161.14403235797</v>
      </c>
      <c r="D679" s="13" t="n">
        <f aca="true">OFFSET(Datos!$D$1,1+667,0)</f>
        <v>153.340697797226</v>
      </c>
      <c r="E679" s="13" t="n">
        <f aca="false">C679-D679</f>
        <v>7.80333456074399</v>
      </c>
    </row>
    <row r="680" customFormat="false" ht="15" hidden="false" customHeight="false" outlineLevel="0" collapsed="false">
      <c r="A680" s="2" t="n">
        <v>669</v>
      </c>
      <c r="B680" s="13" t="n">
        <f aca="true">OFFSET(Datos!$B$1,1+$B$4+668,0)</f>
        <v>35.9169999999997</v>
      </c>
      <c r="C680" s="13" t="n">
        <f aca="true">OFFSET(Datos!$D$1,1+$B$4+668,0)</f>
        <v>162.792473403724</v>
      </c>
      <c r="D680" s="13" t="n">
        <f aca="true">OFFSET(Datos!$D$1,1+668,0)</f>
        <v>157.030065852009</v>
      </c>
      <c r="E680" s="13" t="n">
        <f aca="false">C680-D680</f>
        <v>5.76240755171537</v>
      </c>
    </row>
    <row r="681" customFormat="false" ht="15" hidden="false" customHeight="false" outlineLevel="0" collapsed="false">
      <c r="A681" s="2" t="n">
        <v>670</v>
      </c>
      <c r="B681" s="13" t="n">
        <f aca="true">OFFSET(Datos!$B$1,1+$B$4+669,0)</f>
        <v>35.9669999999999</v>
      </c>
      <c r="C681" s="13" t="n">
        <f aca="true">OFFSET(Datos!$D$1,1+$B$4+669,0)</f>
        <v>158.635690247223</v>
      </c>
      <c r="D681" s="13" t="n">
        <f aca="true">OFFSET(Datos!$D$1,1+669,0)</f>
        <v>163.673782793986</v>
      </c>
      <c r="E681" s="13" t="n">
        <f aca="false">C681-D681</f>
        <v>-5.03809254676293</v>
      </c>
    </row>
    <row r="682" customFormat="false" ht="15" hidden="false" customHeight="false" outlineLevel="0" collapsed="false">
      <c r="A682" s="2" t="n">
        <v>671</v>
      </c>
      <c r="B682" s="13" t="n">
        <f aca="true">OFFSET(Datos!$B$1,1+$B$4+670,0)</f>
        <v>36.0170000000001</v>
      </c>
      <c r="C682" s="13" t="n">
        <f aca="true">OFFSET(Datos!$D$1,1+$B$4+670,0)</f>
        <v>159.306484439002</v>
      </c>
      <c r="D682" s="13" t="n">
        <f aca="true">OFFSET(Datos!$D$1,1+670,0)</f>
        <v>158.0433932481</v>
      </c>
      <c r="E682" s="13" t="n">
        <f aca="false">C682-D682</f>
        <v>1.26309119090232</v>
      </c>
    </row>
    <row r="683" customFormat="false" ht="15" hidden="false" customHeight="false" outlineLevel="0" collapsed="false">
      <c r="A683" s="2" t="n">
        <v>672</v>
      </c>
      <c r="B683" s="13" t="n">
        <f aca="true">OFFSET(Datos!$B$1,1+$B$4+671,0)</f>
        <v>36.0669999999998</v>
      </c>
      <c r="C683" s="13" t="n">
        <f aca="true">OFFSET(Datos!$D$1,1+$B$4+671,0)</f>
        <v>158.261044555007</v>
      </c>
      <c r="D683" s="13" t="n">
        <f aca="true">OFFSET(Datos!$D$1,1+671,0)</f>
        <v>157.561705929535</v>
      </c>
      <c r="E683" s="13" t="n">
        <f aca="false">C683-D683</f>
        <v>0.69933862547137</v>
      </c>
    </row>
    <row r="684" customFormat="false" ht="15" hidden="false" customHeight="false" outlineLevel="0" collapsed="false">
      <c r="A684" s="2" t="n">
        <v>673</v>
      </c>
      <c r="B684" s="13" t="n">
        <f aca="true">OFFSET(Datos!$B$1,1+$B$4+672,0)</f>
        <v>36.117</v>
      </c>
      <c r="C684" s="13" t="n">
        <f aca="true">OFFSET(Datos!$D$1,1+$B$4+672,0)</f>
        <v>162.335762464641</v>
      </c>
      <c r="D684" s="13" t="n">
        <f aca="true">OFFSET(Datos!$D$1,1+672,0)</f>
        <v>162.171631970908</v>
      </c>
      <c r="E684" s="13" t="n">
        <f aca="false">C684-D684</f>
        <v>0.164130493733069</v>
      </c>
    </row>
    <row r="685" customFormat="false" ht="15" hidden="false" customHeight="false" outlineLevel="0" collapsed="false">
      <c r="A685" s="2" t="n">
        <v>674</v>
      </c>
      <c r="B685" s="13" t="n">
        <f aca="true">OFFSET(Datos!$B$1,1+$B$4+673,0)</f>
        <v>36.1669999999997</v>
      </c>
      <c r="C685" s="13" t="n">
        <f aca="true">OFFSET(Datos!$D$1,1+$B$4+673,0)</f>
        <v>158.275316771853</v>
      </c>
      <c r="D685" s="13" t="n">
        <f aca="true">OFFSET(Datos!$D$1,1+673,0)</f>
        <v>156.362839714442</v>
      </c>
      <c r="E685" s="13" t="n">
        <f aca="false">C685-D685</f>
        <v>1.91247705741142</v>
      </c>
    </row>
    <row r="686" customFormat="false" ht="15" hidden="false" customHeight="false" outlineLevel="0" collapsed="false">
      <c r="A686" s="2" t="n">
        <v>675</v>
      </c>
      <c r="B686" s="13" t="n">
        <f aca="true">OFFSET(Datos!$B$1,1+$B$4+674,0)</f>
        <v>36.2169999999999</v>
      </c>
      <c r="C686" s="13" t="n">
        <f aca="true">OFFSET(Datos!$D$1,1+$B$4+674,0)</f>
        <v>165.946633326768</v>
      </c>
      <c r="D686" s="13" t="n">
        <f aca="true">OFFSET(Datos!$D$1,1+674,0)</f>
        <v>157.786493344865</v>
      </c>
      <c r="E686" s="13" t="n">
        <f aca="false">C686-D686</f>
        <v>8.1601399819028</v>
      </c>
    </row>
    <row r="687" customFormat="false" ht="15" hidden="false" customHeight="false" outlineLevel="0" collapsed="false">
      <c r="A687" s="2" t="n">
        <v>676</v>
      </c>
      <c r="B687" s="13" t="n">
        <f aca="true">OFFSET(Datos!$B$1,1+$B$4+675,0)</f>
        <v>36.2670000000001</v>
      </c>
      <c r="C687" s="13" t="n">
        <f aca="true">OFFSET(Datos!$D$1,1+$B$4+675,0)</f>
        <v>157.897103025425</v>
      </c>
      <c r="D687" s="13" t="n">
        <f aca="true">OFFSET(Datos!$D$1,1+675,0)</f>
        <v>159.716810673335</v>
      </c>
      <c r="E687" s="13" t="n">
        <f aca="false">C687-D687</f>
        <v>-1.81970764791015</v>
      </c>
    </row>
    <row r="688" customFormat="false" ht="15" hidden="false" customHeight="false" outlineLevel="0" collapsed="false">
      <c r="A688" s="2" t="n">
        <v>677</v>
      </c>
      <c r="B688" s="13" t="n">
        <f aca="true">OFFSET(Datos!$B$1,1+$B$4+676,0)</f>
        <v>36.3169999999998</v>
      </c>
      <c r="C688" s="13" t="n">
        <f aca="true">OFFSET(Datos!$D$1,1+$B$4+676,0)</f>
        <v>157.276261592608</v>
      </c>
      <c r="D688" s="13" t="n">
        <f aca="true">OFFSET(Datos!$D$1,1+676,0)</f>
        <v>154.132805832199</v>
      </c>
      <c r="E688" s="13" t="n">
        <f aca="false">C688-D688</f>
        <v>3.14345576040944</v>
      </c>
    </row>
    <row r="689" customFormat="false" ht="15" hidden="false" customHeight="false" outlineLevel="0" collapsed="false">
      <c r="A689" s="2" t="n">
        <v>678</v>
      </c>
      <c r="B689" s="13" t="n">
        <f aca="true">OFFSET(Datos!$B$1,1+$B$4+677,0)</f>
        <v>36.367</v>
      </c>
      <c r="C689" s="13" t="n">
        <f aca="true">OFFSET(Datos!$D$1,1+$B$4+677,0)</f>
        <v>165.307951622894</v>
      </c>
      <c r="D689" s="13" t="n">
        <f aca="true">OFFSET(Datos!$D$1,1+677,0)</f>
        <v>155.085476306693</v>
      </c>
      <c r="E689" s="13" t="n">
        <f aca="false">C689-D689</f>
        <v>10.222475316201</v>
      </c>
    </row>
    <row r="690" customFormat="false" ht="15" hidden="false" customHeight="false" outlineLevel="0" collapsed="false">
      <c r="A690" s="2" t="n">
        <v>679</v>
      </c>
      <c r="B690" s="13" t="n">
        <f aca="true">OFFSET(Datos!$B$1,1+$B$4+678,0)</f>
        <v>36.4169999999997</v>
      </c>
      <c r="C690" s="13" t="n">
        <f aca="true">OFFSET(Datos!$D$1,1+$B$4+678,0)</f>
        <v>156.512697991328</v>
      </c>
      <c r="D690" s="13" t="n">
        <f aca="true">OFFSET(Datos!$D$1,1+678,0)</f>
        <v>159.477751041158</v>
      </c>
      <c r="E690" s="13" t="n">
        <f aca="false">C690-D690</f>
        <v>-2.96505304983003</v>
      </c>
    </row>
    <row r="691" customFormat="false" ht="15" hidden="false" customHeight="false" outlineLevel="0" collapsed="false">
      <c r="A691" s="2" t="n">
        <v>680</v>
      </c>
      <c r="B691" s="13" t="n">
        <f aca="true">OFFSET(Datos!$B$1,1+$B$4+679,0)</f>
        <v>36.4669999999999</v>
      </c>
      <c r="C691" s="13" t="n">
        <f aca="true">OFFSET(Datos!$D$1,1+$B$4+679,0)</f>
        <v>160.187793829264</v>
      </c>
      <c r="D691" s="13" t="n">
        <f aca="true">OFFSET(Datos!$D$1,1+679,0)</f>
        <v>155.781246877953</v>
      </c>
      <c r="E691" s="13" t="n">
        <f aca="false">C691-D691</f>
        <v>4.40654695131175</v>
      </c>
    </row>
    <row r="692" customFormat="false" ht="15" hidden="false" customHeight="false" outlineLevel="0" collapsed="false">
      <c r="A692" s="2" t="n">
        <v>681</v>
      </c>
      <c r="B692" s="13" t="n">
        <f aca="true">OFFSET(Datos!$B$1,1+$B$4+680,0)</f>
        <v>36.5170000000001</v>
      </c>
      <c r="C692" s="13" t="n">
        <f aca="true">OFFSET(Datos!$D$1,1+$B$4+680,0)</f>
        <v>162.956603897457</v>
      </c>
      <c r="D692" s="13" t="n">
        <f aca="true">OFFSET(Datos!$D$1,1+680,0)</f>
        <v>165.332928002375</v>
      </c>
      <c r="E692" s="13" t="n">
        <f aca="false">C692-D692</f>
        <v>-2.37632410491793</v>
      </c>
    </row>
    <row r="693" customFormat="false" ht="15" hidden="false" customHeight="false" outlineLevel="0" collapsed="false">
      <c r="A693" s="2" t="n">
        <v>682</v>
      </c>
      <c r="B693" s="13" t="n">
        <f aca="true">OFFSET(Datos!$B$1,1+$B$4+681,0)</f>
        <v>36.5669999999998</v>
      </c>
      <c r="C693" s="13" t="n">
        <f aca="true">OFFSET(Datos!$D$1,1+$B$4+681,0)</f>
        <v>163.349089860732</v>
      </c>
      <c r="D693" s="13" t="n">
        <f aca="true">OFFSET(Datos!$D$1,1+681,0)</f>
        <v>163.473971758137</v>
      </c>
      <c r="E693" s="13" t="n">
        <f aca="false">C693-D693</f>
        <v>-0.124881897405601</v>
      </c>
    </row>
    <row r="694" customFormat="false" ht="15" hidden="false" customHeight="false" outlineLevel="0" collapsed="false">
      <c r="A694" s="2" t="n">
        <v>683</v>
      </c>
      <c r="B694" s="13" t="n">
        <f aca="true">OFFSET(Datos!$B$1,1+$B$4+682,0)</f>
        <v>36.617</v>
      </c>
      <c r="C694" s="13" t="n">
        <f aca="true">OFFSET(Datos!$D$1,1+$B$4+682,0)</f>
        <v>161.518678050187</v>
      </c>
      <c r="D694" s="13" t="n">
        <f aca="true">OFFSET(Datos!$D$1,1+682,0)</f>
        <v>158.31456536818</v>
      </c>
      <c r="E694" s="13" t="n">
        <f aca="false">C694-D694</f>
        <v>3.20411268200644</v>
      </c>
    </row>
    <row r="695" customFormat="false" ht="15" hidden="false" customHeight="false" outlineLevel="0" collapsed="false">
      <c r="A695" s="2" t="n">
        <v>684</v>
      </c>
      <c r="B695" s="13" t="n">
        <f aca="true">OFFSET(Datos!$B$1,1+$B$4+683,0)</f>
        <v>36.6669999999997</v>
      </c>
      <c r="C695" s="13" t="n">
        <f aca="true">OFFSET(Datos!$D$1,1+$B$4+683,0)</f>
        <v>161.800554332902</v>
      </c>
      <c r="D695" s="13" t="n">
        <f aca="true">OFFSET(Datos!$D$1,1+683,0)</f>
        <v>159.977278630781</v>
      </c>
      <c r="E695" s="13" t="n">
        <f aca="false">C695-D695</f>
        <v>1.82327570212169</v>
      </c>
    </row>
    <row r="696" customFormat="false" ht="15" hidden="false" customHeight="false" outlineLevel="0" collapsed="false">
      <c r="A696" s="2" t="n">
        <v>685</v>
      </c>
      <c r="B696" s="13" t="n">
        <f aca="true">OFFSET(Datos!$B$1,1+$B$4+684,0)</f>
        <v>36.7169999999999</v>
      </c>
      <c r="C696" s="13" t="n">
        <f aca="true">OFFSET(Datos!$D$1,1+$B$4+684,0)</f>
        <v>156.344999443384</v>
      </c>
      <c r="D696" s="13" t="n">
        <f aca="true">OFFSET(Datos!$D$1,1+684,0)</f>
        <v>163.231344071749</v>
      </c>
      <c r="E696" s="13" t="n">
        <f aca="false">C696-D696</f>
        <v>-6.88634462836575</v>
      </c>
    </row>
    <row r="697" customFormat="false" ht="15" hidden="false" customHeight="false" outlineLevel="0" collapsed="false">
      <c r="A697" s="2" t="n">
        <v>686</v>
      </c>
      <c r="B697" s="13" t="n">
        <f aca="true">OFFSET(Datos!$B$1,1+$B$4+685,0)</f>
        <v>36.7670000000001</v>
      </c>
      <c r="C697" s="13" t="n">
        <f aca="true">OFFSET(Datos!$D$1,1+$B$4+685,0)</f>
        <v>163.184959366999</v>
      </c>
      <c r="D697" s="13" t="n">
        <f aca="true">OFFSET(Datos!$D$1,1+685,0)</f>
        <v>154.575244554436</v>
      </c>
      <c r="E697" s="13" t="n">
        <f aca="false">C697-D697</f>
        <v>8.609714812563</v>
      </c>
    </row>
    <row r="698" customFormat="false" ht="15" hidden="false" customHeight="false" outlineLevel="0" collapsed="false">
      <c r="A698" s="2" t="n">
        <v>687</v>
      </c>
      <c r="B698" s="13" t="n">
        <f aca="true">OFFSET(Datos!$B$1,1+$B$4+686,0)</f>
        <v>36.8169999999998</v>
      </c>
      <c r="C698" s="13" t="n">
        <f aca="true">OFFSET(Datos!$D$1,1+$B$4+686,0)</f>
        <v>156.948000605142</v>
      </c>
      <c r="D698" s="13" t="n">
        <f aca="true">OFFSET(Datos!$D$1,1+686,0)</f>
        <v>161.23323371326</v>
      </c>
      <c r="E698" s="13" t="n">
        <f aca="false">C698-D698</f>
        <v>-4.28523310811775</v>
      </c>
    </row>
    <row r="699" customFormat="false" ht="15" hidden="false" customHeight="false" outlineLevel="0" collapsed="false">
      <c r="A699" s="2" t="n">
        <v>688</v>
      </c>
      <c r="B699" s="13" t="n">
        <f aca="true">OFFSET(Datos!$B$1,1+$B$4+687,0)</f>
        <v>36.867</v>
      </c>
      <c r="C699" s="13" t="n">
        <f aca="true">OFFSET(Datos!$D$1,1+$B$4+687,0)</f>
        <v>167.405967499308</v>
      </c>
      <c r="D699" s="13" t="n">
        <f aca="true">OFFSET(Datos!$D$1,1+687,0)</f>
        <v>158.139730711813</v>
      </c>
      <c r="E699" s="13" t="n">
        <f aca="false">C699-D699</f>
        <v>9.26623678749527</v>
      </c>
    </row>
    <row r="700" customFormat="false" ht="15" hidden="false" customHeight="false" outlineLevel="0" collapsed="false">
      <c r="A700" s="2" t="n">
        <v>689</v>
      </c>
      <c r="B700" s="13" t="n">
        <f aca="true">OFFSET(Datos!$B$1,1+$B$4+688,0)</f>
        <v>36.9169999999997</v>
      </c>
      <c r="C700" s="13" t="n">
        <f aca="true">OFFSET(Datos!$D$1,1+$B$4+688,0)</f>
        <v>157.03363390622</v>
      </c>
      <c r="D700" s="13" t="n">
        <f aca="true">OFFSET(Datos!$D$1,1+688,0)</f>
        <v>156.658988214003</v>
      </c>
      <c r="E700" s="13" t="n">
        <f aca="false">C700-D700</f>
        <v>0.374645692216802</v>
      </c>
    </row>
    <row r="701" customFormat="false" ht="15" hidden="false" customHeight="false" outlineLevel="0" collapsed="false">
      <c r="A701" s="2" t="n">
        <v>690</v>
      </c>
      <c r="B701" s="13" t="n">
        <f aca="true">OFFSET(Datos!$B$1,1+$B$4+689,0)</f>
        <v>36.9669999999999</v>
      </c>
      <c r="C701" s="13" t="n">
        <f aca="true">OFFSET(Datos!$D$1,1+$B$4+689,0)</f>
        <v>159.659721805949</v>
      </c>
      <c r="D701" s="13" t="n">
        <f aca="true">OFFSET(Datos!$D$1,1+689,0)</f>
        <v>159.474182986947</v>
      </c>
      <c r="E701" s="13" t="n">
        <f aca="false">C701-D701</f>
        <v>0.18553881900263</v>
      </c>
    </row>
    <row r="702" customFormat="false" ht="15" hidden="false" customHeight="false" outlineLevel="0" collapsed="false">
      <c r="A702" s="2" t="n">
        <v>691</v>
      </c>
      <c r="B702" s="13" t="n">
        <f aca="true">OFFSET(Datos!$B$1,1+$B$4+690,0)</f>
        <v>37.0170000000001</v>
      </c>
      <c r="C702" s="13" t="n">
        <f aca="true">OFFSET(Datos!$D$1,1+$B$4+690,0)</f>
        <v>160.023663335531</v>
      </c>
      <c r="D702" s="13" t="n">
        <f aca="true">OFFSET(Datos!$D$1,1+690,0)</f>
        <v>160.494646491461</v>
      </c>
      <c r="E702" s="13" t="n">
        <f aca="false">C702-D702</f>
        <v>-0.470983155929673</v>
      </c>
    </row>
    <row r="703" customFormat="false" ht="15" hidden="false" customHeight="false" outlineLevel="0" collapsed="false">
      <c r="A703" s="2" t="n">
        <v>692</v>
      </c>
      <c r="B703" s="13" t="n">
        <f aca="true">OFFSET(Datos!$B$1,1+$B$4+691,0)</f>
        <v>37.0669999999998</v>
      </c>
      <c r="C703" s="13" t="n">
        <f aca="true">OFFSET(Datos!$D$1,1+$B$4+691,0)</f>
        <v>153.711775435231</v>
      </c>
      <c r="D703" s="13" t="n">
        <f aca="true">OFFSET(Datos!$D$1,1+691,0)</f>
        <v>159.445638553254</v>
      </c>
      <c r="E703" s="13" t="n">
        <f aca="false">C703-D703</f>
        <v>-5.73386311802267</v>
      </c>
    </row>
    <row r="704" customFormat="false" ht="15" hidden="false" customHeight="false" outlineLevel="0" collapsed="false">
      <c r="A704" s="2" t="n">
        <v>693</v>
      </c>
      <c r="B704" s="13" t="n">
        <f aca="true">OFFSET(Datos!$B$1,1+$B$4+692,0)</f>
        <v>37.117</v>
      </c>
      <c r="C704" s="13" t="n">
        <f aca="true">OFFSET(Datos!$D$1,1+$B$4+692,0)</f>
        <v>160.405445136171</v>
      </c>
      <c r="D704" s="13" t="n">
        <f aca="true">OFFSET(Datos!$D$1,1+692,0)</f>
        <v>162.242993055139</v>
      </c>
      <c r="E704" s="13" t="n">
        <f aca="false">C704-D704</f>
        <v>-1.83754791896806</v>
      </c>
    </row>
    <row r="705" customFormat="false" ht="15" hidden="false" customHeight="false" outlineLevel="0" collapsed="false">
      <c r="A705" s="2" t="n">
        <v>694</v>
      </c>
      <c r="B705" s="13" t="n">
        <f aca="true">OFFSET(Datos!$B$1,1+$B$4+693,0)</f>
        <v>37.1669999999997</v>
      </c>
      <c r="C705" s="13" t="n">
        <f aca="true">OFFSET(Datos!$D$1,1+$B$4+693,0)</f>
        <v>154.13637388641</v>
      </c>
      <c r="D705" s="13" t="n">
        <f aca="true">OFFSET(Datos!$D$1,1+693,0)</f>
        <v>158.674938843551</v>
      </c>
      <c r="E705" s="13" t="n">
        <f aca="false">C705-D705</f>
        <v>-4.53856495714052</v>
      </c>
    </row>
    <row r="706" customFormat="false" ht="15" hidden="false" customHeight="false" outlineLevel="0" collapsed="false">
      <c r="A706" s="2" t="n">
        <v>695</v>
      </c>
      <c r="B706" s="13" t="n">
        <f aca="true">OFFSET(Datos!$B$1,1+$B$4+694,0)</f>
        <v>37.2169999999999</v>
      </c>
      <c r="C706" s="13" t="n">
        <f aca="true">OFFSET(Datos!$D$1,1+$B$4+694,0)</f>
        <v>165.147389183372</v>
      </c>
      <c r="D706" s="13" t="n">
        <f aca="true">OFFSET(Datos!$D$1,1+694,0)</f>
        <v>158.589305542473</v>
      </c>
      <c r="E706" s="13" t="n">
        <f aca="false">C706-D706</f>
        <v>6.55808364089961</v>
      </c>
    </row>
    <row r="707" customFormat="false" ht="15" hidden="false" customHeight="false" outlineLevel="0" collapsed="false">
      <c r="A707" s="2" t="n">
        <v>696</v>
      </c>
      <c r="B707" s="13" t="n">
        <f aca="true">OFFSET(Datos!$B$1,1+$B$4+695,0)</f>
        <v>37.2670000000001</v>
      </c>
      <c r="C707" s="13" t="n">
        <f aca="true">OFFSET(Datos!$D$1,1+$B$4+695,0)</f>
        <v>165.711141748803</v>
      </c>
      <c r="D707" s="13" t="n">
        <f aca="true">OFFSET(Datos!$D$1,1+695,0)</f>
        <v>160.359060431421</v>
      </c>
      <c r="E707" s="13" t="n">
        <f aca="false">C707-D707</f>
        <v>5.35208131738273</v>
      </c>
    </row>
    <row r="708" customFormat="false" ht="15" hidden="false" customHeight="false" outlineLevel="0" collapsed="false">
      <c r="A708" s="2" t="n">
        <v>697</v>
      </c>
      <c r="B708" s="13" t="n">
        <f aca="true">OFFSET(Datos!$B$1,1+$B$4+696,0)</f>
        <v>37.3169999999998</v>
      </c>
      <c r="C708" s="13" t="n">
        <f aca="true">OFFSET(Datos!$D$1,1+$B$4+696,0)</f>
        <v>155.181813770406</v>
      </c>
      <c r="D708" s="13" t="n">
        <f aca="true">OFFSET(Datos!$D$1,1+696,0)</f>
        <v>163.877161884047</v>
      </c>
      <c r="E708" s="13" t="n">
        <f aca="false">C708-D708</f>
        <v>-8.6953481136411</v>
      </c>
    </row>
    <row r="709" customFormat="false" ht="15" hidden="false" customHeight="false" outlineLevel="0" collapsed="false">
      <c r="A709" s="2" t="n">
        <v>698</v>
      </c>
      <c r="B709" s="13" t="n">
        <f aca="true">OFFSET(Datos!$B$1,1+$B$4+697,0)</f>
        <v>37.367</v>
      </c>
      <c r="C709" s="13" t="n">
        <f aca="true">OFFSET(Datos!$D$1,1+$B$4+697,0)</f>
        <v>158.207523741833</v>
      </c>
      <c r="D709" s="13" t="n">
        <f aca="true">OFFSET(Datos!$D$1,1+697,0)</f>
        <v>154.60735704234</v>
      </c>
      <c r="E709" s="13" t="n">
        <f aca="false">C709-D709</f>
        <v>3.60016669949275</v>
      </c>
    </row>
    <row r="710" customFormat="false" ht="15" hidden="false" customHeight="false" outlineLevel="0" collapsed="false">
      <c r="A710" s="2" t="n">
        <v>699</v>
      </c>
      <c r="B710" s="13" t="n">
        <f aca="true">OFFSET(Datos!$B$1,1+$B$4+698,0)</f>
        <v>37.4169999999997</v>
      </c>
      <c r="C710" s="13" t="n">
        <f aca="true">OFFSET(Datos!$D$1,1+$B$4+698,0)</f>
        <v>158.232500121314</v>
      </c>
      <c r="D710" s="13" t="n">
        <f aca="true">OFFSET(Datos!$D$1,1+698,0)</f>
        <v>162.913787246918</v>
      </c>
      <c r="E710" s="13" t="n">
        <f aca="false">C710-D710</f>
        <v>-4.68128712560406</v>
      </c>
    </row>
    <row r="711" customFormat="false" ht="15" hidden="false" customHeight="false" outlineLevel="0" collapsed="false">
      <c r="A711" s="2" t="n">
        <v>700</v>
      </c>
      <c r="B711" s="13" t="n">
        <f aca="true">OFFSET(Datos!$B$1,1+$B$4+699,0)</f>
        <v>37.4669999999999</v>
      </c>
      <c r="C711" s="13" t="n">
        <f aca="true">OFFSET(Datos!$D$1,1+$B$4+699,0)</f>
        <v>155.713453847932</v>
      </c>
      <c r="D711" s="13" t="n">
        <f aca="true">OFFSET(Datos!$D$1,1+699,0)</f>
        <v>157.800765561712</v>
      </c>
      <c r="E711" s="13" t="n">
        <f aca="false">C711-D711</f>
        <v>-2.08731171377923</v>
      </c>
    </row>
    <row r="712" customFormat="false" ht="15" hidden="false" customHeight="false" outlineLevel="0" collapsed="false">
      <c r="A712" s="2" t="n">
        <v>701</v>
      </c>
      <c r="B712" s="13" t="n">
        <f aca="true">OFFSET(Datos!$B$1,1+$B$4+700,0)</f>
        <v>37.5170000000001</v>
      </c>
      <c r="C712" s="13" t="n">
        <f aca="true">OFFSET(Datos!$D$1,1+$B$4+700,0)</f>
        <v>160.369764594055</v>
      </c>
      <c r="D712" s="13" t="n">
        <f aca="true">OFFSET(Datos!$D$1,1+700,0)</f>
        <v>159.995118901839</v>
      </c>
      <c r="E712" s="13" t="n">
        <f aca="false">C712-D712</f>
        <v>0.374645692216774</v>
      </c>
    </row>
    <row r="713" customFormat="false" ht="15" hidden="false" customHeight="false" outlineLevel="0" collapsed="false">
      <c r="A713" s="2" t="n">
        <v>702</v>
      </c>
      <c r="B713" s="13" t="n">
        <f aca="true">OFFSET(Datos!$B$1,1+$B$4+701,0)</f>
        <v>37.5669999999998</v>
      </c>
      <c r="C713" s="13" t="n">
        <f aca="true">OFFSET(Datos!$D$1,1+$B$4+701,0)</f>
        <v>155.467258107333</v>
      </c>
      <c r="D713" s="13" t="n">
        <f aca="true">OFFSET(Datos!$D$1,1+701,0)</f>
        <v>157.265557429973</v>
      </c>
      <c r="E713" s="13" t="n">
        <f aca="false">C713-D713</f>
        <v>-1.79829932264056</v>
      </c>
    </row>
    <row r="714" customFormat="false" ht="15" hidden="false" customHeight="false" outlineLevel="0" collapsed="false">
      <c r="A714" s="2" t="n">
        <v>703</v>
      </c>
      <c r="B714" s="13" t="n">
        <f aca="true">OFFSET(Datos!$B$1,1+$B$4+702,0)</f>
        <v>37.617</v>
      </c>
      <c r="C714" s="13" t="n">
        <f aca="true">OFFSET(Datos!$D$1,1+$B$4+702,0)</f>
        <v>155.609980275796</v>
      </c>
      <c r="D714" s="13" t="n">
        <f aca="true">OFFSET(Datos!$D$1,1+702,0)</f>
        <v>159.313620547425</v>
      </c>
      <c r="E714" s="13" t="n">
        <f aca="false">C714-D714</f>
        <v>-3.70364027162884</v>
      </c>
    </row>
    <row r="715" customFormat="false" ht="15" hidden="false" customHeight="false" outlineLevel="0" collapsed="false">
      <c r="A715" s="2" t="n">
        <v>704</v>
      </c>
      <c r="B715" s="13" t="n">
        <f aca="true">OFFSET(Datos!$B$1,1+$B$4+703,0)</f>
        <v>37.6669999999997</v>
      </c>
      <c r="C715" s="13" t="n">
        <f aca="true">OFFSET(Datos!$D$1,1+$B$4+703,0)</f>
        <v>155.37092064362</v>
      </c>
      <c r="D715" s="13" t="n">
        <f aca="true">OFFSET(Datos!$D$1,1+703,0)</f>
        <v>162.76036091582</v>
      </c>
      <c r="E715" s="13" t="n">
        <f aca="false">C715-D715</f>
        <v>-7.38944027219975</v>
      </c>
    </row>
    <row r="716" customFormat="false" ht="15" hidden="false" customHeight="false" outlineLevel="0" collapsed="false">
      <c r="A716" s="2" t="n">
        <v>705</v>
      </c>
      <c r="B716" s="13" t="n">
        <f aca="true">OFFSET(Datos!$B$1,1+$B$4+704,0)</f>
        <v>37.7169999999999</v>
      </c>
      <c r="C716" s="13" t="n">
        <f aca="true">OFFSET(Datos!$D$1,1+$B$4+704,0)</f>
        <v>159.566952396448</v>
      </c>
      <c r="D716" s="13" t="n">
        <f aca="true">OFFSET(Datos!$D$1,1+704,0)</f>
        <v>157.144243586779</v>
      </c>
      <c r="E716" s="13" t="n">
        <f aca="false">C716-D716</f>
        <v>2.42270880966856</v>
      </c>
    </row>
    <row r="717" customFormat="false" ht="15" hidden="false" customHeight="false" outlineLevel="0" collapsed="false">
      <c r="A717" s="2" t="n">
        <v>706</v>
      </c>
      <c r="B717" s="13" t="n">
        <f aca="true">OFFSET(Datos!$B$1,1+$B$4+705,0)</f>
        <v>37.7670000000001</v>
      </c>
      <c r="C717" s="13" t="n">
        <f aca="true">OFFSET(Datos!$D$1,1+$B$4+705,0)</f>
        <v>159.838124516529</v>
      </c>
      <c r="D717" s="13" t="n">
        <f aca="true">OFFSET(Datos!$D$1,1+705,0)</f>
        <v>156.769597894563</v>
      </c>
      <c r="E717" s="13" t="n">
        <f aca="false">C717-D717</f>
        <v>3.06852662196607</v>
      </c>
    </row>
    <row r="718" customFormat="false" ht="15" hidden="false" customHeight="false" outlineLevel="0" collapsed="false">
      <c r="A718" s="2" t="n">
        <v>707</v>
      </c>
      <c r="B718" s="13" t="n">
        <f aca="true">OFFSET(Datos!$B$1,1+$B$4+706,0)</f>
        <v>37.8169999999998</v>
      </c>
      <c r="C718" s="13" t="n">
        <f aca="true">OFFSET(Datos!$D$1,1+$B$4+706,0)</f>
        <v>157.294101863666</v>
      </c>
      <c r="D718" s="13" t="n">
        <f aca="true">OFFSET(Datos!$D$1,1+706,0)</f>
        <v>154.646605638667</v>
      </c>
      <c r="E718" s="13" t="n">
        <f aca="false">C718-D718</f>
        <v>2.64749622499863</v>
      </c>
    </row>
    <row r="719" customFormat="false" ht="15" hidden="false" customHeight="false" outlineLevel="0" collapsed="false">
      <c r="A719" s="2" t="n">
        <v>708</v>
      </c>
      <c r="B719" s="13" t="n">
        <f aca="true">OFFSET(Datos!$B$1,1+$B$4+707,0)</f>
        <v>37.867</v>
      </c>
      <c r="C719" s="13" t="n">
        <f aca="true">OFFSET(Datos!$D$1,1+$B$4+707,0)</f>
        <v>156.095235648572</v>
      </c>
      <c r="D719" s="13" t="n">
        <f aca="true">OFFSET(Datos!$D$1,1+707,0)</f>
        <v>160.837179695773</v>
      </c>
      <c r="E719" s="13" t="n">
        <f aca="false">C719-D719</f>
        <v>-4.74194404720106</v>
      </c>
    </row>
    <row r="720" customFormat="false" ht="15" hidden="false" customHeight="false" outlineLevel="0" collapsed="false">
      <c r="A720" s="2" t="n">
        <v>709</v>
      </c>
      <c r="B720" s="13" t="n">
        <f aca="true">OFFSET(Datos!$B$1,1+$B$4+708,0)</f>
        <v>37.9169999999997</v>
      </c>
      <c r="C720" s="13" t="n">
        <f aca="true">OFFSET(Datos!$D$1,1+$B$4+708,0)</f>
        <v>157.408279598437</v>
      </c>
      <c r="D720" s="13" t="n">
        <f aca="true">OFFSET(Datos!$D$1,1+708,0)</f>
        <v>158.674938843551</v>
      </c>
      <c r="E720" s="13" t="n">
        <f aca="false">C720-D720</f>
        <v>-1.26665924511389</v>
      </c>
    </row>
    <row r="721" customFormat="false" ht="15" hidden="false" customHeight="false" outlineLevel="0" collapsed="false">
      <c r="A721" s="2" t="n">
        <v>710</v>
      </c>
      <c r="B721" s="13" t="n">
        <f aca="true">OFFSET(Datos!$B$1,1+$B$4+709,0)</f>
        <v>37.9669999999999</v>
      </c>
      <c r="C721" s="13" t="n">
        <f aca="true">OFFSET(Datos!$D$1,1+$B$4+709,0)</f>
        <v>158.674938843551</v>
      </c>
      <c r="D721" s="13" t="n">
        <f aca="true">OFFSET(Datos!$D$1,1+709,0)</f>
        <v>153.986515609524</v>
      </c>
      <c r="E721" s="13" t="n">
        <f aca="false">C721-D721</f>
        <v>4.68842323402726</v>
      </c>
    </row>
    <row r="722" customFormat="false" ht="15" hidden="false" customHeight="false" outlineLevel="0" collapsed="false">
      <c r="A722" s="2" t="n">
        <v>711</v>
      </c>
      <c r="B722" s="13" t="n">
        <f aca="true">OFFSET(Datos!$B$1,1+$B$4+710,0)</f>
        <v>38.0170000000001</v>
      </c>
      <c r="C722" s="13" t="n">
        <f aca="true">OFFSET(Datos!$D$1,1+$B$4+710,0)</f>
        <v>154.560972337589</v>
      </c>
      <c r="D722" s="13" t="n">
        <f aca="true">OFFSET(Datos!$D$1,1+710,0)</f>
        <v>162.078862561406</v>
      </c>
      <c r="E722" s="13" t="n">
        <f aca="false">C722-D722</f>
        <v>-7.51789022381692</v>
      </c>
    </row>
    <row r="723" customFormat="false" ht="15" hidden="false" customHeight="false" outlineLevel="0" collapsed="false">
      <c r="A723" s="2" t="n">
        <v>712</v>
      </c>
      <c r="B723" s="13" t="n">
        <f aca="true">OFFSET(Datos!$B$1,1+$B$4+711,0)</f>
        <v>38.0669999999998</v>
      </c>
      <c r="C723" s="13" t="n">
        <f aca="true">OFFSET(Datos!$D$1,1+$B$4+711,0)</f>
        <v>157.761516965384</v>
      </c>
      <c r="D723" s="13" t="n">
        <f aca="true">OFFSET(Datos!$D$1,1+711,0)</f>
        <v>165.711141748803</v>
      </c>
      <c r="E723" s="13" t="n">
        <f aca="false">C723-D723</f>
        <v>-7.94962478341913</v>
      </c>
    </row>
    <row r="724" customFormat="false" ht="15" hidden="false" customHeight="false" outlineLevel="0" collapsed="false">
      <c r="A724" s="2" t="n">
        <v>713</v>
      </c>
      <c r="B724" s="13" t="n">
        <f aca="true">OFFSET(Datos!$B$1,1+$B$4+712,0)</f>
        <v>38.117</v>
      </c>
      <c r="C724" s="13" t="n">
        <f aca="true">OFFSET(Datos!$D$1,1+$B$4+712,0)</f>
        <v>154.550268174955</v>
      </c>
      <c r="D724" s="13" t="n">
        <f aca="true">OFFSET(Datos!$D$1,1+712,0)</f>
        <v>156.191573112285</v>
      </c>
      <c r="E724" s="13" t="n">
        <f aca="false">C724-D724</f>
        <v>-1.64130493733072</v>
      </c>
    </row>
    <row r="725" customFormat="false" ht="15" hidden="false" customHeight="false" outlineLevel="0" collapsed="false">
      <c r="A725" s="2" t="n">
        <v>714</v>
      </c>
      <c r="B725" s="13" t="n">
        <f aca="true">OFFSET(Datos!$B$1,1+$B$4+713,0)</f>
        <v>38.1669999999997</v>
      </c>
      <c r="C725" s="13" t="n">
        <f aca="true">OFFSET(Datos!$D$1,1+$B$4+713,0)</f>
        <v>157.058610285701</v>
      </c>
      <c r="D725" s="13" t="n">
        <f aca="true">OFFSET(Datos!$D$1,1+713,0)</f>
        <v>157.97560021808</v>
      </c>
      <c r="E725" s="13" t="n">
        <f aca="false">C725-D725</f>
        <v>-0.916989932378243</v>
      </c>
    </row>
    <row r="726" customFormat="false" ht="15" hidden="false" customHeight="false" outlineLevel="0" collapsed="false">
      <c r="A726" s="2" t="n">
        <v>715</v>
      </c>
      <c r="B726" s="13" t="n">
        <f aca="true">OFFSET(Datos!$B$1,1+$B$4+714,0)</f>
        <v>38.2169999999999</v>
      </c>
      <c r="C726" s="13" t="n">
        <f aca="true">OFFSET(Datos!$D$1,1+$B$4+714,0)</f>
        <v>152.99102848449</v>
      </c>
      <c r="D726" s="13" t="n">
        <f aca="true">OFFSET(Datos!$D$1,1+714,0)</f>
        <v>161.925436230308</v>
      </c>
      <c r="E726" s="13" t="n">
        <f aca="false">C726-D726</f>
        <v>-8.93440774581754</v>
      </c>
    </row>
    <row r="727" customFormat="false" ht="15" hidden="false" customHeight="false" outlineLevel="0" collapsed="false">
      <c r="A727" s="2" t="n">
        <v>716</v>
      </c>
      <c r="B727" s="13" t="n">
        <f aca="true">OFFSET(Datos!$B$1,1+$B$4+715,0)</f>
        <v>38.2670000000001</v>
      </c>
      <c r="C727" s="13" t="n">
        <f aca="true">OFFSET(Datos!$D$1,1+$B$4+715,0)</f>
        <v>156.933728388296</v>
      </c>
      <c r="D727" s="13" t="n">
        <f aca="true">OFFSET(Datos!$D$1,1+715,0)</f>
        <v>162.98514833115</v>
      </c>
      <c r="E727" s="13" t="n">
        <f aca="false">C727-D727</f>
        <v>-6.05141994285407</v>
      </c>
    </row>
    <row r="728" customFormat="false" ht="15" hidden="false" customHeight="false" outlineLevel="0" collapsed="false">
      <c r="A728" s="2" t="n">
        <v>717</v>
      </c>
      <c r="B728" s="13" t="n">
        <f aca="true">OFFSET(Datos!$B$1,1+$B$4+716,0)</f>
        <v>38.3169999999998</v>
      </c>
      <c r="C728" s="13" t="n">
        <f aca="true">OFFSET(Datos!$D$1,1+$B$4+716,0)</f>
        <v>154.4717709823</v>
      </c>
      <c r="D728" s="13" t="n">
        <f aca="true">OFFSET(Datos!$D$1,1+716,0)</f>
        <v>154.528859849685</v>
      </c>
      <c r="E728" s="13" t="n">
        <f aca="false">C728-D728</f>
        <v>-0.0570888673854029</v>
      </c>
    </row>
    <row r="729" customFormat="false" ht="15" hidden="false" customHeight="false" outlineLevel="0" collapsed="false">
      <c r="A729" s="2" t="n">
        <v>718</v>
      </c>
      <c r="B729" s="13" t="n">
        <f aca="true">OFFSET(Datos!$B$1,1+$B$4+717,0)</f>
        <v>38.367</v>
      </c>
      <c r="C729" s="13" t="n">
        <f aca="true">OFFSET(Datos!$D$1,1+$B$4+717,0)</f>
        <v>161.500837779129</v>
      </c>
      <c r="D729" s="13" t="n">
        <f aca="true">OFFSET(Datos!$D$1,1+717,0)</f>
        <v>161.14403235797</v>
      </c>
      <c r="E729" s="13" t="n">
        <f aca="false">C729-D729</f>
        <v>0.356805421158839</v>
      </c>
    </row>
    <row r="730" customFormat="false" ht="15" hidden="false" customHeight="false" outlineLevel="0" collapsed="false">
      <c r="A730" s="2" t="n">
        <v>719</v>
      </c>
      <c r="B730" s="13" t="n">
        <f aca="true">OFFSET(Datos!$B$1,1+$B$4+718,0)</f>
        <v>38.4179999999999</v>
      </c>
      <c r="C730" s="13" t="n">
        <f aca="true">OFFSET(Datos!$D$1,1+$B$4+718,0)</f>
        <v>156.116643973842</v>
      </c>
      <c r="D730" s="13" t="n">
        <f aca="true">OFFSET(Datos!$D$1,1+718,0)</f>
        <v>162.792473403724</v>
      </c>
      <c r="E730" s="13" t="n">
        <f aca="false">C730-D730</f>
        <v>-6.67582942988202</v>
      </c>
    </row>
    <row r="731" customFormat="false" ht="15" hidden="false" customHeight="false" outlineLevel="0" collapsed="false">
      <c r="A731" s="2" t="n">
        <v>720</v>
      </c>
      <c r="B731" s="13" t="n">
        <f aca="true">OFFSET(Datos!$B$1,1+$B$4+719,0)</f>
        <v>38.4680000000001</v>
      </c>
      <c r="C731" s="13" t="n">
        <f aca="true">OFFSET(Datos!$D$1,1+$B$4+719,0)</f>
        <v>153.501260236748</v>
      </c>
      <c r="D731" s="13" t="n">
        <f aca="true">OFFSET(Datos!$D$1,1+719,0)</f>
        <v>158.635690247223</v>
      </c>
      <c r="E731" s="13" t="n">
        <f aca="false">C731-D731</f>
        <v>-5.13443001047583</v>
      </c>
    </row>
    <row r="732" customFormat="false" ht="15" hidden="false" customHeight="false" outlineLevel="0" collapsed="false">
      <c r="A732" s="2" t="n">
        <v>721</v>
      </c>
      <c r="B732" s="13" t="n">
        <f aca="true">OFFSET(Datos!$B$1,1+$B$4+720,0)</f>
        <v>38.5179999999998</v>
      </c>
      <c r="C732" s="13" t="n">
        <f aca="true">OFFSET(Datos!$D$1,1+$B$4+720,0)</f>
        <v>159.160194216327</v>
      </c>
      <c r="D732" s="13" t="n">
        <f aca="true">OFFSET(Datos!$D$1,1+720,0)</f>
        <v>159.306484439002</v>
      </c>
      <c r="E732" s="13" t="n">
        <f aca="false">C732-D732</f>
        <v>-0.146290222675134</v>
      </c>
    </row>
    <row r="733" customFormat="false" ht="15" hidden="false" customHeight="false" outlineLevel="0" collapsed="false">
      <c r="A733" s="2" t="n">
        <v>722</v>
      </c>
      <c r="B733" s="13" t="n">
        <f aca="true">OFFSET(Datos!$B$1,1+$B$4+721,0)</f>
        <v>38.568</v>
      </c>
      <c r="C733" s="13" t="n">
        <f aca="true">OFFSET(Datos!$D$1,1+$B$4+721,0)</f>
        <v>153.893746200022</v>
      </c>
      <c r="D733" s="13" t="n">
        <f aca="true">OFFSET(Datos!$D$1,1+721,0)</f>
        <v>158.261044555007</v>
      </c>
      <c r="E733" s="13" t="n">
        <f aca="false">C733-D733</f>
        <v>-4.36729835498431</v>
      </c>
    </row>
    <row r="734" customFormat="false" ht="15" hidden="false" customHeight="false" outlineLevel="0" collapsed="false">
      <c r="A734" s="2" t="n">
        <v>723</v>
      </c>
      <c r="B734" s="13" t="n">
        <f aca="true">OFFSET(Datos!$B$1,1+$B$4+722,0)</f>
        <v>38.6179999999997</v>
      </c>
      <c r="C734" s="13" t="n">
        <f aca="true">OFFSET(Datos!$D$1,1+$B$4+722,0)</f>
        <v>154.753647265015</v>
      </c>
      <c r="D734" s="13" t="n">
        <f aca="true">OFFSET(Datos!$D$1,1+722,0)</f>
        <v>162.335762464641</v>
      </c>
      <c r="E734" s="13" t="n">
        <f aca="false">C734-D734</f>
        <v>-7.58211519962549</v>
      </c>
    </row>
    <row r="735" customFormat="false" ht="15" hidden="false" customHeight="false" outlineLevel="0" collapsed="false">
      <c r="A735" s="2" t="n">
        <v>724</v>
      </c>
      <c r="B735" s="13" t="n">
        <f aca="true">OFFSET(Datos!$B$1,1+$B$4+723,0)</f>
        <v>38.6679999999999</v>
      </c>
      <c r="C735" s="13" t="n">
        <f aca="true">OFFSET(Datos!$D$1,1+$B$4+723,0)</f>
        <v>154.279096054874</v>
      </c>
      <c r="D735" s="13" t="n">
        <f aca="true">OFFSET(Datos!$D$1,1+723,0)</f>
        <v>158.275316771853</v>
      </c>
      <c r="E735" s="13" t="n">
        <f aca="false">C735-D735</f>
        <v>-3.99622071697908</v>
      </c>
    </row>
    <row r="736" customFormat="false" ht="15" hidden="false" customHeight="false" outlineLevel="0" collapsed="false">
      <c r="A736" s="2" t="n">
        <v>725</v>
      </c>
      <c r="B736" s="13" t="n">
        <f aca="true">OFFSET(Datos!$B$1,1+$B$4+724,0)</f>
        <v>38.7180000000001</v>
      </c>
      <c r="C736" s="13" t="n">
        <f aca="true">OFFSET(Datos!$D$1,1+$B$4+724,0)</f>
        <v>156.890911737757</v>
      </c>
      <c r="D736" s="13" t="n">
        <f aca="true">OFFSET(Datos!$D$1,1+724,0)</f>
        <v>165.946633326768</v>
      </c>
      <c r="E736" s="13" t="n">
        <f aca="false">C736-D736</f>
        <v>-9.05572158901154</v>
      </c>
    </row>
    <row r="737" customFormat="false" ht="15" hidden="false" customHeight="false" outlineLevel="0" collapsed="false">
      <c r="A737" s="2" t="n">
        <v>726</v>
      </c>
      <c r="B737" s="13" t="n">
        <f aca="true">OFFSET(Datos!$B$1,1+$B$4+725,0)</f>
        <v>38.7679999999998</v>
      </c>
      <c r="C737" s="13" t="n">
        <f aca="true">OFFSET(Datos!$D$1,1+$B$4+725,0)</f>
        <v>155.188949878829</v>
      </c>
      <c r="D737" s="13" t="n">
        <f aca="true">OFFSET(Datos!$D$1,1+725,0)</f>
        <v>157.897103025425</v>
      </c>
      <c r="E737" s="13" t="n">
        <f aca="false">C737-D737</f>
        <v>-2.70815314659563</v>
      </c>
    </row>
    <row r="738" customFormat="false" ht="15" hidden="false" customHeight="false" outlineLevel="0" collapsed="false">
      <c r="A738" s="2" t="n">
        <v>727</v>
      </c>
      <c r="B738" s="13" t="n">
        <f aca="true">OFFSET(Datos!$B$1,1+$B$4+726,0)</f>
        <v>38.818</v>
      </c>
      <c r="C738" s="13" t="n">
        <f aca="true">OFFSET(Datos!$D$1,1+$B$4+726,0)</f>
        <v>156.180868949651</v>
      </c>
      <c r="D738" s="13" t="n">
        <f aca="true">OFFSET(Datos!$D$1,1+726,0)</f>
        <v>157.276261592608</v>
      </c>
      <c r="E738" s="13" t="n">
        <f aca="false">C738-D738</f>
        <v>-1.09539264295765</v>
      </c>
    </row>
    <row r="739" customFormat="false" ht="15" hidden="false" customHeight="false" outlineLevel="0" collapsed="false">
      <c r="A739" s="2" t="n">
        <v>728</v>
      </c>
      <c r="B739" s="13" t="n">
        <f aca="true">OFFSET(Datos!$B$1,1+$B$4+727,0)</f>
        <v>38.8679999999997</v>
      </c>
      <c r="C739" s="13" t="n">
        <f aca="true">OFFSET(Datos!$D$1,1+$B$4+727,0)</f>
        <v>157.750812802749</v>
      </c>
      <c r="D739" s="13" t="n">
        <f aca="true">OFFSET(Datos!$D$1,1+727,0)</f>
        <v>165.307951622894</v>
      </c>
      <c r="E739" s="13" t="n">
        <f aca="false">C739-D739</f>
        <v>-7.55713882014439</v>
      </c>
    </row>
    <row r="740" customFormat="false" ht="15" hidden="false" customHeight="false" outlineLevel="0" collapsed="false">
      <c r="A740" s="2" t="n">
        <v>729</v>
      </c>
      <c r="B740" s="13" t="n">
        <f aca="true">OFFSET(Datos!$B$1,1+$B$4+728,0)</f>
        <v>38.9179999999999</v>
      </c>
      <c r="C740" s="13" t="n">
        <f aca="true">OFFSET(Datos!$D$1,1+$B$4+728,0)</f>
        <v>159.845260624952</v>
      </c>
      <c r="D740" s="13" t="n">
        <f aca="true">OFFSET(Datos!$D$1,1+728,0)</f>
        <v>156.512697991328</v>
      </c>
      <c r="E740" s="13" t="n">
        <f aca="false">C740-D740</f>
        <v>3.33256263362364</v>
      </c>
    </row>
    <row r="741" customFormat="false" ht="15" hidden="false" customHeight="false" outlineLevel="0" collapsed="false">
      <c r="A741" s="2" t="n">
        <v>730</v>
      </c>
      <c r="B741" s="13" t="n">
        <f aca="true">OFFSET(Datos!$B$1,1+$B$4+729,0)</f>
        <v>38.9680000000001</v>
      </c>
      <c r="C741" s="13" t="n">
        <f aca="true">OFFSET(Datos!$D$1,1+$B$4+729,0)</f>
        <v>165.229454430239</v>
      </c>
      <c r="D741" s="13" t="n">
        <f aca="true">OFFSET(Datos!$D$1,1+729,0)</f>
        <v>160.187793829264</v>
      </c>
      <c r="E741" s="13" t="n">
        <f aca="false">C741-D741</f>
        <v>5.0416606009745</v>
      </c>
    </row>
    <row r="742" customFormat="false" ht="15" hidden="false" customHeight="false" outlineLevel="0" collapsed="false">
      <c r="A742" s="2" t="n">
        <v>731</v>
      </c>
      <c r="B742" s="13" t="n">
        <f aca="true">OFFSET(Datos!$B$1,1+$B$4+730,0)</f>
        <v>39.0179999999998</v>
      </c>
      <c r="C742" s="13" t="n">
        <f aca="true">OFFSET(Datos!$D$1,1+$B$4+730,0)</f>
        <v>156.387816093923</v>
      </c>
      <c r="D742" s="13" t="n">
        <f aca="true">OFFSET(Datos!$D$1,1+730,0)</f>
        <v>162.956603897457</v>
      </c>
      <c r="E742" s="13" t="n">
        <f aca="false">C742-D742</f>
        <v>-6.56878780353435</v>
      </c>
    </row>
    <row r="743" customFormat="false" ht="15" hidden="false" customHeight="false" outlineLevel="0" collapsed="false">
      <c r="A743" s="2" t="n">
        <v>732</v>
      </c>
      <c r="B743" s="13" t="n">
        <f aca="true">OFFSET(Datos!$B$1,1+$B$4+731,0)</f>
        <v>39.068</v>
      </c>
      <c r="C743" s="13" t="n">
        <f aca="true">OFFSET(Datos!$D$1,1+$B$4+731,0)</f>
        <v>156.87663952091</v>
      </c>
      <c r="D743" s="13" t="n">
        <f aca="true">OFFSET(Datos!$D$1,1+731,0)</f>
        <v>163.349089860732</v>
      </c>
      <c r="E743" s="13" t="n">
        <f aca="false">C743-D743</f>
        <v>-6.47245033982148</v>
      </c>
    </row>
    <row r="744" customFormat="false" ht="15" hidden="false" customHeight="false" outlineLevel="0" collapsed="false">
      <c r="A744" s="2" t="n">
        <v>733</v>
      </c>
      <c r="B744" s="13" t="n">
        <f aca="true">OFFSET(Datos!$B$1,1+$B$4+732,0)</f>
        <v>39.1179999999997</v>
      </c>
      <c r="C744" s="13" t="n">
        <f aca="true">OFFSET(Datos!$D$1,1+$B$4+732,0)</f>
        <v>159.7061065107</v>
      </c>
      <c r="D744" s="13" t="n">
        <f aca="true">OFFSET(Datos!$D$1,1+732,0)</f>
        <v>161.518678050187</v>
      </c>
      <c r="E744" s="13" t="n">
        <f aca="false">C744-D744</f>
        <v>-1.81257153948692</v>
      </c>
    </row>
    <row r="745" customFormat="false" ht="15" hidden="false" customHeight="false" outlineLevel="0" collapsed="false">
      <c r="A745" s="2" t="n">
        <v>734</v>
      </c>
      <c r="B745" s="13" t="n">
        <f aca="true">OFFSET(Datos!$B$1,1+$B$4+733,0)</f>
        <v>39.1679999999999</v>
      </c>
      <c r="C745" s="13" t="n">
        <f aca="true">OFFSET(Datos!$D$1,1+$B$4+733,0)</f>
        <v>161.133328195335</v>
      </c>
      <c r="D745" s="13" t="n">
        <f aca="true">OFFSET(Datos!$D$1,1+733,0)</f>
        <v>161.800554332902</v>
      </c>
      <c r="E745" s="13" t="n">
        <f aca="false">C745-D745</f>
        <v>-0.667226137567042</v>
      </c>
    </row>
    <row r="746" customFormat="false" ht="15" hidden="false" customHeight="false" outlineLevel="0" collapsed="false">
      <c r="A746" s="2" t="n">
        <v>735</v>
      </c>
      <c r="B746" s="13" t="n">
        <f aca="true">OFFSET(Datos!$B$1,1+$B$4+734,0)</f>
        <v>39.2180000000001</v>
      </c>
      <c r="C746" s="13" t="n">
        <f aca="true">OFFSET(Datos!$D$1,1+$B$4+734,0)</f>
        <v>159.320756655848</v>
      </c>
      <c r="D746" s="13" t="n">
        <f aca="true">OFFSET(Datos!$D$1,1+734,0)</f>
        <v>156.344999443384</v>
      </c>
      <c r="E746" s="13" t="n">
        <f aca="false">C746-D746</f>
        <v>2.97575721246477</v>
      </c>
    </row>
    <row r="747" customFormat="false" ht="15" hidden="false" customHeight="false" outlineLevel="0" collapsed="false">
      <c r="A747" s="2" t="n">
        <v>736</v>
      </c>
      <c r="B747" s="13" t="n">
        <f aca="true">OFFSET(Datos!$B$1,1+$B$4+735,0)</f>
        <v>39.2679999999998</v>
      </c>
      <c r="C747" s="13" t="n">
        <f aca="true">OFFSET(Datos!$D$1,1+$B$4+735,0)</f>
        <v>157.283397701031</v>
      </c>
      <c r="D747" s="13" t="n">
        <f aca="true">OFFSET(Datos!$D$1,1+735,0)</f>
        <v>163.184959366999</v>
      </c>
      <c r="E747" s="13" t="n">
        <f aca="false">C747-D747</f>
        <v>-5.90156166596734</v>
      </c>
    </row>
    <row r="748" customFormat="false" ht="15" hidden="false" customHeight="false" outlineLevel="0" collapsed="false">
      <c r="A748" s="2" t="n">
        <v>737</v>
      </c>
      <c r="B748" s="13" t="n">
        <f aca="true">OFFSET(Datos!$B$1,1+$B$4+736,0)</f>
        <v>39.318</v>
      </c>
      <c r="C748" s="13" t="n">
        <f aca="true">OFFSET(Datos!$D$1,1+$B$4+736,0)</f>
        <v>154.914209704537</v>
      </c>
      <c r="D748" s="13" t="n">
        <f aca="true">OFFSET(Datos!$D$1,1+736,0)</f>
        <v>156.948000605142</v>
      </c>
      <c r="E748" s="13" t="n">
        <f aca="false">C748-D748</f>
        <v>-2.03379090060542</v>
      </c>
    </row>
    <row r="749" customFormat="false" ht="15" hidden="false" customHeight="false" outlineLevel="0" collapsed="false">
      <c r="A749" s="2" t="n">
        <v>738</v>
      </c>
      <c r="B749" s="13" t="n">
        <f aca="true">OFFSET(Datos!$B$1,1+$B$4+737,0)</f>
        <v>39.3679999999997</v>
      </c>
      <c r="C749" s="13" t="n">
        <f aca="true">OFFSET(Datos!$D$1,1+$B$4+737,0)</f>
        <v>160.266291021919</v>
      </c>
      <c r="D749" s="13" t="n">
        <f aca="true">OFFSET(Datos!$D$1,1+737,0)</f>
        <v>167.405967499308</v>
      </c>
      <c r="E749" s="13" t="n">
        <f aca="false">C749-D749</f>
        <v>-7.13967647738855</v>
      </c>
    </row>
    <row r="750" customFormat="false" ht="15" hidden="false" customHeight="false" outlineLevel="0" collapsed="false">
      <c r="A750" s="2" t="n">
        <v>739</v>
      </c>
      <c r="B750" s="13" t="n">
        <f aca="true">OFFSET(Datos!$B$1,1+$B$4+738,0)</f>
        <v>39.4179999999999</v>
      </c>
      <c r="C750" s="13" t="n">
        <f aca="true">OFFSET(Datos!$D$1,1+$B$4+738,0)</f>
        <v>158.80695684938</v>
      </c>
      <c r="D750" s="13" t="n">
        <f aca="true">OFFSET(Datos!$D$1,1+738,0)</f>
        <v>157.03363390622</v>
      </c>
      <c r="E750" s="13" t="n">
        <f aca="false">C750-D750</f>
        <v>1.77332294315946</v>
      </c>
    </row>
    <row r="751" customFormat="false" ht="15" hidden="false" customHeight="false" outlineLevel="0" collapsed="false">
      <c r="A751" s="2" t="n">
        <v>740</v>
      </c>
      <c r="B751" s="13" t="n">
        <f aca="true">OFFSET(Datos!$B$1,1+$B$4+739,0)</f>
        <v>39.4680000000001</v>
      </c>
      <c r="C751" s="13" t="n">
        <f aca="true">OFFSET(Datos!$D$1,1+$B$4+739,0)</f>
        <v>162.938763626399</v>
      </c>
      <c r="D751" s="13" t="n">
        <f aca="true">OFFSET(Datos!$D$1,1+739,0)</f>
        <v>159.659721805949</v>
      </c>
      <c r="E751" s="13" t="n">
        <f aca="false">C751-D751</f>
        <v>3.27904182044981</v>
      </c>
    </row>
    <row r="752" customFormat="false" ht="15" hidden="false" customHeight="false" outlineLevel="0" collapsed="false">
      <c r="A752" s="2" t="n">
        <v>741</v>
      </c>
      <c r="B752" s="13" t="n">
        <f aca="true">OFFSET(Datos!$B$1,1+$B$4+740,0)</f>
        <v>39.5179999999998</v>
      </c>
      <c r="C752" s="13" t="n">
        <f aca="true">OFFSET(Datos!$D$1,1+$B$4+740,0)</f>
        <v>158.849773499919</v>
      </c>
      <c r="D752" s="13" t="n">
        <f aca="true">OFFSET(Datos!$D$1,1+740,0)</f>
        <v>160.023663335531</v>
      </c>
      <c r="E752" s="13" t="n">
        <f aca="false">C752-D752</f>
        <v>-1.17388983561261</v>
      </c>
    </row>
    <row r="753" customFormat="false" ht="15" hidden="false" customHeight="false" outlineLevel="0" collapsed="false">
      <c r="A753" s="2" t="n">
        <v>742</v>
      </c>
      <c r="B753" s="13" t="n">
        <f aca="true">OFFSET(Datos!$B$1,1+$B$4+741,0)</f>
        <v>39.568</v>
      </c>
      <c r="C753" s="13" t="n">
        <f aca="true">OFFSET(Datos!$D$1,1+$B$4+741,0)</f>
        <v>162.546277663124</v>
      </c>
      <c r="D753" s="13" t="n">
        <f aca="true">OFFSET(Datos!$D$1,1+741,0)</f>
        <v>153.711775435231</v>
      </c>
      <c r="E753" s="13" t="n">
        <f aca="false">C753-D753</f>
        <v>8.83450222789304</v>
      </c>
    </row>
    <row r="754" customFormat="false" ht="15" hidden="false" customHeight="false" outlineLevel="0" collapsed="false">
      <c r="A754" s="2" t="n">
        <v>743</v>
      </c>
      <c r="B754" s="13" t="n">
        <f aca="true">OFFSET(Datos!$B$1,1+$B$4+742,0)</f>
        <v>39.6179999999997</v>
      </c>
      <c r="C754" s="13" t="n">
        <f aca="true">OFFSET(Datos!$D$1,1+$B$4+742,0)</f>
        <v>167.727092378351</v>
      </c>
      <c r="D754" s="13" t="n">
        <f aca="true">OFFSET(Datos!$D$1,1+742,0)</f>
        <v>160.405445136171</v>
      </c>
      <c r="E754" s="13" t="n">
        <f aca="false">C754-D754</f>
        <v>7.32164724217952</v>
      </c>
    </row>
    <row r="755" customFormat="false" ht="15" hidden="false" customHeight="false" outlineLevel="0" collapsed="false">
      <c r="A755" s="2" t="n">
        <v>744</v>
      </c>
      <c r="B755" s="13" t="n">
        <f aca="true">OFFSET(Datos!$B$1,1+$B$4+743,0)</f>
        <v>39.6679999999999</v>
      </c>
      <c r="C755" s="13" t="n">
        <f aca="true">OFFSET(Datos!$D$1,1+$B$4+743,0)</f>
        <v>161.507973887552</v>
      </c>
      <c r="D755" s="13" t="n">
        <f aca="true">OFFSET(Datos!$D$1,1+743,0)</f>
        <v>154.13637388641</v>
      </c>
      <c r="E755" s="13" t="n">
        <f aca="false">C755-D755</f>
        <v>7.37160000114176</v>
      </c>
    </row>
    <row r="756" customFormat="false" ht="15" hidden="false" customHeight="false" outlineLevel="0" collapsed="false">
      <c r="A756" s="2" t="n">
        <v>745</v>
      </c>
      <c r="B756" s="13" t="n">
        <f aca="true">OFFSET(Datos!$B$1,1+$B$4+744,0)</f>
        <v>39.7180000000001</v>
      </c>
      <c r="C756" s="13" t="n">
        <f aca="true">OFFSET(Datos!$D$1,1+$B$4+744,0)</f>
        <v>167.741364595197</v>
      </c>
      <c r="D756" s="13" t="n">
        <f aca="true">OFFSET(Datos!$D$1,1+744,0)</f>
        <v>165.147389183372</v>
      </c>
      <c r="E756" s="13" t="n">
        <f aca="false">C756-D756</f>
        <v>2.5939754118248</v>
      </c>
    </row>
    <row r="757" customFormat="false" ht="15" hidden="false" customHeight="false" outlineLevel="0" collapsed="false">
      <c r="A757" s="2" t="n">
        <v>746</v>
      </c>
      <c r="B757" s="13" t="n">
        <f aca="true">OFFSET(Datos!$B$1,1+$B$4+745,0)</f>
        <v>39.7679999999998</v>
      </c>
      <c r="C757" s="13" t="n">
        <f aca="true">OFFSET(Datos!$D$1,1+$B$4+745,0)</f>
        <v>161.243937875895</v>
      </c>
      <c r="D757" s="13" t="n">
        <f aca="true">OFFSET(Datos!$D$1,1+745,0)</f>
        <v>165.711141748803</v>
      </c>
      <c r="E757" s="13" t="n">
        <f aca="false">C757-D757</f>
        <v>-4.46720387290878</v>
      </c>
    </row>
    <row r="758" customFormat="false" ht="15" hidden="false" customHeight="false" outlineLevel="0" collapsed="false">
      <c r="A758" s="2" t="n">
        <v>747</v>
      </c>
      <c r="B758" s="13" t="n">
        <f aca="true">OFFSET(Datos!$B$1,1+$B$4+746,0)</f>
        <v>39.818</v>
      </c>
      <c r="C758" s="13" t="n">
        <f aca="true">OFFSET(Datos!$D$1,1+$B$4+746,0)</f>
        <v>171.373643782594</v>
      </c>
      <c r="D758" s="13" t="n">
        <f aca="true">OFFSET(Datos!$D$1,1+746,0)</f>
        <v>155.181813770406</v>
      </c>
      <c r="E758" s="13" t="n">
        <f aca="false">C758-D758</f>
        <v>16.1918300121885</v>
      </c>
    </row>
    <row r="759" customFormat="false" ht="15" hidden="false" customHeight="false" outlineLevel="0" collapsed="false">
      <c r="A759" s="2" t="n">
        <v>748</v>
      </c>
      <c r="B759" s="13" t="n">
        <f aca="true">OFFSET(Datos!$B$1,1+$B$4+747,0)</f>
        <v>39.8689999999999</v>
      </c>
      <c r="C759" s="13" t="n">
        <f aca="true">OFFSET(Datos!$D$1,1+$B$4+747,0)</f>
        <v>168.73685172023</v>
      </c>
      <c r="D759" s="13" t="n">
        <f aca="true">OFFSET(Datos!$D$1,1+747,0)</f>
        <v>158.207523741833</v>
      </c>
      <c r="E759" s="13" t="n">
        <f aca="false">C759-D759</f>
        <v>10.5293279783976</v>
      </c>
    </row>
    <row r="760" customFormat="false" ht="15" hidden="false" customHeight="false" outlineLevel="0" collapsed="false">
      <c r="A760" s="2" t="n">
        <v>749</v>
      </c>
      <c r="B760" s="13" t="n">
        <f aca="true">OFFSET(Datos!$B$1,1+$B$4+748,0)</f>
        <v>39.9190000000001</v>
      </c>
      <c r="C760" s="13" t="n">
        <f aca="true">OFFSET(Datos!$D$1,1+$B$4+748,0)</f>
        <v>175.469770017498</v>
      </c>
      <c r="D760" s="13" t="n">
        <f aca="true">OFFSET(Datos!$D$1,1+748,0)</f>
        <v>158.232500121314</v>
      </c>
      <c r="E760" s="13" t="n">
        <f aca="false">C760-D760</f>
        <v>17.2372698961839</v>
      </c>
    </row>
    <row r="761" customFormat="false" ht="15" hidden="false" customHeight="false" outlineLevel="0" collapsed="false">
      <c r="A761" s="2" t="n">
        <v>750</v>
      </c>
      <c r="B761" s="13" t="n">
        <f aca="true">OFFSET(Datos!$B$1,1+$B$4+749,0)</f>
        <v>39.9689999999998</v>
      </c>
      <c r="C761" s="13" t="n">
        <f aca="true">OFFSET(Datos!$D$1,1+$B$4+749,0)</f>
        <v>159.074560915249</v>
      </c>
      <c r="D761" s="13" t="n">
        <f aca="true">OFFSET(Datos!$D$1,1+749,0)</f>
        <v>155.713453847932</v>
      </c>
      <c r="E761" s="13" t="n">
        <f aca="false">C761-D761</f>
        <v>3.36110706731631</v>
      </c>
    </row>
    <row r="762" customFormat="false" ht="15" hidden="false" customHeight="false" outlineLevel="0" collapsed="false">
      <c r="A762" s="2" t="n">
        <v>751</v>
      </c>
      <c r="B762" s="13" t="n">
        <f aca="true">OFFSET(Datos!$B$1,1+$B$4+750,0)</f>
        <v>40.019</v>
      </c>
      <c r="C762" s="13" t="n">
        <f aca="true">OFFSET(Datos!$D$1,1+$B$4+750,0)</f>
        <v>161.14403235797</v>
      </c>
      <c r="D762" s="13" t="n">
        <f aca="true">OFFSET(Datos!$D$1,1+750,0)</f>
        <v>160.369764594055</v>
      </c>
      <c r="E762" s="13" t="n">
        <f aca="false">C762-D762</f>
        <v>0.774267763914708</v>
      </c>
    </row>
    <row r="763" customFormat="false" ht="15" hidden="false" customHeight="false" outlineLevel="0" collapsed="false">
      <c r="A763" s="2" t="n">
        <v>752</v>
      </c>
      <c r="B763" s="13" t="n">
        <f aca="true">OFFSET(Datos!$B$1,1+$B$4+751,0)</f>
        <v>40.0689999999997</v>
      </c>
      <c r="C763" s="13" t="n">
        <f aca="true">OFFSET(Datos!$D$1,1+$B$4+751,0)</f>
        <v>165.632644556148</v>
      </c>
      <c r="D763" s="13" t="n">
        <f aca="true">OFFSET(Datos!$D$1,1+751,0)</f>
        <v>155.467258107333</v>
      </c>
      <c r="E763" s="13" t="n">
        <f aca="false">C763-D763</f>
        <v>10.1653864488155</v>
      </c>
    </row>
    <row r="764" customFormat="false" ht="15" hidden="false" customHeight="false" outlineLevel="0" collapsed="false">
      <c r="A764" s="2" t="n">
        <v>753</v>
      </c>
      <c r="B764" s="13" t="n">
        <f aca="true">OFFSET(Datos!$B$1,1+$B$4+752,0)</f>
        <v>40.1189999999999</v>
      </c>
      <c r="C764" s="13" t="n">
        <f aca="true">OFFSET(Datos!$D$1,1+$B$4+752,0)</f>
        <v>164.690678244289</v>
      </c>
      <c r="D764" s="13" t="n">
        <f aca="true">OFFSET(Datos!$D$1,1+752,0)</f>
        <v>155.609980275796</v>
      </c>
      <c r="E764" s="13" t="n">
        <f aca="false">C764-D764</f>
        <v>9.08069796849267</v>
      </c>
    </row>
    <row r="765" customFormat="false" ht="15" hidden="false" customHeight="false" outlineLevel="0" collapsed="false">
      <c r="A765" s="2" t="n">
        <v>754</v>
      </c>
      <c r="B765" s="13" t="n">
        <f aca="true">OFFSET(Datos!$B$1,1+$B$4+753,0)</f>
        <v>40.1690000000001</v>
      </c>
      <c r="C765" s="13" t="n">
        <f aca="true">OFFSET(Datos!$D$1,1+$B$4+753,0)</f>
        <v>167.880518709449</v>
      </c>
      <c r="D765" s="13" t="n">
        <f aca="true">OFFSET(Datos!$D$1,1+753,0)</f>
        <v>155.37092064362</v>
      </c>
      <c r="E765" s="13" t="n">
        <f aca="false">C765-D765</f>
        <v>12.5095980658292</v>
      </c>
    </row>
    <row r="766" customFormat="false" ht="15" hidden="false" customHeight="false" outlineLevel="0" collapsed="false">
      <c r="A766" s="2" t="n">
        <v>755</v>
      </c>
      <c r="B766" s="13" t="n">
        <f aca="true">OFFSET(Datos!$B$1,1+$B$4+754,0)</f>
        <v>40.2189999999998</v>
      </c>
      <c r="C766" s="13" t="n">
        <f aca="true">OFFSET(Datos!$D$1,1+$B$4+754,0)</f>
        <v>164.055564594626</v>
      </c>
      <c r="D766" s="13" t="n">
        <f aca="true">OFFSET(Datos!$D$1,1+754,0)</f>
        <v>159.566952396448</v>
      </c>
      <c r="E766" s="13" t="n">
        <f aca="false">C766-D766</f>
        <v>4.48861219817832</v>
      </c>
    </row>
    <row r="767" customFormat="false" ht="15" hidden="false" customHeight="false" outlineLevel="0" collapsed="false">
      <c r="A767" s="2" t="n">
        <v>756</v>
      </c>
      <c r="B767" s="13" t="n">
        <f aca="true">OFFSET(Datos!$B$1,1+$B$4+755,0)</f>
        <v>40.269</v>
      </c>
      <c r="C767" s="13" t="n">
        <f aca="true">OFFSET(Datos!$D$1,1+$B$4+755,0)</f>
        <v>165.821751429363</v>
      </c>
      <c r="D767" s="13" t="n">
        <f aca="true">OFFSET(Datos!$D$1,1+755,0)</f>
        <v>159.838124516529</v>
      </c>
      <c r="E767" s="13" t="n">
        <f aca="false">C767-D767</f>
        <v>5.98362691283387</v>
      </c>
    </row>
    <row r="768" customFormat="false" ht="15" hidden="false" customHeight="false" outlineLevel="0" collapsed="false">
      <c r="A768" s="2" t="n">
        <v>757</v>
      </c>
      <c r="B768" s="13" t="n">
        <f aca="true">OFFSET(Datos!$B$1,1+$B$4+756,0)</f>
        <v>40.3189999999997</v>
      </c>
      <c r="C768" s="13" t="n">
        <f aca="true">OFFSET(Datos!$D$1,1+$B$4+756,0)</f>
        <v>168.726147557596</v>
      </c>
      <c r="D768" s="13" t="n">
        <f aca="true">OFFSET(Datos!$D$1,1+756,0)</f>
        <v>157.294101863666</v>
      </c>
      <c r="E768" s="13" t="n">
        <f aca="false">C768-D768</f>
        <v>11.4320456939295</v>
      </c>
    </row>
    <row r="769" customFormat="false" ht="15" hidden="false" customHeight="false" outlineLevel="0" collapsed="false">
      <c r="A769" s="2" t="n">
        <v>758</v>
      </c>
      <c r="B769" s="13" t="n">
        <f aca="true">OFFSET(Datos!$B$1,1+$B$4+757,0)</f>
        <v>40.3689999999999</v>
      </c>
      <c r="C769" s="13" t="n">
        <f aca="true">OFFSET(Datos!$D$1,1+$B$4+757,0)</f>
        <v>171.437868758403</v>
      </c>
      <c r="D769" s="13" t="n">
        <f aca="true">OFFSET(Datos!$D$1,1+757,0)</f>
        <v>156.095235648572</v>
      </c>
      <c r="E769" s="13" t="n">
        <f aca="false">C769-D769</f>
        <v>15.3426331098304</v>
      </c>
    </row>
    <row r="770" customFormat="false" ht="15" hidden="false" customHeight="false" outlineLevel="0" collapsed="false">
      <c r="A770" s="2" t="n">
        <v>759</v>
      </c>
      <c r="B770" s="13" t="n">
        <f aca="true">OFFSET(Datos!$B$1,1+$B$4+758,0)</f>
        <v>40.4190000000001</v>
      </c>
      <c r="C770" s="13" t="n">
        <f aca="true">OFFSET(Datos!$D$1,1+$B$4+758,0)</f>
        <v>169.496847267299</v>
      </c>
      <c r="D770" s="13" t="n">
        <f aca="true">OFFSET(Datos!$D$1,1+758,0)</f>
        <v>157.408279598437</v>
      </c>
      <c r="E770" s="13" t="n">
        <f aca="false">C770-D770</f>
        <v>12.0885676688617</v>
      </c>
    </row>
    <row r="771" customFormat="false" ht="15" hidden="false" customHeight="false" outlineLevel="0" collapsed="false">
      <c r="A771" s="2" t="n">
        <v>760</v>
      </c>
      <c r="B771" s="13" t="n">
        <f aca="true">OFFSET(Datos!$B$1,1+$B$4+759,0)</f>
        <v>40.4689999999998</v>
      </c>
      <c r="C771" s="13" t="n">
        <f aca="true">OFFSET(Datos!$D$1,1+$B$4+759,0)</f>
        <v>167.306061981383</v>
      </c>
      <c r="D771" s="13" t="n">
        <f aca="true">OFFSET(Datos!$D$1,1+759,0)</f>
        <v>158.674938843551</v>
      </c>
      <c r="E771" s="13" t="n">
        <f aca="false">C771-D771</f>
        <v>8.6311231378325</v>
      </c>
    </row>
    <row r="772" customFormat="false" ht="15" hidden="false" customHeight="false" outlineLevel="0" collapsed="false">
      <c r="A772" s="2" t="n">
        <v>761</v>
      </c>
      <c r="B772" s="13" t="n">
        <f aca="true">OFFSET(Datos!$B$1,1+$B$4+760,0)</f>
        <v>40.519</v>
      </c>
      <c r="C772" s="13" t="n">
        <f aca="true">OFFSET(Datos!$D$1,1+$B$4+760,0)</f>
        <v>167.438079987212</v>
      </c>
      <c r="D772" s="13" t="n">
        <f aca="true">OFFSET(Datos!$D$1,1+760,0)</f>
        <v>154.560972337589</v>
      </c>
      <c r="E772" s="13" t="n">
        <f aca="false">C772-D772</f>
        <v>12.8771076496228</v>
      </c>
    </row>
    <row r="773" customFormat="false" ht="15" hidden="false" customHeight="false" outlineLevel="0" collapsed="false">
      <c r="A773" s="2" t="n">
        <v>762</v>
      </c>
      <c r="B773" s="13" t="n">
        <f aca="true">OFFSET(Datos!$B$1,1+$B$4+761,0)</f>
        <v>40.5689999999997</v>
      </c>
      <c r="C773" s="13" t="n">
        <f aca="true">OFFSET(Datos!$D$1,1+$B$4+761,0)</f>
        <v>170.988293927743</v>
      </c>
      <c r="D773" s="13" t="n">
        <f aca="true">OFFSET(Datos!$D$1,1+761,0)</f>
        <v>157.761516965384</v>
      </c>
      <c r="E773" s="13" t="n">
        <f aca="false">C773-D773</f>
        <v>13.2267769623585</v>
      </c>
    </row>
    <row r="774" customFormat="false" ht="15" hidden="false" customHeight="false" outlineLevel="0" collapsed="false">
      <c r="A774" s="2" t="n">
        <v>763</v>
      </c>
      <c r="B774" s="13" t="n">
        <f aca="true">OFFSET(Datos!$B$1,1+$B$4+762,0)</f>
        <v>40.6189999999999</v>
      </c>
      <c r="C774" s="13" t="n">
        <f aca="true">OFFSET(Datos!$D$1,1+$B$4+762,0)</f>
        <v>171.734017257965</v>
      </c>
      <c r="D774" s="13" t="n">
        <f aca="true">OFFSET(Datos!$D$1,1+762,0)</f>
        <v>154.550268174955</v>
      </c>
      <c r="E774" s="13" t="n">
        <f aca="false">C774-D774</f>
        <v>17.1837490830101</v>
      </c>
    </row>
    <row r="775" customFormat="false" ht="15" hidden="false" customHeight="false" outlineLevel="0" collapsed="false">
      <c r="A775" s="2" t="n">
        <v>764</v>
      </c>
      <c r="B775" s="13" t="n">
        <f aca="true">OFFSET(Datos!$B$1,1+$B$4+763,0)</f>
        <v>40.6690000000001</v>
      </c>
      <c r="C775" s="13" t="n">
        <f aca="true">OFFSET(Datos!$D$1,1+$B$4+763,0)</f>
        <v>171.591295089501</v>
      </c>
      <c r="D775" s="13" t="n">
        <f aca="true">OFFSET(Datos!$D$1,1+763,0)</f>
        <v>157.058610285701</v>
      </c>
      <c r="E775" s="13" t="n">
        <f aca="false">C775-D775</f>
        <v>14.5326848037999</v>
      </c>
    </row>
    <row r="776" customFormat="false" ht="15" hidden="false" customHeight="false" outlineLevel="0" collapsed="false">
      <c r="A776" s="2" t="n">
        <v>765</v>
      </c>
      <c r="B776" s="13" t="n">
        <f aca="true">OFFSET(Datos!$B$1,1+$B$4+764,0)</f>
        <v>40.7189999999998</v>
      </c>
      <c r="C776" s="13" t="n">
        <f aca="true">OFFSET(Datos!$D$1,1+$B$4+764,0)</f>
        <v>174.477850946676</v>
      </c>
      <c r="D776" s="13" t="n">
        <f aca="true">OFFSET(Datos!$D$1,1+764,0)</f>
        <v>152.99102848449</v>
      </c>
      <c r="E776" s="13" t="n">
        <f aca="false">C776-D776</f>
        <v>21.4868224621858</v>
      </c>
    </row>
    <row r="777" customFormat="false" ht="15" hidden="false" customHeight="false" outlineLevel="0" collapsed="false">
      <c r="A777" s="2" t="n">
        <v>766</v>
      </c>
      <c r="B777" s="13" t="n">
        <f aca="true">OFFSET(Datos!$B$1,1+$B$4+765,0)</f>
        <v>40.769</v>
      </c>
      <c r="C777" s="13" t="n">
        <f aca="true">OFFSET(Datos!$D$1,1+$B$4+765,0)</f>
        <v>169.136473791928</v>
      </c>
      <c r="D777" s="13" t="n">
        <f aca="true">OFFSET(Datos!$D$1,1+765,0)</f>
        <v>156.933728388296</v>
      </c>
      <c r="E777" s="13" t="n">
        <f aca="false">C777-D777</f>
        <v>12.2027454036326</v>
      </c>
    </row>
    <row r="778" customFormat="false" ht="15" hidden="false" customHeight="false" outlineLevel="0" collapsed="false">
      <c r="A778" s="2" t="n">
        <v>767</v>
      </c>
      <c r="B778" s="13" t="n">
        <f aca="true">OFFSET(Datos!$B$1,1+$B$4+766,0)</f>
        <v>40.8189999999997</v>
      </c>
      <c r="C778" s="13" t="n">
        <f aca="true">OFFSET(Datos!$D$1,1+$B$4+766,0)</f>
        <v>174.781135554661</v>
      </c>
      <c r="D778" s="13" t="n">
        <f aca="true">OFFSET(Datos!$D$1,1+766,0)</f>
        <v>154.4717709823</v>
      </c>
      <c r="E778" s="13" t="n">
        <f aca="false">C778-D778</f>
        <v>20.3093645723616</v>
      </c>
    </row>
    <row r="779" customFormat="false" ht="15" hidden="false" customHeight="false" outlineLevel="0" collapsed="false">
      <c r="A779" s="2" t="n">
        <v>768</v>
      </c>
      <c r="B779" s="13" t="n">
        <f aca="true">OFFSET(Datos!$B$1,1+$B$4+767,0)</f>
        <v>40.8689999999999</v>
      </c>
      <c r="C779" s="13" t="n">
        <f aca="true">OFFSET(Datos!$D$1,1+$B$4+767,0)</f>
        <v>164.676406027443</v>
      </c>
      <c r="D779" s="13" t="n">
        <f aca="true">OFFSET(Datos!$D$1,1+767,0)</f>
        <v>161.500837779129</v>
      </c>
      <c r="E779" s="13" t="n">
        <f aca="false">C779-D779</f>
        <v>3.17556824831374</v>
      </c>
    </row>
    <row r="780" customFormat="false" ht="15" hidden="false" customHeight="false" outlineLevel="0" collapsed="false">
      <c r="A780" s="2" t="n">
        <v>769</v>
      </c>
      <c r="B780" s="13" t="n">
        <f aca="true">OFFSET(Datos!$B$1,1+$B$4+768,0)</f>
        <v>40.9190000000001</v>
      </c>
      <c r="C780" s="13" t="n">
        <f aca="true">OFFSET(Datos!$D$1,1+$B$4+768,0)</f>
        <v>171.726881149541</v>
      </c>
      <c r="D780" s="13" t="n">
        <f aca="true">OFFSET(Datos!$D$1,1+768,0)</f>
        <v>156.116643973842</v>
      </c>
      <c r="E780" s="13" t="n">
        <f aca="false">C780-D780</f>
        <v>15.6102371756996</v>
      </c>
    </row>
    <row r="781" customFormat="false" ht="15" hidden="false" customHeight="false" outlineLevel="0" collapsed="false">
      <c r="A781" s="2" t="n">
        <v>770</v>
      </c>
      <c r="B781" s="13" t="n">
        <f aca="true">OFFSET(Datos!$B$1,1+$B$4+769,0)</f>
        <v>40.9689999999998</v>
      </c>
      <c r="C781" s="13" t="n">
        <f aca="true">OFFSET(Datos!$D$1,1+$B$4+769,0)</f>
        <v>174.749023066757</v>
      </c>
      <c r="D781" s="13" t="n">
        <f aca="true">OFFSET(Datos!$D$1,1+769,0)</f>
        <v>153.501260236748</v>
      </c>
      <c r="E781" s="13" t="n">
        <f aca="false">C781-D781</f>
        <v>21.2477628300094</v>
      </c>
    </row>
    <row r="782" customFormat="false" ht="15" hidden="false" customHeight="false" outlineLevel="0" collapsed="false">
      <c r="A782" s="2" t="n">
        <v>771</v>
      </c>
      <c r="B782" s="13" t="n">
        <f aca="true">OFFSET(Datos!$B$1,1+$B$4+770,0)</f>
        <v>41.019</v>
      </c>
      <c r="C782" s="13" t="n">
        <f aca="true">OFFSET(Datos!$D$1,1+$B$4+770,0)</f>
        <v>167.017049590245</v>
      </c>
      <c r="D782" s="13" t="n">
        <f aca="true">OFFSET(Datos!$D$1,1+770,0)</f>
        <v>159.160194216327</v>
      </c>
      <c r="E782" s="13" t="n">
        <f aca="false">C782-D782</f>
        <v>7.8568553739178</v>
      </c>
    </row>
    <row r="783" customFormat="false" ht="15" hidden="false" customHeight="false" outlineLevel="0" collapsed="false">
      <c r="A783" s="2" t="n">
        <v>772</v>
      </c>
      <c r="B783" s="13" t="n">
        <f aca="true">OFFSET(Datos!$B$1,1+$B$4+771,0)</f>
        <v>41.0689999999997</v>
      </c>
      <c r="C783" s="13" t="n">
        <f aca="true">OFFSET(Datos!$D$1,1+$B$4+771,0)</f>
        <v>169.482575050452</v>
      </c>
      <c r="D783" s="13" t="n">
        <f aca="true">OFFSET(Datos!$D$1,1+771,0)</f>
        <v>153.893746200022</v>
      </c>
      <c r="E783" s="13" t="n">
        <f aca="false">C783-D783</f>
        <v>15.58882885043</v>
      </c>
    </row>
    <row r="784" customFormat="false" ht="15" hidden="false" customHeight="false" outlineLevel="0" collapsed="false">
      <c r="A784" s="2" t="n">
        <v>773</v>
      </c>
      <c r="B784" s="13" t="n">
        <f aca="true">OFFSET(Datos!$B$1,1+$B$4+772,0)</f>
        <v>41.1189999999999</v>
      </c>
      <c r="C784" s="13" t="n">
        <f aca="true">OFFSET(Datos!$D$1,1+$B$4+772,0)</f>
        <v>164.844104575387</v>
      </c>
      <c r="D784" s="13" t="n">
        <f aca="true">OFFSET(Datos!$D$1,1+772,0)</f>
        <v>154.753647265015</v>
      </c>
      <c r="E784" s="13" t="n">
        <f aca="false">C784-D784</f>
        <v>10.0904573103722</v>
      </c>
    </row>
    <row r="785" customFormat="false" ht="15" hidden="false" customHeight="false" outlineLevel="0" collapsed="false">
      <c r="A785" s="2" t="n">
        <v>774</v>
      </c>
      <c r="B785" s="13" t="n">
        <f aca="true">OFFSET(Datos!$B$1,1+$B$4+773,0)</f>
        <v>41.1690000000001</v>
      </c>
      <c r="C785" s="13" t="n">
        <f aca="true">OFFSET(Datos!$D$1,1+$B$4+773,0)</f>
        <v>175.22714233111</v>
      </c>
      <c r="D785" s="13" t="n">
        <f aca="true">OFFSET(Datos!$D$1,1+773,0)</f>
        <v>154.279096054874</v>
      </c>
      <c r="E785" s="13" t="n">
        <f aca="false">C785-D785</f>
        <v>20.9480462762359</v>
      </c>
    </row>
    <row r="786" customFormat="false" ht="15" hidden="false" customHeight="false" outlineLevel="0" collapsed="false">
      <c r="A786" s="2" t="n">
        <v>775</v>
      </c>
      <c r="B786" s="13" t="n">
        <f aca="true">OFFSET(Datos!$B$1,1+$B$4+774,0)</f>
        <v>41.2189999999998</v>
      </c>
      <c r="C786" s="13" t="n">
        <f aca="true">OFFSET(Datos!$D$1,1+$B$4+774,0)</f>
        <v>173.696447074338</v>
      </c>
      <c r="D786" s="13" t="n">
        <f aca="true">OFFSET(Datos!$D$1,1+774,0)</f>
        <v>156.890911737757</v>
      </c>
      <c r="E786" s="13" t="n">
        <f aca="false">C786-D786</f>
        <v>16.8055353365817</v>
      </c>
    </row>
    <row r="787" customFormat="false" ht="15" hidden="false" customHeight="false" outlineLevel="0" collapsed="false">
      <c r="A787" s="2" t="n">
        <v>776</v>
      </c>
      <c r="B787" s="13" t="n">
        <f aca="true">OFFSET(Datos!$B$1,1+$B$4+775,0)</f>
        <v>41.269</v>
      </c>
      <c r="C787" s="13" t="n">
        <f aca="true">OFFSET(Datos!$D$1,1+$B$4+775,0)</f>
        <v>167.97328811895</v>
      </c>
      <c r="D787" s="13" t="n">
        <f aca="true">OFFSET(Datos!$D$1,1+775,0)</f>
        <v>155.188949878829</v>
      </c>
      <c r="E787" s="13" t="n">
        <f aca="false">C787-D787</f>
        <v>12.7843382401215</v>
      </c>
    </row>
    <row r="788" customFormat="false" ht="15" hidden="false" customHeight="false" outlineLevel="0" collapsed="false">
      <c r="A788" s="2" t="n">
        <v>777</v>
      </c>
      <c r="B788" s="13" t="n">
        <f aca="true">OFFSET(Datos!$B$1,1+$B$4+776,0)</f>
        <v>41.3189999999997</v>
      </c>
      <c r="C788" s="13" t="n">
        <f aca="true">OFFSET(Datos!$D$1,1+$B$4+776,0)</f>
        <v>168.665490635999</v>
      </c>
      <c r="D788" s="13" t="n">
        <f aca="true">OFFSET(Datos!$D$1,1+776,0)</f>
        <v>156.180868949651</v>
      </c>
      <c r="E788" s="13" t="n">
        <f aca="false">C788-D788</f>
        <v>12.4846216863481</v>
      </c>
    </row>
    <row r="789" customFormat="false" ht="15" hidden="false" customHeight="false" outlineLevel="0" collapsed="false">
      <c r="A789" s="2" t="n">
        <v>778</v>
      </c>
      <c r="B789" s="13" t="n">
        <f aca="true">OFFSET(Datos!$B$1,1+$B$4+777,0)</f>
        <v>41.3689999999999</v>
      </c>
      <c r="C789" s="13" t="n">
        <f aca="true">OFFSET(Datos!$D$1,1+$B$4+777,0)</f>
        <v>162.756792861608</v>
      </c>
      <c r="D789" s="13" t="n">
        <f aca="true">OFFSET(Datos!$D$1,1+777,0)</f>
        <v>157.750812802749</v>
      </c>
      <c r="E789" s="13" t="n">
        <f aca="false">C789-D789</f>
        <v>5.00598005885863</v>
      </c>
    </row>
    <row r="790" customFormat="false" ht="15" hidden="false" customHeight="false" outlineLevel="0" collapsed="false">
      <c r="A790" s="2" t="n">
        <v>779</v>
      </c>
      <c r="B790" s="13" t="n">
        <f aca="true">OFFSET(Datos!$B$1,1+$B$4+778,0)</f>
        <v>41.4190000000001</v>
      </c>
      <c r="C790" s="13" t="n">
        <f aca="true">OFFSET(Datos!$D$1,1+$B$4+778,0)</f>
        <v>162.978012222727</v>
      </c>
      <c r="D790" s="13" t="n">
        <f aca="true">OFFSET(Datos!$D$1,1+778,0)</f>
        <v>159.845260624952</v>
      </c>
      <c r="E790" s="13" t="n">
        <f aca="false">C790-D790</f>
        <v>3.13275159777467</v>
      </c>
    </row>
    <row r="791" customFormat="false" ht="15" hidden="false" customHeight="false" outlineLevel="0" collapsed="false">
      <c r="A791" s="2" t="n">
        <v>780</v>
      </c>
      <c r="B791" s="13" t="n">
        <f aca="true">OFFSET(Datos!$B$1,1+$B$4+779,0)</f>
        <v>41.4689999999998</v>
      </c>
      <c r="C791" s="13" t="n">
        <f aca="true">OFFSET(Datos!$D$1,1+$B$4+779,0)</f>
        <v>159.823852299682</v>
      </c>
      <c r="D791" s="13" t="n">
        <f aca="true">OFFSET(Datos!$D$1,1+779,0)</f>
        <v>165.229454430239</v>
      </c>
      <c r="E791" s="13" t="n">
        <f aca="false">C791-D791</f>
        <v>-5.40560213055653</v>
      </c>
    </row>
    <row r="792" customFormat="false" ht="15" hidden="false" customHeight="false" outlineLevel="0" collapsed="false">
      <c r="A792" s="2" t="n">
        <v>781</v>
      </c>
      <c r="B792" s="13" t="n">
        <f aca="true">OFFSET(Datos!$B$1,1+$B$4+780,0)</f>
        <v>41.519</v>
      </c>
      <c r="C792" s="13" t="n">
        <f aca="true">OFFSET(Datos!$D$1,1+$B$4+780,0)</f>
        <v>164.73706294904</v>
      </c>
      <c r="D792" s="13" t="n">
        <f aca="true">OFFSET(Datos!$D$1,1+780,0)</f>
        <v>156.387816093923</v>
      </c>
      <c r="E792" s="13" t="n">
        <f aca="false">C792-D792</f>
        <v>8.349246855117</v>
      </c>
    </row>
    <row r="793" customFormat="false" ht="15" hidden="false" customHeight="false" outlineLevel="0" collapsed="false">
      <c r="A793" s="2" t="n">
        <v>782</v>
      </c>
      <c r="B793" s="13" t="n">
        <f aca="true">OFFSET(Datos!$B$1,1+$B$4+781,0)</f>
        <v>41.5689999999997</v>
      </c>
      <c r="C793" s="13" t="n">
        <f aca="true">OFFSET(Datos!$D$1,1+$B$4+781,0)</f>
        <v>165.172365562853</v>
      </c>
      <c r="D793" s="13" t="n">
        <f aca="true">OFFSET(Datos!$D$1,1+781,0)</f>
        <v>156.87663952091</v>
      </c>
      <c r="E793" s="13" t="n">
        <f aca="false">C793-D793</f>
        <v>8.2957260419432</v>
      </c>
    </row>
    <row r="794" customFormat="false" ht="15" hidden="false" customHeight="false" outlineLevel="0" collapsed="false">
      <c r="A794" s="2" t="n">
        <v>783</v>
      </c>
      <c r="B794" s="13" t="n">
        <f aca="true">OFFSET(Datos!$B$1,1+$B$4+782,0)</f>
        <v>41.6189999999999</v>
      </c>
      <c r="C794" s="13" t="n">
        <f aca="true">OFFSET(Datos!$D$1,1+$B$4+782,0)</f>
        <v>163.477539812349</v>
      </c>
      <c r="D794" s="13" t="n">
        <f aca="true">OFFSET(Datos!$D$1,1+782,0)</f>
        <v>159.7061065107</v>
      </c>
      <c r="E794" s="13" t="n">
        <f aca="false">C794-D794</f>
        <v>3.77143330164901</v>
      </c>
    </row>
    <row r="795" customFormat="false" ht="15" hidden="false" customHeight="false" outlineLevel="0" collapsed="false">
      <c r="A795" s="2" t="n">
        <v>784</v>
      </c>
      <c r="B795" s="13" t="n">
        <f aca="true">OFFSET(Datos!$B$1,1+$B$4+783,0)</f>
        <v>41.6690000000001</v>
      </c>
      <c r="C795" s="13" t="n">
        <f aca="true">OFFSET(Datos!$D$1,1+$B$4+783,0)</f>
        <v>161.804122387114</v>
      </c>
      <c r="D795" s="13" t="n">
        <f aca="true">OFFSET(Datos!$D$1,1+783,0)</f>
        <v>161.133328195335</v>
      </c>
      <c r="E795" s="13" t="n">
        <f aca="false">C795-D795</f>
        <v>0.67079419177864</v>
      </c>
    </row>
    <row r="796" customFormat="false" ht="15" hidden="false" customHeight="false" outlineLevel="0" collapsed="false">
      <c r="A796" s="2" t="n">
        <v>785</v>
      </c>
      <c r="B796" s="13" t="n">
        <f aca="true">OFFSET(Datos!$B$1,1+$B$4+784,0)</f>
        <v>41.7189999999998</v>
      </c>
      <c r="C796" s="13" t="n">
        <f aca="true">OFFSET(Datos!$D$1,1+$B$4+784,0)</f>
        <v>158.974655397324</v>
      </c>
      <c r="D796" s="13" t="n">
        <f aca="true">OFFSET(Datos!$D$1,1+784,0)</f>
        <v>159.320756655848</v>
      </c>
      <c r="E796" s="13" t="n">
        <f aca="false">C796-D796</f>
        <v>-0.346101258524072</v>
      </c>
    </row>
    <row r="797" customFormat="false" ht="15" hidden="false" customHeight="false" outlineLevel="0" collapsed="false">
      <c r="A797" s="2" t="n">
        <v>786</v>
      </c>
      <c r="B797" s="13" t="n">
        <f aca="true">OFFSET(Datos!$B$1,1+$B$4+785,0)</f>
        <v>41.769</v>
      </c>
      <c r="C797" s="13" t="n">
        <f aca="true">OFFSET(Datos!$D$1,1+$B$4+785,0)</f>
        <v>159.452774661677</v>
      </c>
      <c r="D797" s="13" t="n">
        <f aca="true">OFFSET(Datos!$D$1,1+785,0)</f>
        <v>157.283397701031</v>
      </c>
      <c r="E797" s="13" t="n">
        <f aca="false">C797-D797</f>
        <v>2.16937696064576</v>
      </c>
    </row>
    <row r="798" customFormat="false" ht="15" hidden="false" customHeight="false" outlineLevel="0" collapsed="false">
      <c r="A798" s="2" t="n">
        <v>787</v>
      </c>
      <c r="B798" s="13" t="n">
        <f aca="true">OFFSET(Datos!$B$1,1+$B$4+786,0)</f>
        <v>41.8189999999997</v>
      </c>
      <c r="C798" s="13" t="n">
        <f aca="true">OFFSET(Datos!$D$1,1+$B$4+786,0)</f>
        <v>158.988927614171</v>
      </c>
      <c r="D798" s="13" t="n">
        <f aca="true">OFFSET(Datos!$D$1,1+786,0)</f>
        <v>154.914209704537</v>
      </c>
      <c r="E798" s="13" t="n">
        <f aca="false">C798-D798</f>
        <v>4.07471790963402</v>
      </c>
    </row>
    <row r="799" customFormat="false" ht="15" hidden="false" customHeight="false" outlineLevel="0" collapsed="false">
      <c r="A799" s="2" t="n">
        <v>788</v>
      </c>
      <c r="B799" s="13" t="n">
        <f aca="true">OFFSET(Datos!$B$1,1+$B$4+787,0)</f>
        <v>41.8689999999999</v>
      </c>
      <c r="C799" s="13" t="n">
        <f aca="true">OFFSET(Datos!$D$1,1+$B$4+787,0)</f>
        <v>156.273638359152</v>
      </c>
      <c r="D799" s="13" t="n">
        <f aca="true">OFFSET(Datos!$D$1,1+787,0)</f>
        <v>160.266291021919</v>
      </c>
      <c r="E799" s="13" t="n">
        <f aca="false">C799-D799</f>
        <v>-3.99265266276748</v>
      </c>
    </row>
    <row r="800" customFormat="false" ht="15" hidden="false" customHeight="false" outlineLevel="0" collapsed="false">
      <c r="A800" s="2" t="n">
        <v>789</v>
      </c>
      <c r="B800" s="13" t="n">
        <f aca="true">OFFSET(Datos!$B$1,1+$B$4+788,0)</f>
        <v>41.9190000000001</v>
      </c>
      <c r="C800" s="13" t="n">
        <f aca="true">OFFSET(Datos!$D$1,1+$B$4+788,0)</f>
        <v>156.020306510129</v>
      </c>
      <c r="D800" s="13" t="n">
        <f aca="true">OFFSET(Datos!$D$1,1+788,0)</f>
        <v>158.80695684938</v>
      </c>
      <c r="E800" s="13" t="n">
        <f aca="false">C800-D800</f>
        <v>-2.7866503392506</v>
      </c>
    </row>
    <row r="801" customFormat="false" ht="15" hidden="false" customHeight="false" outlineLevel="0" collapsed="false">
      <c r="A801" s="2" t="n">
        <v>790</v>
      </c>
      <c r="B801" s="13" t="n">
        <f aca="true">OFFSET(Datos!$B$1,1+$B$4+789,0)</f>
        <v>41.9689999999998</v>
      </c>
      <c r="C801" s="13" t="n">
        <f aca="true">OFFSET(Datos!$D$1,1+$B$4+789,0)</f>
        <v>160.676617256252</v>
      </c>
      <c r="D801" s="13" t="n">
        <f aca="true">OFFSET(Datos!$D$1,1+789,0)</f>
        <v>162.938763626399</v>
      </c>
      <c r="E801" s="13" t="n">
        <f aca="false">C801-D801</f>
        <v>-2.26214637014712</v>
      </c>
    </row>
    <row r="802" customFormat="false" ht="15" hidden="false" customHeight="false" outlineLevel="0" collapsed="false">
      <c r="A802" s="2" t="n">
        <v>791</v>
      </c>
      <c r="B802" s="13" t="n">
        <f aca="true">OFFSET(Datos!$B$1,1+$B$4+790,0)</f>
        <v>42.019</v>
      </c>
      <c r="C802" s="13" t="n">
        <f aca="true">OFFSET(Datos!$D$1,1+$B$4+790,0)</f>
        <v>157.015793635162</v>
      </c>
      <c r="D802" s="13" t="n">
        <f aca="true">OFFSET(Datos!$D$1,1+790,0)</f>
        <v>158.849773499919</v>
      </c>
      <c r="E802" s="13" t="n">
        <f aca="false">C802-D802</f>
        <v>-1.83397986475646</v>
      </c>
    </row>
    <row r="803" customFormat="false" ht="15" hidden="false" customHeight="false" outlineLevel="0" collapsed="false">
      <c r="A803" s="2" t="n">
        <v>792</v>
      </c>
      <c r="B803" s="13" t="n">
        <f aca="true">OFFSET(Datos!$B$1,1+$B$4+791,0)</f>
        <v>42.0689999999997</v>
      </c>
      <c r="C803" s="13" t="n">
        <f aca="true">OFFSET(Datos!$D$1,1+$B$4+791,0)</f>
        <v>154.300504380143</v>
      </c>
      <c r="D803" s="13" t="n">
        <f aca="true">OFFSET(Datos!$D$1,1+791,0)</f>
        <v>162.546277663124</v>
      </c>
      <c r="E803" s="13" t="n">
        <f aca="false">C803-D803</f>
        <v>-8.24577328298093</v>
      </c>
    </row>
    <row r="804" customFormat="false" ht="15" hidden="false" customHeight="false" outlineLevel="0" collapsed="false">
      <c r="A804" s="2" t="n">
        <v>793</v>
      </c>
      <c r="B804" s="13" t="n">
        <f aca="true">OFFSET(Datos!$B$1,1+$B$4+792,0)</f>
        <v>42.1189999999999</v>
      </c>
      <c r="C804" s="13" t="n">
        <f aca="true">OFFSET(Datos!$D$1,1+$B$4+792,0)</f>
        <v>161.882619579769</v>
      </c>
      <c r="D804" s="13" t="n">
        <f aca="true">OFFSET(Datos!$D$1,1+792,0)</f>
        <v>167.727092378351</v>
      </c>
      <c r="E804" s="13" t="n">
        <f aca="false">C804-D804</f>
        <v>-5.8444727985819</v>
      </c>
    </row>
    <row r="805" customFormat="false" ht="15" hidden="false" customHeight="false" outlineLevel="0" collapsed="false">
      <c r="A805" s="2" t="n">
        <v>794</v>
      </c>
      <c r="B805" s="13" t="n">
        <f aca="true">OFFSET(Datos!$B$1,1+$B$4+793,0)</f>
        <v>42.1690000000001</v>
      </c>
      <c r="C805" s="13" t="n">
        <f aca="true">OFFSET(Datos!$D$1,1+$B$4+793,0)</f>
        <v>162.499892958374</v>
      </c>
      <c r="D805" s="13" t="n">
        <f aca="true">OFFSET(Datos!$D$1,1+793,0)</f>
        <v>161.507973887552</v>
      </c>
      <c r="E805" s="13" t="n">
        <f aca="false">C805-D805</f>
        <v>0.991919070821609</v>
      </c>
    </row>
    <row r="806" customFormat="false" ht="15" hidden="false" customHeight="false" outlineLevel="0" collapsed="false">
      <c r="A806" s="2" t="n">
        <v>795</v>
      </c>
      <c r="B806" s="13" t="n">
        <f aca="true">OFFSET(Datos!$B$1,1+$B$4+794,0)</f>
        <v>42.2189999999998</v>
      </c>
      <c r="C806" s="13" t="n">
        <f aca="true">OFFSET(Datos!$D$1,1+$B$4+794,0)</f>
        <v>161.657832164439</v>
      </c>
      <c r="D806" s="13" t="n">
        <f aca="true">OFFSET(Datos!$D$1,1+794,0)</f>
        <v>167.741364595197</v>
      </c>
      <c r="E806" s="13" t="n">
        <f aca="false">C806-D806</f>
        <v>-6.08353243075834</v>
      </c>
    </row>
    <row r="807" customFormat="false" ht="15" hidden="false" customHeight="false" outlineLevel="0" collapsed="false">
      <c r="A807" s="2" t="n">
        <v>796</v>
      </c>
      <c r="B807" s="13" t="n">
        <f aca="true">OFFSET(Datos!$B$1,1+$B$4+795,0)</f>
        <v>42.269</v>
      </c>
      <c r="C807" s="13" t="n">
        <f aca="true">OFFSET(Datos!$D$1,1+$B$4+795,0)</f>
        <v>156.7196451356</v>
      </c>
      <c r="D807" s="13" t="n">
        <f aca="true">OFFSET(Datos!$D$1,1+795,0)</f>
        <v>161.243937875895</v>
      </c>
      <c r="E807" s="13" t="n">
        <f aca="false">C807-D807</f>
        <v>-4.52429274029416</v>
      </c>
    </row>
    <row r="808" customFormat="false" ht="15" hidden="false" customHeight="false" outlineLevel="0" collapsed="false">
      <c r="A808" s="2" t="n">
        <v>797</v>
      </c>
      <c r="B808" s="13" t="n">
        <f aca="true">OFFSET(Datos!$B$1,1+$B$4+796,0)</f>
        <v>42.3189999999997</v>
      </c>
      <c r="C808" s="13" t="n">
        <f aca="true">OFFSET(Datos!$D$1,1+$B$4+796,0)</f>
        <v>160.944221322121</v>
      </c>
      <c r="D808" s="13" t="n">
        <f aca="true">OFFSET(Datos!$D$1,1+796,0)</f>
        <v>171.373643782594</v>
      </c>
      <c r="E808" s="13" t="n">
        <f aca="false">C808-D808</f>
        <v>-10.4294224604731</v>
      </c>
    </row>
    <row r="809" customFormat="false" ht="15" hidden="false" customHeight="false" outlineLevel="0" collapsed="false">
      <c r="A809" s="2" t="n">
        <v>798</v>
      </c>
      <c r="B809" s="13" t="n">
        <f aca="true">OFFSET(Datos!$B$1,1+$B$4+797,0)</f>
        <v>42.3689999999999</v>
      </c>
      <c r="C809" s="13" t="n">
        <f aca="true">OFFSET(Datos!$D$1,1+$B$4+797,0)</f>
        <v>166.289166531081</v>
      </c>
      <c r="D809" s="13" t="n">
        <f aca="true">OFFSET(Datos!$D$1,1+797,0)</f>
        <v>168.73685172023</v>
      </c>
      <c r="E809" s="13" t="n">
        <f aca="false">C809-D809</f>
        <v>-2.4476851891497</v>
      </c>
    </row>
    <row r="810" customFormat="false" ht="15" hidden="false" customHeight="false" outlineLevel="0" collapsed="false">
      <c r="A810" s="2" t="n">
        <v>799</v>
      </c>
      <c r="B810" s="13" t="n">
        <f aca="true">OFFSET(Datos!$B$1,1+$B$4+798,0)</f>
        <v>42.4190000000001</v>
      </c>
      <c r="C810" s="13" t="n">
        <f aca="true">OFFSET(Datos!$D$1,1+$B$4+798,0)</f>
        <v>157.529593441631</v>
      </c>
      <c r="D810" s="13" t="n">
        <f aca="true">OFFSET(Datos!$D$1,1+798,0)</f>
        <v>175.469770017498</v>
      </c>
      <c r="E810" s="13" t="n">
        <f aca="false">C810-D810</f>
        <v>-17.9401765758668</v>
      </c>
    </row>
    <row r="811" customFormat="false" ht="15" hidden="false" customHeight="false" outlineLevel="0" collapsed="false">
      <c r="A811" s="2" t="n">
        <v>800</v>
      </c>
      <c r="B811" s="13" t="n">
        <f aca="true">OFFSET(Datos!$B$1,1+$B$4+799,0)</f>
        <v>42.4689999999998</v>
      </c>
      <c r="C811" s="13" t="n">
        <f aca="true">OFFSET(Datos!$D$1,1+$B$4+799,0)</f>
        <v>159.913053654972</v>
      </c>
      <c r="D811" s="13" t="n">
        <f aca="true">OFFSET(Datos!$D$1,1+799,0)</f>
        <v>159.074560915249</v>
      </c>
      <c r="E811" s="13" t="n">
        <f aca="false">C811-D811</f>
        <v>0.838492739723307</v>
      </c>
    </row>
    <row r="812" customFormat="false" ht="15" hidden="false" customHeight="false" outlineLevel="0" collapsed="false">
      <c r="A812" s="2" t="n">
        <v>801</v>
      </c>
      <c r="B812" s="13" t="n">
        <f aca="true">OFFSET(Datos!$B$1,1+$B$4+800,0)</f>
        <v>42.519</v>
      </c>
      <c r="C812" s="13" t="n">
        <f aca="true">OFFSET(Datos!$D$1,1+$B$4+800,0)</f>
        <v>162.699703994223</v>
      </c>
      <c r="D812" s="13" t="n">
        <f aca="true">OFFSET(Datos!$D$1,1+800,0)</f>
        <v>161.14403235797</v>
      </c>
      <c r="E812" s="13" t="n">
        <f aca="false">C812-D812</f>
        <v>1.55567163625258</v>
      </c>
    </row>
    <row r="813" customFormat="false" ht="15" hidden="false" customHeight="false" outlineLevel="0" collapsed="false">
      <c r="A813" s="2" t="n">
        <v>802</v>
      </c>
      <c r="B813" s="13" t="n">
        <f aca="true">OFFSET(Datos!$B$1,1+$B$4+801,0)</f>
        <v>42.5689999999997</v>
      </c>
      <c r="C813" s="13" t="n">
        <f aca="true">OFFSET(Datos!$D$1,1+$B$4+801,0)</f>
        <v>156.798142328255</v>
      </c>
      <c r="D813" s="13" t="n">
        <f aca="true">OFFSET(Datos!$D$1,1+801,0)</f>
        <v>165.632644556148</v>
      </c>
      <c r="E813" s="13" t="n">
        <f aca="false">C813-D813</f>
        <v>-8.83450222789304</v>
      </c>
    </row>
    <row r="814" customFormat="false" ht="15" hidden="false" customHeight="false" outlineLevel="0" collapsed="false">
      <c r="A814" s="2" t="n">
        <v>803</v>
      </c>
      <c r="B814" s="13" t="n">
        <f aca="true">OFFSET(Datos!$B$1,1+$B$4+802,0)</f>
        <v>42.6189999999999</v>
      </c>
      <c r="C814" s="13" t="n">
        <f aca="true">OFFSET(Datos!$D$1,1+$B$4+802,0)</f>
        <v>162.821017837417</v>
      </c>
      <c r="D814" s="13" t="n">
        <f aca="true">OFFSET(Datos!$D$1,1+802,0)</f>
        <v>164.690678244289</v>
      </c>
      <c r="E814" s="13" t="n">
        <f aca="false">C814-D814</f>
        <v>-1.86966040687238</v>
      </c>
    </row>
    <row r="815" customFormat="false" ht="15" hidden="false" customHeight="false" outlineLevel="0" collapsed="false">
      <c r="A815" s="2" t="n">
        <v>804</v>
      </c>
      <c r="B815" s="13" t="n">
        <f aca="true">OFFSET(Datos!$B$1,1+$B$4+803,0)</f>
        <v>42.6690000000001</v>
      </c>
      <c r="C815" s="13" t="n">
        <f aca="true">OFFSET(Datos!$D$1,1+$B$4+803,0)</f>
        <v>157.104994990452</v>
      </c>
      <c r="D815" s="13" t="n">
        <f aca="true">OFFSET(Datos!$D$1,1+803,0)</f>
        <v>167.880518709449</v>
      </c>
      <c r="E815" s="13" t="n">
        <f aca="false">C815-D815</f>
        <v>-10.7755237189972</v>
      </c>
    </row>
    <row r="816" customFormat="false" ht="15" hidden="false" customHeight="false" outlineLevel="0" collapsed="false">
      <c r="A816" s="2" t="n">
        <v>805</v>
      </c>
      <c r="B816" s="13" t="n">
        <f aca="true">OFFSET(Datos!$B$1,1+$B$4+804,0)</f>
        <v>42.7189999999998</v>
      </c>
      <c r="C816" s="13" t="n">
        <f aca="true">OFFSET(Datos!$D$1,1+$B$4+804,0)</f>
        <v>161.854075146076</v>
      </c>
      <c r="D816" s="13" t="n">
        <f aca="true">OFFSET(Datos!$D$1,1+804,0)</f>
        <v>164.055564594626</v>
      </c>
      <c r="E816" s="13" t="n">
        <f aca="false">C816-D816</f>
        <v>-2.20148944855009</v>
      </c>
    </row>
    <row r="817" customFormat="false" ht="15" hidden="false" customHeight="false" outlineLevel="0" collapsed="false">
      <c r="A817" s="2" t="n">
        <v>806</v>
      </c>
      <c r="B817" s="13" t="n">
        <f aca="true">OFFSET(Datos!$B$1,1+$B$4+805,0)</f>
        <v>42.7699999999998</v>
      </c>
      <c r="C817" s="13" t="n">
        <f aca="true">OFFSET(Datos!$D$1,1+$B$4+805,0)</f>
        <v>159.784603703355</v>
      </c>
      <c r="D817" s="13" t="n">
        <f aca="true">OFFSET(Datos!$D$1,1+805,0)</f>
        <v>165.821751429363</v>
      </c>
      <c r="E817" s="13" t="n">
        <f aca="false">C817-D817</f>
        <v>-6.0371477260077</v>
      </c>
    </row>
    <row r="818" customFormat="false" ht="15" hidden="false" customHeight="false" outlineLevel="0" collapsed="false">
      <c r="A818" s="2" t="n">
        <v>807</v>
      </c>
      <c r="B818" s="13" t="n">
        <f aca="true">OFFSET(Datos!$B$1,1+$B$4+806,0)</f>
        <v>42.8199999999999</v>
      </c>
      <c r="C818" s="13" t="n">
        <f aca="true">OFFSET(Datos!$D$1,1+$B$4+806,0)</f>
        <v>161.07623932795</v>
      </c>
      <c r="D818" s="13" t="n">
        <f aca="true">OFFSET(Datos!$D$1,1+806,0)</f>
        <v>168.726147557596</v>
      </c>
      <c r="E818" s="13" t="n">
        <f aca="false">C818-D818</f>
        <v>-7.64990822964569</v>
      </c>
    </row>
    <row r="819" customFormat="false" ht="15" hidden="false" customHeight="false" outlineLevel="0" collapsed="false">
      <c r="A819" s="2" t="n">
        <v>808</v>
      </c>
      <c r="B819" s="13" t="n">
        <f aca="true">OFFSET(Datos!$B$1,1+$B$4+807,0)</f>
        <v>42.8700000000001</v>
      </c>
      <c r="C819" s="13" t="n">
        <f aca="true">OFFSET(Datos!$D$1,1+$B$4+807,0)</f>
        <v>157.575978146382</v>
      </c>
      <c r="D819" s="13" t="n">
        <f aca="true">OFFSET(Datos!$D$1,1+807,0)</f>
        <v>171.437868758403</v>
      </c>
      <c r="E819" s="13" t="n">
        <f aca="false">C819-D819</f>
        <v>-13.8618906120212</v>
      </c>
    </row>
    <row r="820" customFormat="false" ht="15" hidden="false" customHeight="false" outlineLevel="0" collapsed="false">
      <c r="A820" s="2" t="n">
        <v>809</v>
      </c>
      <c r="B820" s="13" t="n">
        <f aca="true">OFFSET(Datos!$B$1,1+$B$4+808,0)</f>
        <v>42.9199999999998</v>
      </c>
      <c r="C820" s="13" t="n">
        <f aca="true">OFFSET(Datos!$D$1,1+$B$4+808,0)</f>
        <v>156.027442618552</v>
      </c>
      <c r="D820" s="13" t="n">
        <f aca="true">OFFSET(Datos!$D$1,1+808,0)</f>
        <v>169.496847267299</v>
      </c>
      <c r="E820" s="13" t="n">
        <f aca="false">C820-D820</f>
        <v>-13.4694046487465</v>
      </c>
    </row>
    <row r="821" customFormat="false" ht="15" hidden="false" customHeight="false" outlineLevel="0" collapsed="false">
      <c r="A821" s="2" t="n">
        <v>810</v>
      </c>
      <c r="B821" s="13" t="n">
        <f aca="true">OFFSET(Datos!$B$1,1+$B$4+809,0)</f>
        <v>42.97</v>
      </c>
      <c r="C821" s="13" t="n">
        <f aca="true">OFFSET(Datos!$D$1,1+$B$4+809,0)</f>
        <v>156.459177178154</v>
      </c>
      <c r="D821" s="13" t="n">
        <f aca="true">OFFSET(Datos!$D$1,1+809,0)</f>
        <v>167.306061981383</v>
      </c>
      <c r="E821" s="13" t="n">
        <f aca="false">C821-D821</f>
        <v>-10.8468848032289</v>
      </c>
    </row>
    <row r="822" customFormat="false" ht="15" hidden="false" customHeight="false" outlineLevel="0" collapsed="false">
      <c r="A822" s="2" t="n">
        <v>811</v>
      </c>
      <c r="B822" s="13" t="n">
        <f aca="true">OFFSET(Datos!$B$1,1+$B$4+810,0)</f>
        <v>43.0199999999998</v>
      </c>
      <c r="C822" s="13" t="n">
        <f aca="true">OFFSET(Datos!$D$1,1+$B$4+810,0)</f>
        <v>158.810524903591</v>
      </c>
      <c r="D822" s="13" t="n">
        <f aca="true">OFFSET(Datos!$D$1,1+810,0)</f>
        <v>167.438079987212</v>
      </c>
      <c r="E822" s="13" t="n">
        <f aca="false">C822-D822</f>
        <v>-8.62755508362091</v>
      </c>
    </row>
    <row r="823" customFormat="false" ht="15" hidden="false" customHeight="false" outlineLevel="0" collapsed="false">
      <c r="A823" s="2" t="n">
        <v>812</v>
      </c>
      <c r="B823" s="13" t="n">
        <f aca="true">OFFSET(Datos!$B$1,1+$B$4+811,0)</f>
        <v>43.0699999999999</v>
      </c>
      <c r="C823" s="13" t="n">
        <f aca="true">OFFSET(Datos!$D$1,1+$B$4+811,0)</f>
        <v>163.670214739775</v>
      </c>
      <c r="D823" s="13" t="n">
        <f aca="true">OFFSET(Datos!$D$1,1+811,0)</f>
        <v>170.988293927743</v>
      </c>
      <c r="E823" s="13" t="n">
        <f aca="false">C823-D823</f>
        <v>-7.31807918796795</v>
      </c>
    </row>
    <row r="824" customFormat="false" ht="15" hidden="false" customHeight="false" outlineLevel="0" collapsed="false">
      <c r="A824" s="2" t="n">
        <v>813</v>
      </c>
      <c r="B824" s="13" t="n">
        <f aca="true">OFFSET(Datos!$B$1,1+$B$4+812,0)</f>
        <v>43.1200000000001</v>
      </c>
      <c r="C824" s="13" t="n">
        <f aca="true">OFFSET(Datos!$D$1,1+$B$4+812,0)</f>
        <v>158.503672241395</v>
      </c>
      <c r="D824" s="13" t="n">
        <f aca="true">OFFSET(Datos!$D$1,1+812,0)</f>
        <v>171.734017257965</v>
      </c>
      <c r="E824" s="13" t="n">
        <f aca="false">C824-D824</f>
        <v>-13.23034501657</v>
      </c>
    </row>
    <row r="825" customFormat="false" ht="15" hidden="false" customHeight="false" outlineLevel="0" collapsed="false">
      <c r="A825" s="2" t="n">
        <v>814</v>
      </c>
      <c r="B825" s="13" t="n">
        <f aca="true">OFFSET(Datos!$B$1,1+$B$4+813,0)</f>
        <v>43.1699999999998</v>
      </c>
      <c r="C825" s="13" t="n">
        <f aca="true">OFFSET(Datos!$D$1,1+$B$4+813,0)</f>
        <v>157.030065852009</v>
      </c>
      <c r="D825" s="13" t="n">
        <f aca="true">OFFSET(Datos!$D$1,1+813,0)</f>
        <v>171.591295089501</v>
      </c>
      <c r="E825" s="13" t="n">
        <f aca="false">C825-D825</f>
        <v>-14.5612292374926</v>
      </c>
    </row>
    <row r="826" customFormat="false" ht="15" hidden="false" customHeight="false" outlineLevel="0" collapsed="false">
      <c r="A826" s="2" t="n">
        <v>815</v>
      </c>
      <c r="B826" s="13" t="n">
        <f aca="true">OFFSET(Datos!$B$1,1+$B$4+814,0)</f>
        <v>43.22</v>
      </c>
      <c r="C826" s="13" t="n">
        <f aca="true">OFFSET(Datos!$D$1,1+$B$4+814,0)</f>
        <v>157.329782405782</v>
      </c>
      <c r="D826" s="13" t="n">
        <f aca="true">OFFSET(Datos!$D$1,1+814,0)</f>
        <v>174.477850946676</v>
      </c>
      <c r="E826" s="13" t="n">
        <f aca="false">C826-D826</f>
        <v>-17.1480685408942</v>
      </c>
    </row>
    <row r="827" customFormat="false" ht="15" hidden="false" customHeight="false" outlineLevel="0" collapsed="false">
      <c r="A827" s="2" t="n">
        <v>816</v>
      </c>
      <c r="B827" s="13" t="n">
        <f aca="true">OFFSET(Datos!$B$1,1+$B$4+815,0)</f>
        <v>43.2699999999998</v>
      </c>
      <c r="C827" s="13" t="n">
        <f aca="true">OFFSET(Datos!$D$1,1+$B$4+815,0)</f>
        <v>156.437768852885</v>
      </c>
      <c r="D827" s="13" t="n">
        <f aca="true">OFFSET(Datos!$D$1,1+815,0)</f>
        <v>169.136473791928</v>
      </c>
      <c r="E827" s="13" t="n">
        <f aca="false">C827-D827</f>
        <v>-12.6987049390434</v>
      </c>
    </row>
    <row r="828" customFormat="false" ht="15" hidden="false" customHeight="false" outlineLevel="0" collapsed="false">
      <c r="A828" s="2" t="n">
        <v>817</v>
      </c>
      <c r="B828" s="13" t="n">
        <f aca="true">OFFSET(Datos!$B$1,1+$B$4+816,0)</f>
        <v>43.3199999999999</v>
      </c>
      <c r="C828" s="13" t="n">
        <f aca="true">OFFSET(Datos!$D$1,1+$B$4+816,0)</f>
        <v>160.127136907667</v>
      </c>
      <c r="D828" s="13" t="n">
        <f aca="true">OFFSET(Datos!$D$1,1+816,0)</f>
        <v>174.781135554661</v>
      </c>
      <c r="E828" s="13" t="n">
        <f aca="false">C828-D828</f>
        <v>-14.6539986469939</v>
      </c>
    </row>
    <row r="829" customFormat="false" ht="15" hidden="false" customHeight="false" outlineLevel="0" collapsed="false">
      <c r="A829" s="2" t="n">
        <v>818</v>
      </c>
      <c r="B829" s="13" t="n">
        <f aca="true">OFFSET(Datos!$B$1,1+$B$4+817,0)</f>
        <v>43.3700000000001</v>
      </c>
      <c r="C829" s="13" t="n">
        <f aca="true">OFFSET(Datos!$D$1,1+$B$4+817,0)</f>
        <v>159.709674564912</v>
      </c>
      <c r="D829" s="13" t="n">
        <f aca="true">OFFSET(Datos!$D$1,1+817,0)</f>
        <v>164.676406027443</v>
      </c>
      <c r="E829" s="13" t="n">
        <f aca="false">C829-D829</f>
        <v>-4.96673146253113</v>
      </c>
    </row>
    <row r="830" customFormat="false" ht="15" hidden="false" customHeight="false" outlineLevel="0" collapsed="false">
      <c r="A830" s="2" t="n">
        <v>819</v>
      </c>
      <c r="B830" s="13" t="n">
        <f aca="true">OFFSET(Datos!$B$1,1+$B$4+818,0)</f>
        <v>43.4199999999998</v>
      </c>
      <c r="C830" s="13" t="n">
        <f aca="true">OFFSET(Datos!$D$1,1+$B$4+818,0)</f>
        <v>159.905917546549</v>
      </c>
      <c r="D830" s="13" t="n">
        <f aca="true">OFFSET(Datos!$D$1,1+818,0)</f>
        <v>171.726881149541</v>
      </c>
      <c r="E830" s="13" t="n">
        <f aca="false">C830-D830</f>
        <v>-11.8209636029926</v>
      </c>
    </row>
    <row r="831" customFormat="false" ht="15" hidden="false" customHeight="false" outlineLevel="0" collapsed="false">
      <c r="A831" s="2" t="n">
        <v>820</v>
      </c>
      <c r="B831" s="13" t="n">
        <f aca="true">OFFSET(Datos!$B$1,1+$B$4+819,0)</f>
        <v>43.47</v>
      </c>
      <c r="C831" s="13" t="n">
        <f aca="true">OFFSET(Datos!$D$1,1+$B$4+819,0)</f>
        <v>155.52791502893</v>
      </c>
      <c r="D831" s="13" t="n">
        <f aca="true">OFFSET(Datos!$D$1,1+819,0)</f>
        <v>174.749023066757</v>
      </c>
      <c r="E831" s="13" t="n">
        <f aca="false">C831-D831</f>
        <v>-19.2211080378271</v>
      </c>
    </row>
    <row r="832" customFormat="false" ht="15" hidden="false" customHeight="false" outlineLevel="0" collapsed="false">
      <c r="A832" s="2" t="n">
        <v>821</v>
      </c>
      <c r="B832" s="13" t="n">
        <f aca="true">OFFSET(Datos!$B$1,1+$B$4+820,0)</f>
        <v>43.5199999999998</v>
      </c>
      <c r="C832" s="13" t="n">
        <f aca="true">OFFSET(Datos!$D$1,1+$B$4+820,0)</f>
        <v>160.7836588826</v>
      </c>
      <c r="D832" s="13" t="n">
        <f aca="true">OFFSET(Datos!$D$1,1+820,0)</f>
        <v>167.017049590245</v>
      </c>
      <c r="E832" s="13" t="n">
        <f aca="false">C832-D832</f>
        <v>-6.23339070764504</v>
      </c>
    </row>
    <row r="833" customFormat="false" ht="15" hidden="false" customHeight="false" outlineLevel="0" collapsed="false">
      <c r="A833" s="2" t="n">
        <v>822</v>
      </c>
      <c r="B833" s="13" t="n">
        <f aca="true">OFFSET(Datos!$B$1,1+$B$4+821,0)</f>
        <v>43.5699999999999</v>
      </c>
      <c r="C833" s="13" t="n">
        <f aca="true">OFFSET(Datos!$D$1,1+$B$4+821,0)</f>
        <v>155.913264883781</v>
      </c>
      <c r="D833" s="13" t="n">
        <f aca="true">OFFSET(Datos!$D$1,1+821,0)</f>
        <v>169.482575050452</v>
      </c>
      <c r="E833" s="13" t="n">
        <f aca="false">C833-D833</f>
        <v>-13.569310166671</v>
      </c>
    </row>
    <row r="834" customFormat="false" ht="15" hidden="false" customHeight="false" outlineLevel="0" collapsed="false">
      <c r="A834" s="2" t="n">
        <v>823</v>
      </c>
      <c r="B834" s="13" t="n">
        <f aca="true">OFFSET(Datos!$B$1,1+$B$4+822,0)</f>
        <v>43.6200000000001</v>
      </c>
      <c r="C834" s="13" t="n">
        <f aca="true">OFFSET(Datos!$D$1,1+$B$4+822,0)</f>
        <v>160.508918708307</v>
      </c>
      <c r="D834" s="13" t="n">
        <f aca="true">OFFSET(Datos!$D$1,1+822,0)</f>
        <v>164.844104575387</v>
      </c>
      <c r="E834" s="13" t="n">
        <f aca="false">C834-D834</f>
        <v>-4.33518586707999</v>
      </c>
    </row>
    <row r="835" customFormat="false" ht="15" hidden="false" customHeight="false" outlineLevel="0" collapsed="false">
      <c r="A835" s="2" t="n">
        <v>824</v>
      </c>
      <c r="B835" s="13" t="n">
        <f aca="true">OFFSET(Datos!$B$1,1+$B$4+823,0)</f>
        <v>43.6699999999998</v>
      </c>
      <c r="C835" s="13" t="n">
        <f aca="true">OFFSET(Datos!$D$1,1+$B$4+823,0)</f>
        <v>160.576711738328</v>
      </c>
      <c r="D835" s="13" t="n">
        <f aca="true">OFFSET(Datos!$D$1,1+823,0)</f>
        <v>175.22714233111</v>
      </c>
      <c r="E835" s="13" t="n">
        <f aca="false">C835-D835</f>
        <v>-14.6504305927823</v>
      </c>
    </row>
    <row r="836" customFormat="false" ht="15" hidden="false" customHeight="false" outlineLevel="0" collapsed="false">
      <c r="A836" s="2" t="n">
        <v>825</v>
      </c>
      <c r="B836" s="13" t="n">
        <f aca="true">OFFSET(Datos!$B$1,1+$B$4+824,0)</f>
        <v>43.72</v>
      </c>
      <c r="C836" s="13" t="n">
        <f aca="true">OFFSET(Datos!$D$1,1+$B$4+824,0)</f>
        <v>165.668325098264</v>
      </c>
      <c r="D836" s="13" t="n">
        <f aca="true">OFFSET(Datos!$D$1,1+824,0)</f>
        <v>173.696447074338</v>
      </c>
      <c r="E836" s="13" t="n">
        <f aca="false">C836-D836</f>
        <v>-8.02812197607406</v>
      </c>
    </row>
    <row r="837" customFormat="false" ht="15" hidden="false" customHeight="false" outlineLevel="0" collapsed="false">
      <c r="A837" s="2" t="n">
        <v>826</v>
      </c>
      <c r="B837" s="13" t="n">
        <f aca="true">OFFSET(Datos!$B$1,1+$B$4+825,0)</f>
        <v>43.7699999999998</v>
      </c>
      <c r="C837" s="13" t="n">
        <f aca="true">OFFSET(Datos!$D$1,1+$B$4+825,0)</f>
        <v>161.786282116056</v>
      </c>
      <c r="D837" s="13" t="n">
        <f aca="true">OFFSET(Datos!$D$1,1+825,0)</f>
        <v>167.97328811895</v>
      </c>
      <c r="E837" s="13" t="n">
        <f aca="false">C837-D837</f>
        <v>-6.18700600289441</v>
      </c>
    </row>
    <row r="838" customFormat="false" ht="15" hidden="false" customHeight="false" outlineLevel="0" collapsed="false">
      <c r="A838" s="2" t="n">
        <v>827</v>
      </c>
      <c r="B838" s="13" t="n">
        <f aca="true">OFFSET(Datos!$B$1,1+$B$4+826,0)</f>
        <v>43.8199999999999</v>
      </c>
      <c r="C838" s="13" t="n">
        <f aca="true">OFFSET(Datos!$D$1,1+$B$4+826,0)</f>
        <v>159.206578921078</v>
      </c>
      <c r="D838" s="13" t="n">
        <f aca="true">OFFSET(Datos!$D$1,1+826,0)</f>
        <v>168.665490635999</v>
      </c>
      <c r="E838" s="13" t="n">
        <f aca="false">C838-D838</f>
        <v>-9.45891171492104</v>
      </c>
    </row>
    <row r="839" customFormat="false" ht="15" hidden="false" customHeight="false" outlineLevel="0" collapsed="false">
      <c r="A839" s="2" t="n">
        <v>828</v>
      </c>
      <c r="B839" s="13" t="n">
        <f aca="true">OFFSET(Datos!$B$1,1+$B$4+827,0)</f>
        <v>43.8700000000001</v>
      </c>
      <c r="C839" s="13" t="n">
        <f aca="true">OFFSET(Datos!$D$1,1+$B$4+827,0)</f>
        <v>156.020306510129</v>
      </c>
      <c r="D839" s="13" t="n">
        <f aca="true">OFFSET(Datos!$D$1,1+827,0)</f>
        <v>162.756792861608</v>
      </c>
      <c r="E839" s="13" t="n">
        <f aca="false">C839-D839</f>
        <v>-6.73648635147904</v>
      </c>
    </row>
    <row r="840" customFormat="false" ht="15" hidden="false" customHeight="false" outlineLevel="0" collapsed="false">
      <c r="A840" s="2" t="n">
        <v>829</v>
      </c>
      <c r="B840" s="13" t="n">
        <f aca="true">OFFSET(Datos!$B$1,1+$B$4+828,0)</f>
        <v>43.9199999999998</v>
      </c>
      <c r="C840" s="13" t="n">
        <f aca="true">OFFSET(Datos!$D$1,1+$B$4+828,0)</f>
        <v>155.570731679469</v>
      </c>
      <c r="D840" s="13" t="n">
        <f aca="true">OFFSET(Datos!$D$1,1+828,0)</f>
        <v>162.978012222727</v>
      </c>
      <c r="E840" s="13" t="n">
        <f aca="false">C840-D840</f>
        <v>-7.40728054325766</v>
      </c>
    </row>
    <row r="841" customFormat="false" ht="15" hidden="false" customHeight="false" outlineLevel="0" collapsed="false">
      <c r="A841" s="2" t="n">
        <v>830</v>
      </c>
      <c r="B841" s="13" t="n">
        <f aca="true">OFFSET(Datos!$B$1,1+$B$4+829,0)</f>
        <v>43.97</v>
      </c>
      <c r="C841" s="13" t="n">
        <f aca="true">OFFSET(Datos!$D$1,1+$B$4+829,0)</f>
        <v>156.180868949651</v>
      </c>
      <c r="D841" s="13" t="n">
        <f aca="true">OFFSET(Datos!$D$1,1+829,0)</f>
        <v>159.823852299682</v>
      </c>
      <c r="E841" s="13" t="n">
        <f aca="false">C841-D841</f>
        <v>-3.64298335003181</v>
      </c>
    </row>
    <row r="842" customFormat="false" ht="15" hidden="false" customHeight="false" outlineLevel="0" collapsed="false">
      <c r="A842" s="2" t="n">
        <v>831</v>
      </c>
      <c r="B842" s="13" t="n">
        <f aca="true">OFFSET(Datos!$B$1,1+$B$4+830,0)</f>
        <v>44.0199999999998</v>
      </c>
      <c r="C842" s="13" t="n">
        <f aca="true">OFFSET(Datos!$D$1,1+$B$4+830,0)</f>
        <v>159.995118901839</v>
      </c>
      <c r="D842" s="13" t="n">
        <f aca="true">OFFSET(Datos!$D$1,1+830,0)</f>
        <v>164.73706294904</v>
      </c>
      <c r="E842" s="13" t="n">
        <f aca="false">C842-D842</f>
        <v>-4.74194404720106</v>
      </c>
    </row>
    <row r="843" customFormat="false" ht="15" hidden="false" customHeight="false" outlineLevel="0" collapsed="false">
      <c r="A843" s="2" t="n">
        <v>832</v>
      </c>
      <c r="B843" s="13" t="n">
        <f aca="true">OFFSET(Datos!$B$1,1+$B$4+831,0)</f>
        <v>44.0699999999999</v>
      </c>
      <c r="C843" s="13" t="n">
        <f aca="true">OFFSET(Datos!$D$1,1+$B$4+831,0)</f>
        <v>156.559082696079</v>
      </c>
      <c r="D843" s="13" t="n">
        <f aca="true">OFFSET(Datos!$D$1,1+831,0)</f>
        <v>165.172365562853</v>
      </c>
      <c r="E843" s="13" t="n">
        <f aca="false">C843-D843</f>
        <v>-8.61328286677457</v>
      </c>
    </row>
    <row r="844" customFormat="false" ht="15" hidden="false" customHeight="false" outlineLevel="0" collapsed="false">
      <c r="A844" s="2" t="n">
        <v>833</v>
      </c>
      <c r="B844" s="13" t="n">
        <f aca="true">OFFSET(Datos!$B$1,1+$B$4+832,0)</f>
        <v>44.1200000000001</v>
      </c>
      <c r="C844" s="13" t="n">
        <f aca="true">OFFSET(Datos!$D$1,1+$B$4+832,0)</f>
        <v>157.575978146382</v>
      </c>
      <c r="D844" s="13" t="n">
        <f aca="true">OFFSET(Datos!$D$1,1+832,0)</f>
        <v>163.477539812349</v>
      </c>
      <c r="E844" s="13" t="n">
        <f aca="false">C844-D844</f>
        <v>-5.90156166596734</v>
      </c>
    </row>
    <row r="845" customFormat="false" ht="15" hidden="false" customHeight="false" outlineLevel="0" collapsed="false">
      <c r="A845" s="2" t="n">
        <v>834</v>
      </c>
      <c r="B845" s="13" t="n">
        <f aca="true">OFFSET(Datos!$B$1,1+$B$4+833,0)</f>
        <v>44.1699999999998</v>
      </c>
      <c r="C845" s="13" t="n">
        <f aca="true">OFFSET(Datos!$D$1,1+$B$4+833,0)</f>
        <v>163.445427324445</v>
      </c>
      <c r="D845" s="13" t="n">
        <f aca="true">OFFSET(Datos!$D$1,1+833,0)</f>
        <v>161.804122387114</v>
      </c>
      <c r="E845" s="13" t="n">
        <f aca="false">C845-D845</f>
        <v>1.64130493733069</v>
      </c>
    </row>
    <row r="846" customFormat="false" ht="15" hidden="false" customHeight="false" outlineLevel="0" collapsed="false">
      <c r="A846" s="2" t="n">
        <v>835</v>
      </c>
      <c r="B846" s="13" t="n">
        <f aca="true">OFFSET(Datos!$B$1,1+$B$4+834,0)</f>
        <v>44.2209999999998</v>
      </c>
      <c r="C846" s="13" t="n">
        <f aca="true">OFFSET(Datos!$D$1,1+$B$4+834,0)</f>
        <v>160.519622870942</v>
      </c>
      <c r="D846" s="13" t="n">
        <f aca="true">OFFSET(Datos!$D$1,1+834,0)</f>
        <v>158.974655397324</v>
      </c>
      <c r="E846" s="13" t="n">
        <f aca="false">C846-D846</f>
        <v>1.54496747361782</v>
      </c>
    </row>
    <row r="847" customFormat="false" ht="15" hidden="false" customHeight="false" outlineLevel="0" collapsed="false">
      <c r="A847" s="2" t="n">
        <v>836</v>
      </c>
      <c r="B847" s="13" t="n">
        <f aca="true">OFFSET(Datos!$B$1,1+$B$4+835,0)</f>
        <v>44.271</v>
      </c>
      <c r="C847" s="13" t="n">
        <f aca="true">OFFSET(Datos!$D$1,1+$B$4+835,0)</f>
        <v>161.529382212822</v>
      </c>
      <c r="D847" s="13" t="n">
        <f aca="true">OFFSET(Datos!$D$1,1+835,0)</f>
        <v>159.452774661677</v>
      </c>
      <c r="E847" s="13" t="n">
        <f aca="false">C847-D847</f>
        <v>2.07660755114449</v>
      </c>
    </row>
    <row r="848" customFormat="false" ht="15" hidden="false" customHeight="false" outlineLevel="0" collapsed="false">
      <c r="A848" s="2" t="n">
        <v>837</v>
      </c>
      <c r="B848" s="13" t="n">
        <f aca="true">OFFSET(Datos!$B$1,1+$B$4+836,0)</f>
        <v>44.3210000000001</v>
      </c>
      <c r="C848" s="13" t="n">
        <f aca="true">OFFSET(Datos!$D$1,1+$B$4+836,0)</f>
        <v>159.384981631657</v>
      </c>
      <c r="D848" s="13" t="n">
        <f aca="true">OFFSET(Datos!$D$1,1+836,0)</f>
        <v>158.988927614171</v>
      </c>
      <c r="E848" s="13" t="n">
        <f aca="false">C848-D848</f>
        <v>0.396054017486335</v>
      </c>
    </row>
    <row r="849" customFormat="false" ht="15" hidden="false" customHeight="false" outlineLevel="0" collapsed="false">
      <c r="A849" s="2" t="n">
        <v>838</v>
      </c>
      <c r="B849" s="13" t="n">
        <f aca="true">OFFSET(Datos!$B$1,1+$B$4+837,0)</f>
        <v>44.3709999999999</v>
      </c>
      <c r="C849" s="13" t="n">
        <f aca="true">OFFSET(Datos!$D$1,1+$B$4+837,0)</f>
        <v>153.736751814712</v>
      </c>
      <c r="D849" s="13" t="n">
        <f aca="true">OFFSET(Datos!$D$1,1+837,0)</f>
        <v>156.273638359152</v>
      </c>
      <c r="E849" s="13" t="n">
        <f aca="false">C849-D849</f>
        <v>-2.5368865444394</v>
      </c>
    </row>
    <row r="850" customFormat="false" ht="15" hidden="false" customHeight="false" outlineLevel="0" collapsed="false">
      <c r="A850" s="2" t="n">
        <v>839</v>
      </c>
      <c r="B850" s="13" t="n">
        <f aca="true">OFFSET(Datos!$B$1,1+$B$4+838,0)</f>
        <v>44.4210000000001</v>
      </c>
      <c r="C850" s="13" t="n">
        <f aca="true">OFFSET(Datos!$D$1,1+$B$4+838,0)</f>
        <v>159.192306704231</v>
      </c>
      <c r="D850" s="13" t="n">
        <f aca="true">OFFSET(Datos!$D$1,1+838,0)</f>
        <v>156.020306510129</v>
      </c>
      <c r="E850" s="13" t="n">
        <f aca="false">C850-D850</f>
        <v>3.17200019410217</v>
      </c>
    </row>
    <row r="851" customFormat="false" ht="15" hidden="false" customHeight="false" outlineLevel="0" collapsed="false">
      <c r="A851" s="2" t="n">
        <v>840</v>
      </c>
      <c r="B851" s="13" t="n">
        <f aca="true">OFFSET(Datos!$B$1,1+$B$4+839,0)</f>
        <v>44.4709999999998</v>
      </c>
      <c r="C851" s="13" t="n">
        <f aca="true">OFFSET(Datos!$D$1,1+$B$4+839,0)</f>
        <v>162.792473403724</v>
      </c>
      <c r="D851" s="13" t="n">
        <f aca="true">OFFSET(Datos!$D$1,1+839,0)</f>
        <v>160.676617256252</v>
      </c>
      <c r="E851" s="13" t="n">
        <f aca="false">C851-D851</f>
        <v>2.11585614747196</v>
      </c>
    </row>
    <row r="852" customFormat="false" ht="15" hidden="false" customHeight="false" outlineLevel="0" collapsed="false">
      <c r="A852" s="2" t="n">
        <v>841</v>
      </c>
      <c r="B852" s="13" t="n">
        <f aca="true">OFFSET(Datos!$B$1,1+$B$4+840,0)</f>
        <v>44.521</v>
      </c>
      <c r="C852" s="13" t="n">
        <f aca="true">OFFSET(Datos!$D$1,1+$B$4+840,0)</f>
        <v>159.745355107027</v>
      </c>
      <c r="D852" s="13" t="n">
        <f aca="true">OFFSET(Datos!$D$1,1+840,0)</f>
        <v>157.015793635162</v>
      </c>
      <c r="E852" s="13" t="n">
        <f aca="false">C852-D852</f>
        <v>2.72956147186517</v>
      </c>
    </row>
    <row r="853" customFormat="false" ht="15" hidden="false" customHeight="false" outlineLevel="0" collapsed="false">
      <c r="A853" s="2" t="n">
        <v>842</v>
      </c>
      <c r="B853" s="13" t="n">
        <f aca="true">OFFSET(Datos!$B$1,1+$B$4+841,0)</f>
        <v>44.5710000000001</v>
      </c>
      <c r="C853" s="13" t="n">
        <f aca="true">OFFSET(Datos!$D$1,1+$B$4+841,0)</f>
        <v>157.70799615221</v>
      </c>
      <c r="D853" s="13" t="n">
        <f aca="true">OFFSET(Datos!$D$1,1+841,0)</f>
        <v>154.300504380143</v>
      </c>
      <c r="E853" s="13" t="n">
        <f aca="false">C853-D853</f>
        <v>3.40749177206698</v>
      </c>
    </row>
    <row r="854" customFormat="false" ht="15" hidden="false" customHeight="false" outlineLevel="0" collapsed="false">
      <c r="A854" s="2" t="n">
        <v>843</v>
      </c>
      <c r="B854" s="13" t="n">
        <f aca="true">OFFSET(Datos!$B$1,1+$B$4+842,0)</f>
        <v>44.6209999999999</v>
      </c>
      <c r="C854" s="13" t="n">
        <f aca="true">OFFSET(Datos!$D$1,1+$B$4+842,0)</f>
        <v>160.530327033577</v>
      </c>
      <c r="D854" s="13" t="n">
        <f aca="true">OFFSET(Datos!$D$1,1+842,0)</f>
        <v>161.882619579769</v>
      </c>
      <c r="E854" s="13" t="n">
        <f aca="false">C854-D854</f>
        <v>-1.35229254619202</v>
      </c>
    </row>
    <row r="855" customFormat="false" ht="15" hidden="false" customHeight="false" outlineLevel="0" collapsed="false">
      <c r="A855" s="2" t="n">
        <v>844</v>
      </c>
      <c r="B855" s="13" t="n">
        <f aca="true">OFFSET(Datos!$B$1,1+$B$4+843,0)</f>
        <v>44.6710000000001</v>
      </c>
      <c r="C855" s="13" t="n">
        <f aca="true">OFFSET(Datos!$D$1,1+$B$4+843,0)</f>
        <v>155.274583179907</v>
      </c>
      <c r="D855" s="13" t="n">
        <f aca="true">OFFSET(Datos!$D$1,1+843,0)</f>
        <v>162.499892958374</v>
      </c>
      <c r="E855" s="13" t="n">
        <f aca="false">C855-D855</f>
        <v>-7.22530977846665</v>
      </c>
    </row>
    <row r="856" customFormat="false" ht="15" hidden="false" customHeight="false" outlineLevel="0" collapsed="false">
      <c r="A856" s="2" t="n">
        <v>845</v>
      </c>
      <c r="B856" s="13" t="n">
        <f aca="true">OFFSET(Datos!$B$1,1+$B$4+844,0)</f>
        <v>44.7209999999998</v>
      </c>
      <c r="C856" s="13" t="n">
        <f aca="true">OFFSET(Datos!$D$1,1+$B$4+844,0)</f>
        <v>157.568842037958</v>
      </c>
      <c r="D856" s="13" t="n">
        <f aca="true">OFFSET(Datos!$D$1,1+844,0)</f>
        <v>161.657832164439</v>
      </c>
      <c r="E856" s="13" t="n">
        <f aca="false">C856-D856</f>
        <v>-4.08899012648038</v>
      </c>
    </row>
    <row r="857" customFormat="false" ht="15" hidden="false" customHeight="false" outlineLevel="0" collapsed="false">
      <c r="A857" s="2" t="n">
        <v>846</v>
      </c>
      <c r="B857" s="13" t="n">
        <f aca="true">OFFSET(Datos!$B$1,1+$B$4+845,0)</f>
        <v>44.771</v>
      </c>
      <c r="C857" s="13" t="n">
        <f aca="true">OFFSET(Datos!$D$1,1+$B$4+845,0)</f>
        <v>157.986304380714</v>
      </c>
      <c r="D857" s="13" t="n">
        <f aca="true">OFFSET(Datos!$D$1,1+845,0)</f>
        <v>156.7196451356</v>
      </c>
      <c r="E857" s="13" t="n">
        <f aca="false">C857-D857</f>
        <v>1.26665924511389</v>
      </c>
    </row>
    <row r="858" customFormat="false" ht="15" hidden="false" customHeight="false" outlineLevel="0" collapsed="false">
      <c r="A858" s="2" t="n">
        <v>847</v>
      </c>
      <c r="B858" s="13" t="n">
        <f aca="true">OFFSET(Datos!$B$1,1+$B$4+846,0)</f>
        <v>44.8210000000001</v>
      </c>
      <c r="C858" s="13" t="n">
        <f aca="true">OFFSET(Datos!$D$1,1+$B$4+846,0)</f>
        <v>160.719433906791</v>
      </c>
      <c r="D858" s="13" t="n">
        <f aca="true">OFFSET(Datos!$D$1,1+846,0)</f>
        <v>160.944221322121</v>
      </c>
      <c r="E858" s="13" t="n">
        <f aca="false">C858-D858</f>
        <v>-0.22478741533007</v>
      </c>
    </row>
    <row r="859" customFormat="false" ht="15" hidden="false" customHeight="false" outlineLevel="0" collapsed="false">
      <c r="A859" s="2" t="n">
        <v>848</v>
      </c>
      <c r="B859" s="13" t="n">
        <f aca="true">OFFSET(Datos!$B$1,1+$B$4+847,0)</f>
        <v>44.8709999999999</v>
      </c>
      <c r="C859" s="13" t="n">
        <f aca="true">OFFSET(Datos!$D$1,1+$B$4+847,0)</f>
        <v>159.356437197964</v>
      </c>
      <c r="D859" s="13" t="n">
        <f aca="true">OFFSET(Datos!$D$1,1+847,0)</f>
        <v>166.289166531081</v>
      </c>
      <c r="E859" s="13" t="n">
        <f aca="false">C859-D859</f>
        <v>-6.93272933311638</v>
      </c>
    </row>
    <row r="860" customFormat="false" ht="15" hidden="false" customHeight="false" outlineLevel="0" collapsed="false">
      <c r="A860" s="2" t="n">
        <v>849</v>
      </c>
      <c r="B860" s="13" t="n">
        <f aca="true">OFFSET(Datos!$B$1,1+$B$4+848,0)</f>
        <v>44.9210000000001</v>
      </c>
      <c r="C860" s="13" t="n">
        <f aca="true">OFFSET(Datos!$D$1,1+$B$4+848,0)</f>
        <v>156.063123160668</v>
      </c>
      <c r="D860" s="13" t="n">
        <f aca="true">OFFSET(Datos!$D$1,1+848,0)</f>
        <v>157.529593441631</v>
      </c>
      <c r="E860" s="13" t="n">
        <f aca="false">C860-D860</f>
        <v>-1.46647028096288</v>
      </c>
    </row>
    <row r="861" customFormat="false" ht="15" hidden="false" customHeight="false" outlineLevel="0" collapsed="false">
      <c r="A861" s="2" t="n">
        <v>850</v>
      </c>
      <c r="B861" s="13" t="n">
        <f aca="true">OFFSET(Datos!$B$1,1+$B$4+849,0)</f>
        <v>44.9709999999998</v>
      </c>
      <c r="C861" s="13" t="n">
        <f aca="true">OFFSET(Datos!$D$1,1+$B$4+849,0)</f>
        <v>164.076972919896</v>
      </c>
      <c r="D861" s="13" t="n">
        <f aca="true">OFFSET(Datos!$D$1,1+849,0)</f>
        <v>159.913053654972</v>
      </c>
      <c r="E861" s="13" t="n">
        <f aca="false">C861-D861</f>
        <v>4.16391926492375</v>
      </c>
    </row>
    <row r="862" customFormat="false" ht="15" hidden="false" customHeight="false" outlineLevel="0" collapsed="false">
      <c r="A862" s="2" t="n">
        <v>851</v>
      </c>
      <c r="B862" s="13" t="n">
        <f aca="true">OFFSET(Datos!$B$1,1+$B$4+850,0)</f>
        <v>45.021</v>
      </c>
      <c r="C862" s="13" t="n">
        <f aca="true">OFFSET(Datos!$D$1,1+$B$4+850,0)</f>
        <v>157.48320873688</v>
      </c>
      <c r="D862" s="13" t="n">
        <f aca="true">OFFSET(Datos!$D$1,1+850,0)</f>
        <v>162.699703994223</v>
      </c>
      <c r="E862" s="13" t="n">
        <f aca="false">C862-D862</f>
        <v>-5.21649525734236</v>
      </c>
    </row>
    <row r="863" customFormat="false" ht="15" hidden="false" customHeight="false" outlineLevel="0" collapsed="false">
      <c r="A863" s="2" t="n">
        <v>852</v>
      </c>
      <c r="B863" s="13" t="n">
        <f aca="true">OFFSET(Datos!$B$1,1+$B$4+851,0)</f>
        <v>45.0710000000001</v>
      </c>
      <c r="C863" s="13" t="n">
        <f aca="true">OFFSET(Datos!$D$1,1+$B$4+851,0)</f>
        <v>158.446583374009</v>
      </c>
      <c r="D863" s="13" t="n">
        <f aca="true">OFFSET(Datos!$D$1,1+851,0)</f>
        <v>156.798142328255</v>
      </c>
      <c r="E863" s="13" t="n">
        <f aca="false">C863-D863</f>
        <v>1.64844104575386</v>
      </c>
    </row>
    <row r="864" customFormat="false" ht="15" hidden="false" customHeight="false" outlineLevel="0" collapsed="false">
      <c r="A864" s="2" t="n">
        <v>853</v>
      </c>
      <c r="B864" s="13" t="n">
        <f aca="true">OFFSET(Datos!$B$1,1+$B$4+852,0)</f>
        <v>45.1209999999999</v>
      </c>
      <c r="C864" s="13" t="n">
        <f aca="true">OFFSET(Datos!$D$1,1+$B$4+852,0)</f>
        <v>157.836446103828</v>
      </c>
      <c r="D864" s="13" t="n">
        <f aca="true">OFFSET(Datos!$D$1,1+852,0)</f>
        <v>162.821017837417</v>
      </c>
      <c r="E864" s="13" t="n">
        <f aca="false">C864-D864</f>
        <v>-4.98457173358906</v>
      </c>
    </row>
    <row r="865" customFormat="false" ht="15" hidden="false" customHeight="false" outlineLevel="0" collapsed="false">
      <c r="A865" s="2" t="n">
        <v>854</v>
      </c>
      <c r="B865" s="13" t="n">
        <f aca="true">OFFSET(Datos!$B$1,1+$B$4+853,0)</f>
        <v>45.1710000000001</v>
      </c>
      <c r="C865" s="13" t="n">
        <f aca="true">OFFSET(Datos!$D$1,1+$B$4+853,0)</f>
        <v>163.284864884923</v>
      </c>
      <c r="D865" s="13" t="n">
        <f aca="true">OFFSET(Datos!$D$1,1+853,0)</f>
        <v>157.104994990452</v>
      </c>
      <c r="E865" s="13" t="n">
        <f aca="false">C865-D865</f>
        <v>6.17986989447121</v>
      </c>
    </row>
    <row r="866" customFormat="false" ht="15" hidden="false" customHeight="false" outlineLevel="0" collapsed="false">
      <c r="A866" s="2" t="n">
        <v>855</v>
      </c>
      <c r="B866" s="13" t="n">
        <f aca="true">OFFSET(Datos!$B$1,1+$B$4+854,0)</f>
        <v>45.2209999999998</v>
      </c>
      <c r="C866" s="13" t="n">
        <f aca="true">OFFSET(Datos!$D$1,1+$B$4+854,0)</f>
        <v>167.630754914638</v>
      </c>
      <c r="D866" s="13" t="n">
        <f aca="true">OFFSET(Datos!$D$1,1+854,0)</f>
        <v>161.854075146076</v>
      </c>
      <c r="E866" s="13" t="n">
        <f aca="false">C866-D866</f>
        <v>5.77667976856174</v>
      </c>
    </row>
    <row r="867" customFormat="false" ht="15" hidden="false" customHeight="false" outlineLevel="0" collapsed="false">
      <c r="A867" s="2" t="n">
        <v>856</v>
      </c>
      <c r="B867" s="13" t="n">
        <f aca="true">OFFSET(Datos!$B$1,1+$B$4+855,0)</f>
        <v>45.271</v>
      </c>
      <c r="C867" s="13" t="n">
        <f aca="true">OFFSET(Datos!$D$1,1+$B$4+855,0)</f>
        <v>153.936562850561</v>
      </c>
      <c r="D867" s="13" t="n">
        <f aca="true">OFFSET(Datos!$D$1,1+855,0)</f>
        <v>159.784603703355</v>
      </c>
      <c r="E867" s="13" t="n">
        <f aca="false">C867-D867</f>
        <v>-5.8480408527935</v>
      </c>
    </row>
    <row r="868" customFormat="false" ht="15" hidden="false" customHeight="false" outlineLevel="0" collapsed="false">
      <c r="A868" s="2" t="n">
        <v>857</v>
      </c>
      <c r="B868" s="13" t="n">
        <f aca="true">OFFSET(Datos!$B$1,1+$B$4+856,0)</f>
        <v>45.3210000000001</v>
      </c>
      <c r="C868" s="13" t="n">
        <f aca="true">OFFSET(Datos!$D$1,1+$B$4+856,0)</f>
        <v>151.331883276102</v>
      </c>
      <c r="D868" s="13" t="n">
        <f aca="true">OFFSET(Datos!$D$1,1+856,0)</f>
        <v>161.07623932795</v>
      </c>
      <c r="E868" s="13" t="n">
        <f aca="false">C868-D868</f>
        <v>-9.74435605184809</v>
      </c>
    </row>
    <row r="869" customFormat="false" ht="15" hidden="false" customHeight="false" outlineLevel="0" collapsed="false">
      <c r="A869" s="2" t="n">
        <v>858</v>
      </c>
      <c r="B869" s="13" t="n">
        <f aca="true">OFFSET(Datos!$B$1,1+$B$4+857,0)</f>
        <v>45.3709999999999</v>
      </c>
      <c r="C869" s="13" t="n">
        <f aca="true">OFFSET(Datos!$D$1,1+$B$4+857,0)</f>
        <v>154.924913867171</v>
      </c>
      <c r="D869" s="13" t="n">
        <f aca="true">OFFSET(Datos!$D$1,1+857,0)</f>
        <v>157.575978146382</v>
      </c>
      <c r="E869" s="13" t="n">
        <f aca="false">C869-D869</f>
        <v>-2.65106427921023</v>
      </c>
    </row>
    <row r="870" customFormat="false" ht="15" hidden="false" customHeight="false" outlineLevel="0" collapsed="false">
      <c r="A870" s="2" t="n">
        <v>859</v>
      </c>
      <c r="B870" s="13" t="n">
        <f aca="true">OFFSET(Datos!$B$1,1+$B$4+858,0)</f>
        <v>45.4210000000001</v>
      </c>
      <c r="C870" s="13" t="n">
        <f aca="true">OFFSET(Datos!$D$1,1+$B$4+858,0)</f>
        <v>162.482052687316</v>
      </c>
      <c r="D870" s="13" t="n">
        <f aca="true">OFFSET(Datos!$D$1,1+858,0)</f>
        <v>156.027442618552</v>
      </c>
      <c r="E870" s="13" t="n">
        <f aca="false">C870-D870</f>
        <v>6.45461006876354</v>
      </c>
    </row>
    <row r="871" customFormat="false" ht="15" hidden="false" customHeight="false" outlineLevel="0" collapsed="false">
      <c r="A871" s="2" t="n">
        <v>860</v>
      </c>
      <c r="B871" s="13" t="n">
        <f aca="true">OFFSET(Datos!$B$1,1+$B$4+859,0)</f>
        <v>45.4709999999998</v>
      </c>
      <c r="C871" s="13" t="n">
        <f aca="true">OFFSET(Datos!$D$1,1+$B$4+859,0)</f>
        <v>155.781246877953</v>
      </c>
      <c r="D871" s="13" t="n">
        <f aca="true">OFFSET(Datos!$D$1,1+859,0)</f>
        <v>156.459177178154</v>
      </c>
      <c r="E871" s="13" t="n">
        <f aca="false">C871-D871</f>
        <v>-0.677930300201808</v>
      </c>
    </row>
    <row r="872" customFormat="false" ht="15" hidden="false" customHeight="false" outlineLevel="0" collapsed="false">
      <c r="A872" s="2" t="n">
        <v>861</v>
      </c>
      <c r="B872" s="13" t="n">
        <f aca="true">OFFSET(Datos!$B$1,1+$B$4+860,0)</f>
        <v>45.521</v>
      </c>
      <c r="C872" s="13" t="n">
        <f aca="true">OFFSET(Datos!$D$1,1+$B$4+860,0)</f>
        <v>155.106884631962</v>
      </c>
      <c r="D872" s="13" t="n">
        <f aca="true">OFFSET(Datos!$D$1,1+860,0)</f>
        <v>158.810524903591</v>
      </c>
      <c r="E872" s="13" t="n">
        <f aca="false">C872-D872</f>
        <v>-3.70364027162884</v>
      </c>
    </row>
    <row r="873" customFormat="false" ht="15" hidden="false" customHeight="false" outlineLevel="0" collapsed="false">
      <c r="A873" s="2" t="n">
        <v>862</v>
      </c>
      <c r="B873" s="13" t="n">
        <f aca="true">OFFSET(Datos!$B$1,1+$B$4+861,0)</f>
        <v>45.5710000000001</v>
      </c>
      <c r="C873" s="13" t="n">
        <f aca="true">OFFSET(Datos!$D$1,1+$B$4+861,0)</f>
        <v>159.131649782634</v>
      </c>
      <c r="D873" s="13" t="n">
        <f aca="true">OFFSET(Datos!$D$1,1+861,0)</f>
        <v>163.670214739775</v>
      </c>
      <c r="E873" s="13" t="n">
        <f aca="false">C873-D873</f>
        <v>-4.53856495714052</v>
      </c>
    </row>
    <row r="874" customFormat="false" ht="15" hidden="false" customHeight="false" outlineLevel="0" collapsed="false">
      <c r="A874" s="2" t="n">
        <v>863</v>
      </c>
      <c r="B874" s="13" t="n">
        <f aca="true">OFFSET(Datos!$B$1,1+$B$4+862,0)</f>
        <v>45.6209999999999</v>
      </c>
      <c r="C874" s="13" t="n">
        <f aca="true">OFFSET(Datos!$D$1,1+$B$4+862,0)</f>
        <v>160.812203316292</v>
      </c>
      <c r="D874" s="13" t="n">
        <f aca="true">OFFSET(Datos!$D$1,1+862,0)</f>
        <v>158.503672241395</v>
      </c>
      <c r="E874" s="13" t="n">
        <f aca="false">C874-D874</f>
        <v>2.30853107489773</v>
      </c>
    </row>
    <row r="875" customFormat="false" ht="15" hidden="false" customHeight="false" outlineLevel="0" collapsed="false">
      <c r="A875" s="2" t="n">
        <v>864</v>
      </c>
      <c r="B875" s="13" t="n">
        <f aca="true">OFFSET(Datos!$B$1,1+$B$4+863,0)</f>
        <v>45.6710000000001</v>
      </c>
      <c r="C875" s="13" t="n">
        <f aca="true">OFFSET(Datos!$D$1,1+$B$4+863,0)</f>
        <v>159.777467594932</v>
      </c>
      <c r="D875" s="13" t="n">
        <f aca="true">OFFSET(Datos!$D$1,1+863,0)</f>
        <v>157.030065852009</v>
      </c>
      <c r="E875" s="13" t="n">
        <f aca="false">C875-D875</f>
        <v>2.74740174292313</v>
      </c>
    </row>
    <row r="876" customFormat="false" ht="15" hidden="false" customHeight="false" outlineLevel="0" collapsed="false">
      <c r="A876" s="2" t="n">
        <v>865</v>
      </c>
      <c r="B876" s="13" t="n">
        <f aca="true">OFFSET(Datos!$B$1,1+$B$4+864,0)</f>
        <v>45.7209999999998</v>
      </c>
      <c r="C876" s="13" t="n">
        <f aca="true">OFFSET(Datos!$D$1,1+$B$4+864,0)</f>
        <v>155.781246877953</v>
      </c>
      <c r="D876" s="13" t="n">
        <f aca="true">OFFSET(Datos!$D$1,1+864,0)</f>
        <v>157.329782405782</v>
      </c>
      <c r="E876" s="13" t="n">
        <f aca="false">C876-D876</f>
        <v>-1.54853552782939</v>
      </c>
    </row>
    <row r="877" customFormat="false" ht="15" hidden="false" customHeight="false" outlineLevel="0" collapsed="false">
      <c r="A877" s="2" t="n">
        <v>866</v>
      </c>
      <c r="B877" s="13" t="n">
        <f aca="true">OFFSET(Datos!$B$1,1+$B$4+865,0)</f>
        <v>45.771</v>
      </c>
      <c r="C877" s="13" t="n">
        <f aca="true">OFFSET(Datos!$D$1,1+$B$4+865,0)</f>
        <v>155.517210866295</v>
      </c>
      <c r="D877" s="13" t="n">
        <f aca="true">OFFSET(Datos!$D$1,1+865,0)</f>
        <v>156.437768852885</v>
      </c>
      <c r="E877" s="13" t="n">
        <f aca="false">C877-D877</f>
        <v>-0.920557986589813</v>
      </c>
    </row>
    <row r="878" customFormat="false" ht="15" hidden="false" customHeight="false" outlineLevel="0" collapsed="false">
      <c r="A878" s="2" t="n">
        <v>867</v>
      </c>
      <c r="B878" s="13" t="n">
        <f aca="true">OFFSET(Datos!$B$1,1+$B$4+866,0)</f>
        <v>45.8210000000001</v>
      </c>
      <c r="C878" s="13" t="n">
        <f aca="true">OFFSET(Datos!$D$1,1+$B$4+866,0)</f>
        <v>157.015793635162</v>
      </c>
      <c r="D878" s="13" t="n">
        <f aca="true">OFFSET(Datos!$D$1,1+866,0)</f>
        <v>160.127136907667</v>
      </c>
      <c r="E878" s="13" t="n">
        <f aca="false">C878-D878</f>
        <v>-3.11134327250511</v>
      </c>
    </row>
    <row r="879" customFormat="false" ht="15" hidden="false" customHeight="false" outlineLevel="0" collapsed="false">
      <c r="A879" s="2" t="n">
        <v>868</v>
      </c>
      <c r="B879" s="13" t="n">
        <f aca="true">OFFSET(Datos!$B$1,1+$B$4+867,0)</f>
        <v>45.8709999999999</v>
      </c>
      <c r="C879" s="13" t="n">
        <f aca="true">OFFSET(Datos!$D$1,1+$B$4+867,0)</f>
        <v>159.095969240518</v>
      </c>
      <c r="D879" s="13" t="n">
        <f aca="true">OFFSET(Datos!$D$1,1+867,0)</f>
        <v>159.709674564912</v>
      </c>
      <c r="E879" s="13" t="n">
        <f aca="false">C879-D879</f>
        <v>-0.613705324393237</v>
      </c>
    </row>
    <row r="880" customFormat="false" ht="15" hidden="false" customHeight="false" outlineLevel="0" collapsed="false">
      <c r="A880" s="2" t="n">
        <v>869</v>
      </c>
      <c r="B880" s="13" t="n">
        <f aca="true">OFFSET(Datos!$B$1,1+$B$4+868,0)</f>
        <v>45.9210000000001</v>
      </c>
      <c r="C880" s="13" t="n">
        <f aca="true">OFFSET(Datos!$D$1,1+$B$4+868,0)</f>
        <v>156.394952202346</v>
      </c>
      <c r="D880" s="13" t="n">
        <f aca="true">OFFSET(Datos!$D$1,1+868,0)</f>
        <v>159.905917546549</v>
      </c>
      <c r="E880" s="13" t="n">
        <f aca="false">C880-D880</f>
        <v>-3.51096534420307</v>
      </c>
    </row>
    <row r="881" customFormat="false" ht="15" hidden="false" customHeight="false" outlineLevel="0" collapsed="false">
      <c r="A881" s="2" t="n">
        <v>870</v>
      </c>
      <c r="B881" s="13" t="n">
        <f aca="true">OFFSET(Datos!$B$1,1+$B$4+869,0)</f>
        <v>45.9709999999998</v>
      </c>
      <c r="C881" s="13" t="n">
        <f aca="true">OFFSET(Datos!$D$1,1+$B$4+869,0)</f>
        <v>157.822173886981</v>
      </c>
      <c r="D881" s="13" t="n">
        <f aca="true">OFFSET(Datos!$D$1,1+869,0)</f>
        <v>155.52791502893</v>
      </c>
      <c r="E881" s="13" t="n">
        <f aca="false">C881-D881</f>
        <v>2.29425885805139</v>
      </c>
    </row>
    <row r="882" customFormat="false" ht="15" hidden="false" customHeight="false" outlineLevel="0" collapsed="false">
      <c r="A882" s="2" t="n">
        <v>871</v>
      </c>
      <c r="B882" s="13" t="n">
        <f aca="true">OFFSET(Datos!$B$1,1+$B$4+870,0)</f>
        <v>46.021</v>
      </c>
      <c r="C882" s="13" t="n">
        <f aca="true">OFFSET(Datos!$D$1,1+$B$4+870,0)</f>
        <v>162.703272048434</v>
      </c>
      <c r="D882" s="13" t="n">
        <f aca="true">OFFSET(Datos!$D$1,1+870,0)</f>
        <v>160.7836588826</v>
      </c>
      <c r="E882" s="13" t="n">
        <f aca="false">C882-D882</f>
        <v>1.91961316583459</v>
      </c>
    </row>
    <row r="883" customFormat="false" ht="15" hidden="false" customHeight="false" outlineLevel="0" collapsed="false">
      <c r="A883" s="2" t="n">
        <v>872</v>
      </c>
      <c r="B883" s="13" t="n">
        <f aca="true">OFFSET(Datos!$B$1,1+$B$4+871,0)</f>
        <v>46.0710000000001</v>
      </c>
      <c r="C883" s="13" t="n">
        <f aca="true">OFFSET(Datos!$D$1,1+$B$4+871,0)</f>
        <v>158.981791505747</v>
      </c>
      <c r="D883" s="13" t="n">
        <f aca="true">OFFSET(Datos!$D$1,1+871,0)</f>
        <v>155.913264883781</v>
      </c>
      <c r="E883" s="13" t="n">
        <f aca="false">C883-D883</f>
        <v>3.06852662196607</v>
      </c>
    </row>
    <row r="884" customFormat="false" ht="15" hidden="false" customHeight="false" outlineLevel="0" collapsed="false">
      <c r="A884" s="2" t="n">
        <v>873</v>
      </c>
      <c r="B884" s="13" t="n">
        <f aca="true">OFFSET(Datos!$B$1,1+$B$4+872,0)</f>
        <v>46.1209999999999</v>
      </c>
      <c r="C884" s="13" t="n">
        <f aca="true">OFFSET(Datos!$D$1,1+$B$4+872,0)</f>
        <v>160.280563238766</v>
      </c>
      <c r="D884" s="13" t="n">
        <f aca="true">OFFSET(Datos!$D$1,1+872,0)</f>
        <v>160.508918708307</v>
      </c>
      <c r="E884" s="13" t="n">
        <f aca="false">C884-D884</f>
        <v>-0.228355469541668</v>
      </c>
    </row>
    <row r="885" customFormat="false" ht="15" hidden="false" customHeight="false" outlineLevel="0" collapsed="false">
      <c r="A885" s="2" t="n">
        <v>874</v>
      </c>
      <c r="B885" s="13" t="n">
        <f aca="true">OFFSET(Datos!$B$1,1+$B$4+873,0)</f>
        <v>46.1710000000001</v>
      </c>
      <c r="C885" s="13" t="n">
        <f aca="true">OFFSET(Datos!$D$1,1+$B$4+873,0)</f>
        <v>161.161872629028</v>
      </c>
      <c r="D885" s="13" t="n">
        <f aca="true">OFFSET(Datos!$D$1,1+873,0)</f>
        <v>160.576711738328</v>
      </c>
      <c r="E885" s="13" t="n">
        <f aca="false">C885-D885</f>
        <v>0.585160890700507</v>
      </c>
    </row>
    <row r="886" customFormat="false" ht="15" hidden="false" customHeight="false" outlineLevel="0" collapsed="false">
      <c r="A886" s="2" t="n">
        <v>875</v>
      </c>
      <c r="B886" s="13" t="n">
        <f aca="true">OFFSET(Datos!$B$1,1+$B$4+874,0)</f>
        <v>46.2209999999998</v>
      </c>
      <c r="C886" s="13" t="n">
        <f aca="true">OFFSET(Datos!$D$1,1+$B$4+874,0)</f>
        <v>158.803388795168</v>
      </c>
      <c r="D886" s="13" t="n">
        <f aca="true">OFFSET(Datos!$D$1,1+874,0)</f>
        <v>165.668325098264</v>
      </c>
      <c r="E886" s="13" t="n">
        <f aca="false">C886-D886</f>
        <v>-6.86493630309622</v>
      </c>
    </row>
    <row r="887" customFormat="false" ht="15" hidden="false" customHeight="false" outlineLevel="0" collapsed="false">
      <c r="A887" s="2" t="n">
        <v>876</v>
      </c>
      <c r="B887" s="13" t="n">
        <f aca="true">OFFSET(Datos!$B$1,1+$B$4+875,0)</f>
        <v>46.271</v>
      </c>
      <c r="C887" s="13" t="n">
        <f aca="true">OFFSET(Datos!$D$1,1+$B$4+875,0)</f>
        <v>157.95419189281</v>
      </c>
      <c r="D887" s="13" t="n">
        <f aca="true">OFFSET(Datos!$D$1,1+875,0)</f>
        <v>161.786282116056</v>
      </c>
      <c r="E887" s="13" t="n">
        <f aca="false">C887-D887</f>
        <v>-3.83209022324601</v>
      </c>
    </row>
    <row r="888" customFormat="false" ht="15" hidden="false" customHeight="false" outlineLevel="0" collapsed="false">
      <c r="A888" s="2" t="n">
        <v>877</v>
      </c>
      <c r="B888" s="13" t="n">
        <f aca="true">OFFSET(Datos!$B$1,1+$B$4+876,0)</f>
        <v>46.3210000000001</v>
      </c>
      <c r="C888" s="13" t="n">
        <f aca="true">OFFSET(Datos!$D$1,1+$B$4+876,0)</f>
        <v>159.79530786599</v>
      </c>
      <c r="D888" s="13" t="n">
        <f aca="true">OFFSET(Datos!$D$1,1+876,0)</f>
        <v>159.206578921078</v>
      </c>
      <c r="E888" s="13" t="n">
        <f aca="false">C888-D888</f>
        <v>0.588728944912106</v>
      </c>
    </row>
    <row r="889" customFormat="false" ht="15" hidden="false" customHeight="false" outlineLevel="0" collapsed="false">
      <c r="A889" s="2" t="n">
        <v>878</v>
      </c>
      <c r="B889" s="13" t="n">
        <f aca="true">OFFSET(Datos!$B$1,1+$B$4+877,0)</f>
        <v>46.3709999999999</v>
      </c>
      <c r="C889" s="13" t="n">
        <f aca="true">OFFSET(Datos!$D$1,1+$B$4+877,0)</f>
        <v>157.376167110533</v>
      </c>
      <c r="D889" s="13" t="n">
        <f aca="true">OFFSET(Datos!$D$1,1+877,0)</f>
        <v>156.020306510129</v>
      </c>
      <c r="E889" s="13" t="n">
        <f aca="false">C889-D889</f>
        <v>1.35586060040362</v>
      </c>
    </row>
    <row r="890" customFormat="false" ht="15" hidden="false" customHeight="false" outlineLevel="0" collapsed="false">
      <c r="A890" s="2" t="n">
        <v>879</v>
      </c>
      <c r="B890" s="13" t="n">
        <f aca="true">OFFSET(Datos!$B$1,1+$B$4+878,0)</f>
        <v>46.4210000000001</v>
      </c>
      <c r="C890" s="13" t="n">
        <f aca="true">OFFSET(Datos!$D$1,1+$B$4+878,0)</f>
        <v>155.024819385096</v>
      </c>
      <c r="D890" s="13" t="n">
        <f aca="true">OFFSET(Datos!$D$1,1+878,0)</f>
        <v>155.570731679469</v>
      </c>
      <c r="E890" s="13" t="n">
        <f aca="false">C890-D890</f>
        <v>-0.545912294373039</v>
      </c>
    </row>
    <row r="891" customFormat="false" ht="15" hidden="false" customHeight="false" outlineLevel="0" collapsed="false">
      <c r="A891" s="2" t="n">
        <v>880</v>
      </c>
      <c r="B891" s="13" t="n">
        <f aca="true">OFFSET(Datos!$B$1,1+$B$4+879,0)</f>
        <v>46.4709999999998</v>
      </c>
      <c r="C891" s="13" t="n">
        <f aca="true">OFFSET(Datos!$D$1,1+$B$4+879,0)</f>
        <v>160.733706123637</v>
      </c>
      <c r="D891" s="13" t="n">
        <f aca="true">OFFSET(Datos!$D$1,1+879,0)</f>
        <v>156.180868949651</v>
      </c>
      <c r="E891" s="13" t="n">
        <f aca="false">C891-D891</f>
        <v>4.55283717398689</v>
      </c>
    </row>
    <row r="892" customFormat="false" ht="15" hidden="false" customHeight="false" outlineLevel="0" collapsed="false">
      <c r="A892" s="2" t="n">
        <v>881</v>
      </c>
      <c r="B892" s="13" t="n">
        <f aca="true">OFFSET(Datos!$B$1,1+$B$4+880,0)</f>
        <v>46.521</v>
      </c>
      <c r="C892" s="13" t="n">
        <f aca="true">OFFSET(Datos!$D$1,1+$B$4+880,0)</f>
        <v>164.223263142571</v>
      </c>
      <c r="D892" s="13" t="n">
        <f aca="true">OFFSET(Datos!$D$1,1+880,0)</f>
        <v>159.995118901839</v>
      </c>
      <c r="E892" s="13" t="n">
        <f aca="false">C892-D892</f>
        <v>4.22814424073232</v>
      </c>
    </row>
    <row r="893" customFormat="false" ht="15" hidden="false" customHeight="false" outlineLevel="0" collapsed="false">
      <c r="A893" s="2" t="n">
        <v>882</v>
      </c>
      <c r="B893" s="13" t="n">
        <f aca="true">OFFSET(Datos!$B$1,1+$B$4+881,0)</f>
        <v>46.5710000000001</v>
      </c>
      <c r="C893" s="13" t="n">
        <f aca="true">OFFSET(Datos!$D$1,1+$B$4+881,0)</f>
        <v>158.196819579198</v>
      </c>
      <c r="D893" s="13" t="n">
        <f aca="true">OFFSET(Datos!$D$1,1+881,0)</f>
        <v>156.559082696079</v>
      </c>
      <c r="E893" s="13" t="n">
        <f aca="false">C893-D893</f>
        <v>1.63773688311912</v>
      </c>
    </row>
    <row r="894" customFormat="false" ht="15" hidden="false" customHeight="false" outlineLevel="0" collapsed="false">
      <c r="A894" s="2" t="n">
        <v>883</v>
      </c>
      <c r="B894" s="13" t="n">
        <f aca="true">OFFSET(Datos!$B$1,1+$B$4+882,0)</f>
        <v>46.6209999999999</v>
      </c>
      <c r="C894" s="13" t="n">
        <f aca="true">OFFSET(Datos!$D$1,1+$B$4+882,0)</f>
        <v>158.58216943405</v>
      </c>
      <c r="D894" s="13" t="n">
        <f aca="true">OFFSET(Datos!$D$1,1+882,0)</f>
        <v>157.575978146382</v>
      </c>
      <c r="E894" s="13" t="n">
        <f aca="false">C894-D894</f>
        <v>1.00619128766795</v>
      </c>
    </row>
    <row r="895" customFormat="false" ht="15" hidden="false" customHeight="false" outlineLevel="0" collapsed="false">
      <c r="A895" s="2" t="n">
        <v>884</v>
      </c>
      <c r="B895" s="13" t="n">
        <f aca="true">OFFSET(Datos!$B$1,1+$B$4+883,0)</f>
        <v>46.6710000000001</v>
      </c>
      <c r="C895" s="13" t="n">
        <f aca="true">OFFSET(Datos!$D$1,1+$B$4+883,0)</f>
        <v>156.22368560019</v>
      </c>
      <c r="D895" s="13" t="n">
        <f aca="true">OFFSET(Datos!$D$1,1+883,0)</f>
        <v>163.445427324445</v>
      </c>
      <c r="E895" s="13" t="n">
        <f aca="false">C895-D895</f>
        <v>-7.22174172425508</v>
      </c>
    </row>
    <row r="896" customFormat="false" ht="15" hidden="false" customHeight="false" outlineLevel="0" collapsed="false">
      <c r="A896" s="2" t="n">
        <v>885</v>
      </c>
      <c r="B896" s="13" t="n">
        <f aca="true">OFFSET(Datos!$B$1,1+$B$4+884,0)</f>
        <v>46.7209999999998</v>
      </c>
      <c r="C896" s="13" t="n">
        <f aca="true">OFFSET(Datos!$D$1,1+$B$4+884,0)</f>
        <v>162.014637585598</v>
      </c>
      <c r="D896" s="13" t="n">
        <f aca="true">OFFSET(Datos!$D$1,1+884,0)</f>
        <v>160.519622870942</v>
      </c>
      <c r="E896" s="13" t="n">
        <f aca="false">C896-D896</f>
        <v>1.49501471465555</v>
      </c>
    </row>
    <row r="897" customFormat="false" ht="15" hidden="false" customHeight="false" outlineLevel="0" collapsed="false">
      <c r="A897" s="2" t="n">
        <v>886</v>
      </c>
      <c r="B897" s="13" t="n">
        <f aca="true">OFFSET(Datos!$B$1,1+$B$4+885,0)</f>
        <v>46.771</v>
      </c>
      <c r="C897" s="13" t="n">
        <f aca="true">OFFSET(Datos!$D$1,1+$B$4+885,0)</f>
        <v>156.559082696079</v>
      </c>
      <c r="D897" s="13" t="n">
        <f aca="true">OFFSET(Datos!$D$1,1+885,0)</f>
        <v>161.529382212822</v>
      </c>
      <c r="E897" s="13" t="n">
        <f aca="false">C897-D897</f>
        <v>-4.97029951674273</v>
      </c>
    </row>
    <row r="898" customFormat="false" ht="15" hidden="false" customHeight="false" outlineLevel="0" collapsed="false">
      <c r="A898" s="2" t="n">
        <v>887</v>
      </c>
      <c r="B898" s="13" t="n">
        <f aca="true">OFFSET(Datos!$B$1,1+$B$4+886,0)</f>
        <v>46.8210000000001</v>
      </c>
      <c r="C898" s="13" t="n">
        <f aca="true">OFFSET(Datos!$D$1,1+$B$4+886,0)</f>
        <v>158.011280760195</v>
      </c>
      <c r="D898" s="13" t="n">
        <f aca="true">OFFSET(Datos!$D$1,1+886,0)</f>
        <v>159.384981631657</v>
      </c>
      <c r="E898" s="13" t="n">
        <f aca="false">C898-D898</f>
        <v>-1.37370087146155</v>
      </c>
    </row>
    <row r="899" customFormat="false" ht="15" hidden="false" customHeight="false" outlineLevel="0" collapsed="false">
      <c r="A899" s="2" t="n">
        <v>888</v>
      </c>
      <c r="B899" s="13" t="n">
        <f aca="true">OFFSET(Datos!$B$1,1+$B$4+887,0)</f>
        <v>46.8709999999999</v>
      </c>
      <c r="C899" s="13" t="n">
        <f aca="true">OFFSET(Datos!$D$1,1+$B$4+887,0)</f>
        <v>156.594763238195</v>
      </c>
      <c r="D899" s="13" t="n">
        <f aca="true">OFFSET(Datos!$D$1,1+887,0)</f>
        <v>153.736751814712</v>
      </c>
      <c r="E899" s="13" t="n">
        <f aca="false">C899-D899</f>
        <v>2.85801142348234</v>
      </c>
    </row>
    <row r="900" customFormat="false" ht="15" hidden="false" customHeight="false" outlineLevel="0" collapsed="false">
      <c r="A900" s="2" t="n">
        <v>889</v>
      </c>
      <c r="B900" s="13" t="n">
        <f aca="true">OFFSET(Datos!$B$1,1+$B$4+888,0)</f>
        <v>46.9210000000001</v>
      </c>
      <c r="C900" s="13" t="n">
        <f aca="true">OFFSET(Datos!$D$1,1+$B$4+888,0)</f>
        <v>157.005089472527</v>
      </c>
      <c r="D900" s="13" t="n">
        <f aca="true">OFFSET(Datos!$D$1,1+888,0)</f>
        <v>159.192306704231</v>
      </c>
      <c r="E900" s="13" t="n">
        <f aca="false">C900-D900</f>
        <v>-2.18721723170376</v>
      </c>
    </row>
    <row r="901" customFormat="false" ht="15" hidden="false" customHeight="false" outlineLevel="0" collapsed="false">
      <c r="A901" s="2" t="n">
        <v>890</v>
      </c>
      <c r="B901" s="13" t="n">
        <f aca="true">OFFSET(Datos!$B$1,1+$B$4+889,0)</f>
        <v>46.9709999999998</v>
      </c>
      <c r="C901" s="13" t="n">
        <f aca="true">OFFSET(Datos!$D$1,1+$B$4+889,0)</f>
        <v>160.883564400524</v>
      </c>
      <c r="D901" s="13" t="n">
        <f aca="true">OFFSET(Datos!$D$1,1+889,0)</f>
        <v>162.792473403724</v>
      </c>
      <c r="E901" s="13" t="n">
        <f aca="false">C901-D901</f>
        <v>-1.90890900319982</v>
      </c>
    </row>
    <row r="902" customFormat="false" ht="15" hidden="false" customHeight="false" outlineLevel="0" collapsed="false">
      <c r="A902" s="2" t="n">
        <v>891</v>
      </c>
      <c r="B902" s="13" t="n">
        <f aca="true">OFFSET(Datos!$B$1,1+$B$4+890,0)</f>
        <v>47.021</v>
      </c>
      <c r="C902" s="13" t="n">
        <f aca="true">OFFSET(Datos!$D$1,1+$B$4+890,0)</f>
        <v>160.994174081083</v>
      </c>
      <c r="D902" s="13" t="n">
        <f aca="true">OFFSET(Datos!$D$1,1+890,0)</f>
        <v>159.745355107027</v>
      </c>
      <c r="E902" s="13" t="n">
        <f aca="false">C902-D902</f>
        <v>1.24881897405595</v>
      </c>
    </row>
    <row r="903" customFormat="false" ht="15" hidden="false" customHeight="false" outlineLevel="0" collapsed="false">
      <c r="A903" s="2" t="n">
        <v>892</v>
      </c>
      <c r="B903" s="13" t="n">
        <f aca="true">OFFSET(Datos!$B$1,1+$B$4+891,0)</f>
        <v>47.0710000000001</v>
      </c>
      <c r="C903" s="13" t="n">
        <f aca="true">OFFSET(Datos!$D$1,1+$B$4+891,0)</f>
        <v>160.548167304635</v>
      </c>
      <c r="D903" s="13" t="n">
        <f aca="true">OFFSET(Datos!$D$1,1+891,0)</f>
        <v>157.70799615221</v>
      </c>
      <c r="E903" s="13" t="n">
        <f aca="false">C903-D903</f>
        <v>2.84017115242443</v>
      </c>
    </row>
    <row r="904" customFormat="false" ht="15" hidden="false" customHeight="false" outlineLevel="0" collapsed="false">
      <c r="A904" s="2" t="n">
        <v>893</v>
      </c>
      <c r="B904" s="13" t="n">
        <f aca="true">OFFSET(Datos!$B$1,1+$B$4+892,0)</f>
        <v>47.1220000000001</v>
      </c>
      <c r="C904" s="13" t="n">
        <f aca="true">OFFSET(Datos!$D$1,1+$B$4+892,0)</f>
        <v>160.24488269665</v>
      </c>
      <c r="D904" s="13" t="n">
        <f aca="true">OFFSET(Datos!$D$1,1+892,0)</f>
        <v>160.530327033577</v>
      </c>
      <c r="E904" s="13" t="n">
        <f aca="false">C904-D904</f>
        <v>-0.285444336927071</v>
      </c>
    </row>
    <row r="905" customFormat="false" ht="15" hidden="false" customHeight="false" outlineLevel="0" collapsed="false">
      <c r="A905" s="2" t="n">
        <v>894</v>
      </c>
      <c r="B905" s="13" t="n">
        <f aca="true">OFFSET(Datos!$B$1,1+$B$4+893,0)</f>
        <v>47.1719999999998</v>
      </c>
      <c r="C905" s="13" t="n">
        <f aca="true">OFFSET(Datos!$D$1,1+$B$4+893,0)</f>
        <v>160.009391118685</v>
      </c>
      <c r="D905" s="13" t="n">
        <f aca="true">OFFSET(Datos!$D$1,1+893,0)</f>
        <v>155.274583179907</v>
      </c>
      <c r="E905" s="13" t="n">
        <f aca="false">C905-D905</f>
        <v>4.73480793877789</v>
      </c>
    </row>
    <row r="906" customFormat="false" ht="15" hidden="false" customHeight="false" outlineLevel="0" collapsed="false">
      <c r="A906" s="2" t="n">
        <v>895</v>
      </c>
      <c r="B906" s="13" t="n">
        <f aca="true">OFFSET(Datos!$B$1,1+$B$4+894,0)</f>
        <v>47.222</v>
      </c>
      <c r="C906" s="13" t="n">
        <f aca="true">OFFSET(Datos!$D$1,1+$B$4+894,0)</f>
        <v>161.479429453859</v>
      </c>
      <c r="D906" s="13" t="n">
        <f aca="true">OFFSET(Datos!$D$1,1+894,0)</f>
        <v>157.568842037958</v>
      </c>
      <c r="E906" s="13" t="n">
        <f aca="false">C906-D906</f>
        <v>3.91058741590095</v>
      </c>
    </row>
    <row r="907" customFormat="false" ht="15" hidden="false" customHeight="false" outlineLevel="0" collapsed="false">
      <c r="A907" s="2" t="n">
        <v>896</v>
      </c>
      <c r="B907" s="13" t="n">
        <f aca="true">OFFSET(Datos!$B$1,1+$B$4+895,0)</f>
        <v>47.2719999999997</v>
      </c>
      <c r="C907" s="13" t="n">
        <f aca="true">OFFSET(Datos!$D$1,1+$B$4+895,0)</f>
        <v>164.465890828959</v>
      </c>
      <c r="D907" s="13" t="n">
        <f aca="true">OFFSET(Datos!$D$1,1+895,0)</f>
        <v>157.986304380714</v>
      </c>
      <c r="E907" s="13" t="n">
        <f aca="false">C907-D907</f>
        <v>6.47958644824468</v>
      </c>
    </row>
    <row r="908" customFormat="false" ht="15" hidden="false" customHeight="false" outlineLevel="0" collapsed="false">
      <c r="A908" s="2" t="n">
        <v>897</v>
      </c>
      <c r="B908" s="13" t="n">
        <f aca="true">OFFSET(Datos!$B$1,1+$B$4+896,0)</f>
        <v>47.3219999999999</v>
      </c>
      <c r="C908" s="13" t="n">
        <f aca="true">OFFSET(Datos!$D$1,1+$B$4+896,0)</f>
        <v>158.988927614171</v>
      </c>
      <c r="D908" s="13" t="n">
        <f aca="true">OFFSET(Datos!$D$1,1+896,0)</f>
        <v>160.719433906791</v>
      </c>
      <c r="E908" s="13" t="n">
        <f aca="false">C908-D908</f>
        <v>-1.73050629262042</v>
      </c>
    </row>
    <row r="909" customFormat="false" ht="15" hidden="false" customHeight="false" outlineLevel="0" collapsed="false">
      <c r="A909" s="2" t="n">
        <v>898</v>
      </c>
      <c r="B909" s="13" t="n">
        <f aca="true">OFFSET(Datos!$B$1,1+$B$4+897,0)</f>
        <v>47.3720000000001</v>
      </c>
      <c r="C909" s="13" t="n">
        <f aca="true">OFFSET(Datos!$D$1,1+$B$4+897,0)</f>
        <v>164.49086720844</v>
      </c>
      <c r="D909" s="13" t="n">
        <f aca="true">OFFSET(Datos!$D$1,1+897,0)</f>
        <v>159.356437197964</v>
      </c>
      <c r="E909" s="13" t="n">
        <f aca="false">C909-D909</f>
        <v>5.1344300104758</v>
      </c>
    </row>
    <row r="910" customFormat="false" ht="15" hidden="false" customHeight="false" outlineLevel="0" collapsed="false">
      <c r="A910" s="2" t="n">
        <v>899</v>
      </c>
      <c r="B910" s="13" t="n">
        <f aca="true">OFFSET(Datos!$B$1,1+$B$4+898,0)</f>
        <v>47.4219999999998</v>
      </c>
      <c r="C910" s="13" t="n">
        <f aca="true">OFFSET(Datos!$D$1,1+$B$4+898,0)</f>
        <v>158.26818066343</v>
      </c>
      <c r="D910" s="13" t="n">
        <f aca="true">OFFSET(Datos!$D$1,1+898,0)</f>
        <v>156.063123160668</v>
      </c>
      <c r="E910" s="13" t="n">
        <f aca="false">C910-D910</f>
        <v>2.20505750276169</v>
      </c>
    </row>
    <row r="911" customFormat="false" ht="15" hidden="false" customHeight="false" outlineLevel="0" collapsed="false">
      <c r="A911" s="2" t="n">
        <v>900</v>
      </c>
      <c r="B911" s="13" t="n">
        <f aca="true">OFFSET(Datos!$B$1,1+$B$4+899,0)</f>
        <v>47.472</v>
      </c>
      <c r="C911" s="13" t="n">
        <f aca="true">OFFSET(Datos!$D$1,1+$B$4+899,0)</f>
        <v>160.922812996852</v>
      </c>
      <c r="D911" s="13" t="n">
        <f aca="true">OFFSET(Datos!$D$1,1+899,0)</f>
        <v>164.076972919896</v>
      </c>
      <c r="E911" s="13" t="n">
        <f aca="false">C911-D911</f>
        <v>-3.15415992304423</v>
      </c>
    </row>
    <row r="912" customFormat="false" ht="15" hidden="false" customHeight="false" outlineLevel="0" collapsed="false">
      <c r="A912" s="2" t="n">
        <v>901</v>
      </c>
      <c r="B912" s="13" t="n">
        <f aca="true">OFFSET(Datos!$B$1,1+$B$4+900,0)</f>
        <v>47.5219999999997</v>
      </c>
      <c r="C912" s="13" t="n">
        <f aca="true">OFFSET(Datos!$D$1,1+$B$4+900,0)</f>
        <v>165.179501671277</v>
      </c>
      <c r="D912" s="13" t="n">
        <f aca="true">OFFSET(Datos!$D$1,1+900,0)</f>
        <v>157.48320873688</v>
      </c>
      <c r="E912" s="13" t="n">
        <f aca="false">C912-D912</f>
        <v>7.69629293439633</v>
      </c>
    </row>
    <row r="913" customFormat="false" ht="15" hidden="false" customHeight="false" outlineLevel="0" collapsed="false">
      <c r="A913" s="2" t="n">
        <v>902</v>
      </c>
      <c r="B913" s="13" t="n">
        <f aca="true">OFFSET(Datos!$B$1,1+$B$4+901,0)</f>
        <v>47.5719999999999</v>
      </c>
      <c r="C913" s="13" t="n">
        <f aca="true">OFFSET(Datos!$D$1,1+$B$4+901,0)</f>
        <v>158.707051331455</v>
      </c>
      <c r="D913" s="13" t="n">
        <f aca="true">OFFSET(Datos!$D$1,1+901,0)</f>
        <v>158.446583374009</v>
      </c>
      <c r="E913" s="13" t="n">
        <f aca="false">C913-D913</f>
        <v>0.260467957445968</v>
      </c>
    </row>
    <row r="914" customFormat="false" ht="15" hidden="false" customHeight="false" outlineLevel="0" collapsed="false">
      <c r="A914" s="2" t="n">
        <v>903</v>
      </c>
      <c r="B914" s="13" t="n">
        <f aca="true">OFFSET(Datos!$B$1,1+$B$4+902,0)</f>
        <v>47.6220000000001</v>
      </c>
      <c r="C914" s="13" t="n">
        <f aca="true">OFFSET(Datos!$D$1,1+$B$4+902,0)</f>
        <v>158.846205445707</v>
      </c>
      <c r="D914" s="13" t="n">
        <f aca="true">OFFSET(Datos!$D$1,1+902,0)</f>
        <v>157.836446103828</v>
      </c>
      <c r="E914" s="13" t="n">
        <f aca="false">C914-D914</f>
        <v>1.00975934187952</v>
      </c>
    </row>
    <row r="915" customFormat="false" ht="15" hidden="false" customHeight="false" outlineLevel="0" collapsed="false">
      <c r="A915" s="2" t="n">
        <v>904</v>
      </c>
      <c r="B915" s="13" t="n">
        <f aca="true">OFFSET(Datos!$B$1,1+$B$4+903,0)</f>
        <v>47.6719999999998</v>
      </c>
      <c r="C915" s="13" t="n">
        <f aca="true">OFFSET(Datos!$D$1,1+$B$4+903,0)</f>
        <v>163.117166336979</v>
      </c>
      <c r="D915" s="13" t="n">
        <f aca="true">OFFSET(Datos!$D$1,1+903,0)</f>
        <v>163.284864884923</v>
      </c>
      <c r="E915" s="13" t="n">
        <f aca="false">C915-D915</f>
        <v>-0.167698547944639</v>
      </c>
    </row>
    <row r="916" customFormat="false" ht="15" hidden="false" customHeight="false" outlineLevel="0" collapsed="false">
      <c r="A916" s="2" t="n">
        <v>905</v>
      </c>
      <c r="B916" s="13" t="n">
        <f aca="true">OFFSET(Datos!$B$1,1+$B$4+904,0)</f>
        <v>47.722</v>
      </c>
      <c r="C916" s="13" t="n">
        <f aca="true">OFFSET(Datos!$D$1,1+$B$4+904,0)</f>
        <v>163.163551041729</v>
      </c>
      <c r="D916" s="13" t="n">
        <f aca="true">OFFSET(Datos!$D$1,1+904,0)</f>
        <v>167.630754914638</v>
      </c>
      <c r="E916" s="13" t="n">
        <f aca="false">C916-D916</f>
        <v>-4.46720387290876</v>
      </c>
    </row>
    <row r="917" customFormat="false" ht="15" hidden="false" customHeight="false" outlineLevel="0" collapsed="false">
      <c r="A917" s="2" t="n">
        <v>906</v>
      </c>
      <c r="B917" s="13" t="n">
        <f aca="true">OFFSET(Datos!$B$1,1+$B$4+905,0)</f>
        <v>47.7719999999997</v>
      </c>
      <c r="C917" s="13" t="n">
        <f aca="true">OFFSET(Datos!$D$1,1+$B$4+905,0)</f>
        <v>161.582903025995</v>
      </c>
      <c r="D917" s="13" t="n">
        <f aca="true">OFFSET(Datos!$D$1,1+905,0)</f>
        <v>153.936562850561</v>
      </c>
      <c r="E917" s="13" t="n">
        <f aca="false">C917-D917</f>
        <v>7.64634017543409</v>
      </c>
    </row>
    <row r="918" customFormat="false" ht="15" hidden="false" customHeight="false" outlineLevel="0" collapsed="false">
      <c r="A918" s="2" t="n">
        <v>907</v>
      </c>
      <c r="B918" s="13" t="n">
        <f aca="true">OFFSET(Datos!$B$1,1+$B$4+906,0)</f>
        <v>47.8219999999999</v>
      </c>
      <c r="C918" s="13" t="n">
        <f aca="true">OFFSET(Datos!$D$1,1+$B$4+906,0)</f>
        <v>164.123357624646</v>
      </c>
      <c r="D918" s="13" t="n">
        <f aca="true">OFFSET(Datos!$D$1,1+906,0)</f>
        <v>151.331883276102</v>
      </c>
      <c r="E918" s="13" t="n">
        <f aca="false">C918-D918</f>
        <v>12.7914743485447</v>
      </c>
    </row>
    <row r="919" customFormat="false" ht="15" hidden="false" customHeight="false" outlineLevel="0" collapsed="false">
      <c r="A919" s="2" t="n">
        <v>908</v>
      </c>
      <c r="B919" s="13" t="n">
        <f aca="true">OFFSET(Datos!$B$1,1+$B$4+907,0)</f>
        <v>47.8720000000001</v>
      </c>
      <c r="C919" s="13" t="n">
        <f aca="true">OFFSET(Datos!$D$1,1+$B$4+907,0)</f>
        <v>158.389494506624</v>
      </c>
      <c r="D919" s="13" t="n">
        <f aca="true">OFFSET(Datos!$D$1,1+907,0)</f>
        <v>154.924913867171</v>
      </c>
      <c r="E919" s="13" t="n">
        <f aca="false">C919-D919</f>
        <v>3.46458063945241</v>
      </c>
    </row>
    <row r="920" customFormat="false" ht="15" hidden="false" customHeight="false" outlineLevel="0" collapsed="false">
      <c r="A920" s="2" t="n">
        <v>909</v>
      </c>
      <c r="B920" s="13" t="n">
        <f aca="true">OFFSET(Datos!$B$1,1+$B$4+908,0)</f>
        <v>47.9219999999998</v>
      </c>
      <c r="C920" s="13" t="n">
        <f aca="true">OFFSET(Datos!$D$1,1+$B$4+908,0)</f>
        <v>159.731082890181</v>
      </c>
      <c r="D920" s="13" t="n">
        <f aca="true">OFFSET(Datos!$D$1,1+908,0)</f>
        <v>162.482052687316</v>
      </c>
      <c r="E920" s="13" t="n">
        <f aca="false">C920-D920</f>
        <v>-2.7509697971347</v>
      </c>
    </row>
    <row r="921" customFormat="false" ht="15" hidden="false" customHeight="false" outlineLevel="0" collapsed="false">
      <c r="A921" s="2" t="n">
        <v>910</v>
      </c>
      <c r="B921" s="13" t="n">
        <f aca="true">OFFSET(Datos!$B$1,1+$B$4+909,0)</f>
        <v>47.972</v>
      </c>
      <c r="C921" s="13" t="n">
        <f aca="true">OFFSET(Datos!$D$1,1+$B$4+909,0)</f>
        <v>158.253908446583</v>
      </c>
      <c r="D921" s="13" t="n">
        <f aca="true">OFFSET(Datos!$D$1,1+909,0)</f>
        <v>155.781246877953</v>
      </c>
      <c r="E921" s="13" t="n">
        <f aca="false">C921-D921</f>
        <v>2.4726615686308</v>
      </c>
    </row>
    <row r="922" customFormat="false" ht="15" hidden="false" customHeight="false" outlineLevel="0" collapsed="false">
      <c r="A922" s="2" t="n">
        <v>911</v>
      </c>
      <c r="B922" s="13" t="n">
        <f aca="true">OFFSET(Datos!$B$1,1+$B$4+910,0)</f>
        <v>48.0219999999997</v>
      </c>
      <c r="C922" s="13" t="n">
        <f aca="true">OFFSET(Datos!$D$1,1+$B$4+910,0)</f>
        <v>157.57241009217</v>
      </c>
      <c r="D922" s="13" t="n">
        <f aca="true">OFFSET(Datos!$D$1,1+910,0)</f>
        <v>155.106884631962</v>
      </c>
      <c r="E922" s="13" t="n">
        <f aca="false">C922-D922</f>
        <v>2.46552546020763</v>
      </c>
    </row>
    <row r="923" customFormat="false" ht="15" hidden="false" customHeight="false" outlineLevel="0" collapsed="false">
      <c r="A923" s="2" t="n">
        <v>912</v>
      </c>
      <c r="B923" s="13" t="n">
        <f aca="true">OFFSET(Datos!$B$1,1+$B$4+911,0)</f>
        <v>48.0719999999999</v>
      </c>
      <c r="C923" s="13" t="n">
        <f aca="true">OFFSET(Datos!$D$1,1+$B$4+911,0)</f>
        <v>160.002255010262</v>
      </c>
      <c r="D923" s="13" t="n">
        <f aca="true">OFFSET(Datos!$D$1,1+911,0)</f>
        <v>159.131649782634</v>
      </c>
      <c r="E923" s="13" t="n">
        <f aca="false">C923-D923</f>
        <v>0.870605227627578</v>
      </c>
    </row>
    <row r="924" customFormat="false" ht="15" hidden="false" customHeight="false" outlineLevel="0" collapsed="false">
      <c r="A924" s="2" t="n">
        <v>913</v>
      </c>
      <c r="B924" s="13" t="n">
        <f aca="true">OFFSET(Datos!$B$1,1+$B$4+912,0)</f>
        <v>48.1220000000001</v>
      </c>
      <c r="C924" s="13" t="n">
        <f aca="true">OFFSET(Datos!$D$1,1+$B$4+912,0)</f>
        <v>162.721112319492</v>
      </c>
      <c r="D924" s="13" t="n">
        <f aca="true">OFFSET(Datos!$D$1,1+912,0)</f>
        <v>160.812203316292</v>
      </c>
      <c r="E924" s="13" t="n">
        <f aca="false">C924-D924</f>
        <v>1.90890900319985</v>
      </c>
    </row>
    <row r="925" customFormat="false" ht="15" hidden="false" customHeight="false" outlineLevel="0" collapsed="false">
      <c r="A925" s="2" t="n">
        <v>914</v>
      </c>
      <c r="B925" s="13" t="n">
        <f aca="true">OFFSET(Datos!$B$1,1+$B$4+913,0)</f>
        <v>48.1719999999998</v>
      </c>
      <c r="C925" s="13" t="n">
        <f aca="true">OFFSET(Datos!$D$1,1+$B$4+913,0)</f>
        <v>157.458232357399</v>
      </c>
      <c r="D925" s="13" t="n">
        <f aca="true">OFFSET(Datos!$D$1,1+913,0)</f>
        <v>159.777467594932</v>
      </c>
      <c r="E925" s="13" t="n">
        <f aca="false">C925-D925</f>
        <v>-2.3192352375325</v>
      </c>
    </row>
    <row r="926" customFormat="false" ht="15" hidden="false" customHeight="false" outlineLevel="0" collapsed="false">
      <c r="A926" s="2" t="n">
        <v>915</v>
      </c>
      <c r="B926" s="13" t="n">
        <f aca="true">OFFSET(Datos!$B$1,1+$B$4+914,0)</f>
        <v>48.222</v>
      </c>
      <c r="C926" s="13" t="n">
        <f aca="true">OFFSET(Datos!$D$1,1+$B$4+914,0)</f>
        <v>161.101215707431</v>
      </c>
      <c r="D926" s="13" t="n">
        <f aca="true">OFFSET(Datos!$D$1,1+914,0)</f>
        <v>155.781246877953</v>
      </c>
      <c r="E926" s="13" t="n">
        <f aca="false">C926-D926</f>
        <v>5.3199688294784</v>
      </c>
    </row>
    <row r="927" customFormat="false" ht="15" hidden="false" customHeight="false" outlineLevel="0" collapsed="false">
      <c r="A927" s="2" t="n">
        <v>916</v>
      </c>
      <c r="B927" s="13" t="n">
        <f aca="true">OFFSET(Datos!$B$1,1+$B$4+915,0)</f>
        <v>48.2719999999997</v>
      </c>
      <c r="C927" s="13" t="n">
        <f aca="true">OFFSET(Datos!$D$1,1+$B$4+915,0)</f>
        <v>164.808424033271</v>
      </c>
      <c r="D927" s="13" t="n">
        <f aca="true">OFFSET(Datos!$D$1,1+915,0)</f>
        <v>155.517210866295</v>
      </c>
      <c r="E927" s="13" t="n">
        <f aca="false">C927-D927</f>
        <v>9.29121316697635</v>
      </c>
    </row>
    <row r="928" customFormat="false" ht="15" hidden="false" customHeight="false" outlineLevel="0" collapsed="false">
      <c r="A928" s="2" t="n">
        <v>917</v>
      </c>
      <c r="B928" s="13" t="n">
        <f aca="true">OFFSET(Datos!$B$1,1+$B$4+916,0)</f>
        <v>48.3219999999999</v>
      </c>
      <c r="C928" s="13" t="n">
        <f aca="true">OFFSET(Datos!$D$1,1+$B$4+916,0)</f>
        <v>161.993229260328</v>
      </c>
      <c r="D928" s="13" t="n">
        <f aca="true">OFFSET(Datos!$D$1,1+916,0)</f>
        <v>157.015793635162</v>
      </c>
      <c r="E928" s="13" t="n">
        <f aca="false">C928-D928</f>
        <v>4.9774356251659</v>
      </c>
    </row>
    <row r="929" customFormat="false" ht="15" hidden="false" customHeight="false" outlineLevel="0" collapsed="false">
      <c r="A929" s="2" t="n">
        <v>918</v>
      </c>
      <c r="B929" s="13" t="n">
        <f aca="true">OFFSET(Datos!$B$1,1+$B$4+917,0)</f>
        <v>48.3720000000001</v>
      </c>
      <c r="C929" s="13" t="n">
        <f aca="true">OFFSET(Datos!$D$1,1+$B$4+917,0)</f>
        <v>162.978012222727</v>
      </c>
      <c r="D929" s="13" t="n">
        <f aca="true">OFFSET(Datos!$D$1,1+917,0)</f>
        <v>159.095969240518</v>
      </c>
      <c r="E929" s="13" t="n">
        <f aca="false">C929-D929</f>
        <v>3.88204298220825</v>
      </c>
    </row>
    <row r="930" customFormat="false" ht="15" hidden="false" customHeight="false" outlineLevel="0" collapsed="false">
      <c r="A930" s="2" t="n">
        <v>919</v>
      </c>
      <c r="B930" s="13" t="n">
        <f aca="true">OFFSET(Datos!$B$1,1+$B$4+918,0)</f>
        <v>48.4219999999998</v>
      </c>
      <c r="C930" s="13" t="n">
        <f aca="true">OFFSET(Datos!$D$1,1+$B$4+918,0)</f>
        <v>169.775155495803</v>
      </c>
      <c r="D930" s="13" t="n">
        <f aca="true">OFFSET(Datos!$D$1,1+918,0)</f>
        <v>156.394952202346</v>
      </c>
      <c r="E930" s="13" t="n">
        <f aca="false">C930-D930</f>
        <v>13.3802032934568</v>
      </c>
    </row>
    <row r="931" customFormat="false" ht="15" hidden="false" customHeight="false" outlineLevel="0" collapsed="false">
      <c r="A931" s="2" t="n">
        <v>920</v>
      </c>
      <c r="B931" s="13" t="n">
        <f aca="true">OFFSET(Datos!$B$1,1+$B$4+919,0)</f>
        <v>48.472</v>
      </c>
      <c r="C931" s="13" t="n">
        <f aca="true">OFFSET(Datos!$D$1,1+$B$4+919,0)</f>
        <v>159.145921999481</v>
      </c>
      <c r="D931" s="13" t="n">
        <f aca="true">OFFSET(Datos!$D$1,1+919,0)</f>
        <v>157.822173886981</v>
      </c>
      <c r="E931" s="13" t="n">
        <f aca="false">C931-D931</f>
        <v>1.32374811249932</v>
      </c>
    </row>
    <row r="932" customFormat="false" ht="15" hidden="false" customHeight="false" outlineLevel="0" collapsed="false">
      <c r="A932" s="2" t="n">
        <v>921</v>
      </c>
      <c r="B932" s="13" t="n">
        <f aca="true">OFFSET(Datos!$B$1,1+$B$4+920,0)</f>
        <v>48.5219999999997</v>
      </c>
      <c r="C932" s="13" t="n">
        <f aca="true">OFFSET(Datos!$D$1,1+$B$4+920,0)</f>
        <v>160.855019966831</v>
      </c>
      <c r="D932" s="13" t="n">
        <f aca="true">OFFSET(Datos!$D$1,1+920,0)</f>
        <v>162.703272048434</v>
      </c>
      <c r="E932" s="13" t="n">
        <f aca="false">C932-D932</f>
        <v>-1.84825208160282</v>
      </c>
    </row>
    <row r="933" customFormat="false" ht="15" hidden="false" customHeight="false" outlineLevel="0" collapsed="false">
      <c r="A933" s="2" t="n">
        <v>922</v>
      </c>
      <c r="B933" s="13" t="n">
        <f aca="true">OFFSET(Datos!$B$1,1+$B$4+921,0)</f>
        <v>48.5730000000001</v>
      </c>
      <c r="C933" s="13" t="n">
        <f aca="true">OFFSET(Datos!$D$1,1+$B$4+921,0)</f>
        <v>168.704739232326</v>
      </c>
      <c r="D933" s="13" t="n">
        <f aca="true">OFFSET(Datos!$D$1,1+921,0)</f>
        <v>158.981791505747</v>
      </c>
      <c r="E933" s="13" t="n">
        <f aca="false">C933-D933</f>
        <v>9.72294772657858</v>
      </c>
    </row>
    <row r="934" customFormat="false" ht="15" hidden="false" customHeight="false" outlineLevel="0" collapsed="false">
      <c r="A934" s="2" t="n">
        <v>923</v>
      </c>
      <c r="B934" s="13" t="n">
        <f aca="true">OFFSET(Datos!$B$1,1+$B$4+922,0)</f>
        <v>48.6229999999998</v>
      </c>
      <c r="C934" s="13" t="n">
        <f aca="true">OFFSET(Datos!$D$1,1+$B$4+922,0)</f>
        <v>161.871915417134</v>
      </c>
      <c r="D934" s="13" t="n">
        <f aca="true">OFFSET(Datos!$D$1,1+922,0)</f>
        <v>160.280563238766</v>
      </c>
      <c r="E934" s="13" t="n">
        <f aca="false">C934-D934</f>
        <v>1.59135217836845</v>
      </c>
    </row>
    <row r="935" customFormat="false" ht="15" hidden="false" customHeight="false" outlineLevel="0" collapsed="false">
      <c r="A935" s="2" t="n">
        <v>924</v>
      </c>
      <c r="B935" s="13" t="n">
        <f aca="true">OFFSET(Datos!$B$1,1+$B$4+923,0)</f>
        <v>48.673</v>
      </c>
      <c r="C935" s="13" t="n">
        <f aca="true">OFFSET(Datos!$D$1,1+$B$4+923,0)</f>
        <v>173.353913870026</v>
      </c>
      <c r="D935" s="13" t="n">
        <f aca="true">OFFSET(Datos!$D$1,1+923,0)</f>
        <v>161.161872629028</v>
      </c>
      <c r="E935" s="13" t="n">
        <f aca="false">C935-D935</f>
        <v>12.1920412409978</v>
      </c>
    </row>
    <row r="936" customFormat="false" ht="15" hidden="false" customHeight="false" outlineLevel="0" collapsed="false">
      <c r="A936" s="2" t="n">
        <v>925</v>
      </c>
      <c r="B936" s="13" t="n">
        <f aca="true">OFFSET(Datos!$B$1,1+$B$4+924,0)</f>
        <v>48.7229999999997</v>
      </c>
      <c r="C936" s="13" t="n">
        <f aca="true">OFFSET(Datos!$D$1,1+$B$4+924,0)</f>
        <v>165.932361109922</v>
      </c>
      <c r="D936" s="13" t="n">
        <f aca="true">OFFSET(Datos!$D$1,1+924,0)</f>
        <v>158.803388795168</v>
      </c>
      <c r="E936" s="13" t="n">
        <f aca="false">C936-D936</f>
        <v>7.12897231475375</v>
      </c>
    </row>
    <row r="937" customFormat="false" ht="15" hidden="false" customHeight="false" outlineLevel="0" collapsed="false">
      <c r="A937" s="2" t="n">
        <v>926</v>
      </c>
      <c r="B937" s="13" t="n">
        <f aca="true">OFFSET(Datos!$B$1,1+$B$4+925,0)</f>
        <v>48.7729999999999</v>
      </c>
      <c r="C937" s="13" t="n">
        <f aca="true">OFFSET(Datos!$D$1,1+$B$4+925,0)</f>
        <v>165.504194604531</v>
      </c>
      <c r="D937" s="13" t="n">
        <f aca="true">OFFSET(Datos!$D$1,1+925,0)</f>
        <v>157.95419189281</v>
      </c>
      <c r="E937" s="13" t="n">
        <f aca="false">C937-D937</f>
        <v>7.55000271172122</v>
      </c>
    </row>
    <row r="938" customFormat="false" ht="15" hidden="false" customHeight="false" outlineLevel="0" collapsed="false">
      <c r="A938" s="2" t="n">
        <v>927</v>
      </c>
      <c r="B938" s="13" t="n">
        <f aca="true">OFFSET(Datos!$B$1,1+$B$4+926,0)</f>
        <v>48.8230000000001</v>
      </c>
      <c r="C938" s="13" t="n">
        <f aca="true">OFFSET(Datos!$D$1,1+$B$4+926,0)</f>
        <v>162.150223645638</v>
      </c>
      <c r="D938" s="13" t="n">
        <f aca="true">OFFSET(Datos!$D$1,1+926,0)</f>
        <v>159.79530786599</v>
      </c>
      <c r="E938" s="13" t="n">
        <f aca="false">C938-D938</f>
        <v>2.35491577964839</v>
      </c>
    </row>
    <row r="939" customFormat="false" ht="15" hidden="false" customHeight="false" outlineLevel="0" collapsed="false">
      <c r="A939" s="2" t="n">
        <v>928</v>
      </c>
      <c r="B939" s="13" t="n">
        <f aca="true">OFFSET(Datos!$B$1,1+$B$4+927,0)</f>
        <v>48.8729999999998</v>
      </c>
      <c r="C939" s="13" t="n">
        <f aca="true">OFFSET(Datos!$D$1,1+$B$4+927,0)</f>
        <v>167.584370209887</v>
      </c>
      <c r="D939" s="13" t="n">
        <f aca="true">OFFSET(Datos!$D$1,1+927,0)</f>
        <v>157.376167110533</v>
      </c>
      <c r="E939" s="13" t="n">
        <f aca="false">C939-D939</f>
        <v>10.2082030993546</v>
      </c>
    </row>
    <row r="940" customFormat="false" ht="15" hidden="false" customHeight="false" outlineLevel="0" collapsed="false">
      <c r="A940" s="2" t="n">
        <v>929</v>
      </c>
      <c r="B940" s="13" t="n">
        <f aca="true">OFFSET(Datos!$B$1,1+$B$4+928,0)</f>
        <v>48.923</v>
      </c>
      <c r="C940" s="13" t="n">
        <f aca="true">OFFSET(Datos!$D$1,1+$B$4+928,0)</f>
        <v>164.747767111674</v>
      </c>
      <c r="D940" s="13" t="n">
        <f aca="true">OFFSET(Datos!$D$1,1+928,0)</f>
        <v>155.024819385096</v>
      </c>
      <c r="E940" s="13" t="n">
        <f aca="false">C940-D940</f>
        <v>9.72294772657858</v>
      </c>
    </row>
    <row r="941" customFormat="false" ht="15" hidden="false" customHeight="false" outlineLevel="0" collapsed="false">
      <c r="A941" s="2" t="n">
        <v>930</v>
      </c>
      <c r="B941" s="13" t="n">
        <f aca="true">OFFSET(Datos!$B$1,1+$B$4+929,0)</f>
        <v>48.9729999999997</v>
      </c>
      <c r="C941" s="13" t="n">
        <f aca="true">OFFSET(Datos!$D$1,1+$B$4+929,0)</f>
        <v>173.171943105235</v>
      </c>
      <c r="D941" s="13" t="n">
        <f aca="true">OFFSET(Datos!$D$1,1+929,0)</f>
        <v>160.733706123637</v>
      </c>
      <c r="E941" s="13" t="n">
        <f aca="false">C941-D941</f>
        <v>12.4382369815974</v>
      </c>
    </row>
    <row r="942" customFormat="false" ht="15" hidden="false" customHeight="false" outlineLevel="0" collapsed="false">
      <c r="A942" s="2" t="n">
        <v>931</v>
      </c>
      <c r="B942" s="13" t="n">
        <f aca="true">OFFSET(Datos!$B$1,1+$B$4+930,0)</f>
        <v>49.0229999999999</v>
      </c>
      <c r="C942" s="13" t="n">
        <f aca="true">OFFSET(Datos!$D$1,1+$B$4+930,0)</f>
        <v>163.206367692268</v>
      </c>
      <c r="D942" s="13" t="n">
        <f aca="true">OFFSET(Datos!$D$1,1+930,0)</f>
        <v>164.223263142571</v>
      </c>
      <c r="E942" s="13" t="n">
        <f aca="false">C942-D942</f>
        <v>-1.01689545030268</v>
      </c>
    </row>
    <row r="943" customFormat="false" ht="15" hidden="false" customHeight="false" outlineLevel="0" collapsed="false">
      <c r="A943" s="2" t="n">
        <v>932</v>
      </c>
      <c r="B943" s="13" t="n">
        <f aca="true">OFFSET(Datos!$B$1,1+$B$4+931,0)</f>
        <v>49.0730000000001</v>
      </c>
      <c r="C943" s="13" t="n">
        <f aca="true">OFFSET(Datos!$D$1,1+$B$4+931,0)</f>
        <v>165.953769435191</v>
      </c>
      <c r="D943" s="13" t="n">
        <f aca="true">OFFSET(Datos!$D$1,1+931,0)</f>
        <v>158.196819579198</v>
      </c>
      <c r="E943" s="13" t="n">
        <f aca="false">C943-D943</f>
        <v>7.75694985599333</v>
      </c>
    </row>
    <row r="944" customFormat="false" ht="15" hidden="false" customHeight="false" outlineLevel="0" collapsed="false">
      <c r="A944" s="2" t="n">
        <v>933</v>
      </c>
      <c r="B944" s="13" t="n">
        <f aca="true">OFFSET(Datos!$B$1,1+$B$4+932,0)</f>
        <v>49.1229999999998</v>
      </c>
      <c r="C944" s="13" t="n">
        <f aca="true">OFFSET(Datos!$D$1,1+$B$4+932,0)</f>
        <v>165.076028099141</v>
      </c>
      <c r="D944" s="13" t="n">
        <f aca="true">OFFSET(Datos!$D$1,1+932,0)</f>
        <v>158.58216943405</v>
      </c>
      <c r="E944" s="13" t="n">
        <f aca="false">C944-D944</f>
        <v>6.49385866509101</v>
      </c>
    </row>
    <row r="945" customFormat="false" ht="15" hidden="false" customHeight="false" outlineLevel="0" collapsed="false">
      <c r="A945" s="2" t="n">
        <v>934</v>
      </c>
      <c r="B945" s="13" t="n">
        <f aca="true">OFFSET(Datos!$B$1,1+$B$4+933,0)</f>
        <v>49.173</v>
      </c>
      <c r="C945" s="13" t="n">
        <f aca="true">OFFSET(Datos!$D$1,1+$B$4+933,0)</f>
        <v>164.362417256823</v>
      </c>
      <c r="D945" s="13" t="n">
        <f aca="true">OFFSET(Datos!$D$1,1+933,0)</f>
        <v>156.22368560019</v>
      </c>
      <c r="E945" s="13" t="n">
        <f aca="false">C945-D945</f>
        <v>8.1387316566333</v>
      </c>
    </row>
    <row r="946" customFormat="false" ht="15" hidden="false" customHeight="false" outlineLevel="0" collapsed="false">
      <c r="A946" s="2" t="n">
        <v>935</v>
      </c>
      <c r="B946" s="13" t="n">
        <f aca="true">OFFSET(Datos!$B$1,1+$B$4+934,0)</f>
        <v>49.2229999999997</v>
      </c>
      <c r="C946" s="13" t="n">
        <f aca="true">OFFSET(Datos!$D$1,1+$B$4+934,0)</f>
        <v>173.956915031784</v>
      </c>
      <c r="D946" s="13" t="n">
        <f aca="true">OFFSET(Datos!$D$1,1+934,0)</f>
        <v>162.014637585598</v>
      </c>
      <c r="E946" s="13" t="n">
        <f aca="false">C946-D946</f>
        <v>11.9422774461866</v>
      </c>
    </row>
    <row r="947" customFormat="false" ht="15" hidden="false" customHeight="false" outlineLevel="0" collapsed="false">
      <c r="A947" s="2" t="n">
        <v>936</v>
      </c>
      <c r="B947" s="13" t="n">
        <f aca="true">OFFSET(Datos!$B$1,1+$B$4+935,0)</f>
        <v>49.2729999999999</v>
      </c>
      <c r="C947" s="13" t="n">
        <f aca="true">OFFSET(Datos!$D$1,1+$B$4+935,0)</f>
        <v>175.455497800651</v>
      </c>
      <c r="D947" s="13" t="n">
        <f aca="true">OFFSET(Datos!$D$1,1+935,0)</f>
        <v>156.559082696079</v>
      </c>
      <c r="E947" s="13" t="n">
        <f aca="false">C947-D947</f>
        <v>18.8964151045725</v>
      </c>
    </row>
    <row r="948" customFormat="false" ht="15" hidden="false" customHeight="false" outlineLevel="0" collapsed="false">
      <c r="A948" s="2" t="n">
        <v>937</v>
      </c>
      <c r="B948" s="13" t="n">
        <f aca="true">OFFSET(Datos!$B$1,1+$B$4+936,0)</f>
        <v>49.3230000000001</v>
      </c>
      <c r="C948" s="13" t="n">
        <f aca="true">OFFSET(Datos!$D$1,1+$B$4+936,0)</f>
        <v>171.106039716725</v>
      </c>
      <c r="D948" s="13" t="n">
        <f aca="true">OFFSET(Datos!$D$1,1+936,0)</f>
        <v>158.011280760195</v>
      </c>
      <c r="E948" s="13" t="n">
        <f aca="false">C948-D948</f>
        <v>13.0947589565297</v>
      </c>
    </row>
    <row r="949" customFormat="false" ht="15" hidden="false" customHeight="false" outlineLevel="0" collapsed="false">
      <c r="A949" s="2" t="n">
        <v>938</v>
      </c>
      <c r="B949" s="13" t="n">
        <f aca="true">OFFSET(Datos!$B$1,1+$B$4+937,0)</f>
        <v>49.3729999999998</v>
      </c>
      <c r="C949" s="13" t="n">
        <f aca="true">OFFSET(Datos!$D$1,1+$B$4+937,0)</f>
        <v>176.775677858939</v>
      </c>
      <c r="D949" s="13" t="n">
        <f aca="true">OFFSET(Datos!$D$1,1+937,0)</f>
        <v>156.594763238195</v>
      </c>
      <c r="E949" s="13" t="n">
        <f aca="false">C949-D949</f>
        <v>20.1809146207444</v>
      </c>
    </row>
    <row r="950" customFormat="false" ht="15" hidden="false" customHeight="false" outlineLevel="0" collapsed="false">
      <c r="A950" s="2" t="n">
        <v>939</v>
      </c>
      <c r="B950" s="13" t="n">
        <f aca="true">OFFSET(Datos!$B$1,1+$B$4+938,0)</f>
        <v>49.423</v>
      </c>
      <c r="C950" s="13" t="n">
        <f aca="true">OFFSET(Datos!$D$1,1+$B$4+938,0)</f>
        <v>169.796563821072</v>
      </c>
      <c r="D950" s="13" t="n">
        <f aca="true">OFFSET(Datos!$D$1,1+938,0)</f>
        <v>157.005089472527</v>
      </c>
      <c r="E950" s="13" t="n">
        <f aca="false">C950-D950</f>
        <v>12.7914743485447</v>
      </c>
    </row>
    <row r="951" customFormat="false" ht="15" hidden="false" customHeight="false" outlineLevel="0" collapsed="false">
      <c r="A951" s="2" t="n">
        <v>940</v>
      </c>
      <c r="B951" s="13" t="n">
        <f aca="true">OFFSET(Datos!$B$1,1+$B$4+939,0)</f>
        <v>49.4729999999997</v>
      </c>
      <c r="C951" s="13" t="n">
        <f aca="true">OFFSET(Datos!$D$1,1+$B$4+939,0)</f>
        <v>161.126192086912</v>
      </c>
      <c r="D951" s="13" t="n">
        <f aca="true">OFFSET(Datos!$D$1,1+939,0)</f>
        <v>160.883564400524</v>
      </c>
      <c r="E951" s="13" t="n">
        <f aca="false">C951-D951</f>
        <v>0.242627686388005</v>
      </c>
    </row>
    <row r="952" customFormat="false" ht="15" hidden="false" customHeight="false" outlineLevel="0" collapsed="false">
      <c r="A952" s="2" t="n">
        <v>941</v>
      </c>
      <c r="B952" s="13" t="n">
        <f aca="true">OFFSET(Datos!$B$1,1+$B$4+940,0)</f>
        <v>49.5229999999999</v>
      </c>
      <c r="C952" s="13" t="n">
        <f aca="true">OFFSET(Datos!$D$1,1+$B$4+940,0)</f>
        <v>174.763295283603</v>
      </c>
      <c r="D952" s="13" t="n">
        <f aca="true">OFFSET(Datos!$D$1,1+940,0)</f>
        <v>160.994174081083</v>
      </c>
      <c r="E952" s="13" t="n">
        <f aca="false">C952-D952</f>
        <v>13.7691212025199</v>
      </c>
    </row>
    <row r="953" customFormat="false" ht="15" hidden="false" customHeight="false" outlineLevel="0" collapsed="false">
      <c r="A953" s="2" t="n">
        <v>942</v>
      </c>
      <c r="B953" s="13" t="n">
        <f aca="true">OFFSET(Datos!$B$1,1+$B$4+941,0)</f>
        <v>49.5730000000001</v>
      </c>
      <c r="C953" s="13" t="n">
        <f aca="true">OFFSET(Datos!$D$1,1+$B$4+941,0)</f>
        <v>174.559916193543</v>
      </c>
      <c r="D953" s="13" t="n">
        <f aca="true">OFFSET(Datos!$D$1,1+941,0)</f>
        <v>160.548167304635</v>
      </c>
      <c r="E953" s="13" t="n">
        <f aca="false">C953-D953</f>
        <v>14.0117488889079</v>
      </c>
    </row>
    <row r="954" customFormat="false" ht="15" hidden="false" customHeight="false" outlineLevel="0" collapsed="false">
      <c r="A954" s="2" t="n">
        <v>943</v>
      </c>
      <c r="B954" s="13" t="n">
        <f aca="true">OFFSET(Datos!$B$1,1+$B$4+942,0)</f>
        <v>49.6229999999998</v>
      </c>
      <c r="C954" s="13" t="n">
        <f aca="true">OFFSET(Datos!$D$1,1+$B$4+942,0)</f>
        <v>175.937185119216</v>
      </c>
      <c r="D954" s="13" t="n">
        <f aca="true">OFFSET(Datos!$D$1,1+942,0)</f>
        <v>160.24488269665</v>
      </c>
      <c r="E954" s="13" t="n">
        <f aca="false">C954-D954</f>
        <v>15.6923024225661</v>
      </c>
    </row>
    <row r="955" customFormat="false" ht="15" hidden="false" customHeight="false" outlineLevel="0" collapsed="false">
      <c r="A955" s="2" t="n">
        <v>944</v>
      </c>
      <c r="B955" s="13" t="n">
        <f aca="true">OFFSET(Datos!$B$1,1+$B$4+943,0)</f>
        <v>49.673</v>
      </c>
      <c r="C955" s="13" t="n">
        <f aca="true">OFFSET(Datos!$D$1,1+$B$4+943,0)</f>
        <v>166.877895475993</v>
      </c>
      <c r="D955" s="13" t="n">
        <f aca="true">OFFSET(Datos!$D$1,1+943,0)</f>
        <v>160.009391118685</v>
      </c>
      <c r="E955" s="13" t="n">
        <f aca="false">C955-D955</f>
        <v>6.86850435730781</v>
      </c>
    </row>
    <row r="956" customFormat="false" ht="15" hidden="false" customHeight="false" outlineLevel="0" collapsed="false">
      <c r="A956" s="2" t="n">
        <v>945</v>
      </c>
      <c r="B956" s="13" t="n">
        <f aca="true">OFFSET(Datos!$B$1,1+$B$4+944,0)</f>
        <v>49.7229999999997</v>
      </c>
      <c r="C956" s="13" t="n">
        <f aca="true">OFFSET(Datos!$D$1,1+$B$4+944,0)</f>
        <v>172.815137684076</v>
      </c>
      <c r="D956" s="13" t="n">
        <f aca="true">OFFSET(Datos!$D$1,1+944,0)</f>
        <v>161.479429453859</v>
      </c>
      <c r="E956" s="13" t="n">
        <f aca="false">C956-D956</f>
        <v>11.3357082302166</v>
      </c>
    </row>
    <row r="957" customFormat="false" ht="15" hidden="false" customHeight="false" outlineLevel="0" collapsed="false">
      <c r="A957" s="2" t="n">
        <v>946</v>
      </c>
      <c r="B957" s="13" t="n">
        <f aca="true">OFFSET(Datos!$B$1,1+$B$4+945,0)</f>
        <v>49.7729999999999</v>
      </c>
      <c r="C957" s="13" t="n">
        <f aca="true">OFFSET(Datos!$D$1,1+$B$4+945,0)</f>
        <v>169.022296057157</v>
      </c>
      <c r="D957" s="13" t="n">
        <f aca="true">OFFSET(Datos!$D$1,1+945,0)</f>
        <v>164.465890828959</v>
      </c>
      <c r="E957" s="13" t="n">
        <f aca="false">C957-D957</f>
        <v>4.55640522819846</v>
      </c>
    </row>
    <row r="958" customFormat="false" ht="15" hidden="false" customHeight="false" outlineLevel="0" collapsed="false">
      <c r="A958" s="2" t="n">
        <v>947</v>
      </c>
      <c r="B958" s="13" t="n">
        <f aca="true">OFFSET(Datos!$B$1,1+$B$4+946,0)</f>
        <v>49.8230000000001</v>
      </c>
      <c r="C958" s="13" t="n">
        <f aca="true">OFFSET(Datos!$D$1,1+$B$4+946,0)</f>
        <v>171.734017257965</v>
      </c>
      <c r="D958" s="13" t="n">
        <f aca="true">OFFSET(Datos!$D$1,1+946,0)</f>
        <v>158.988927614171</v>
      </c>
      <c r="E958" s="13" t="n">
        <f aca="false">C958-D958</f>
        <v>12.745089643794</v>
      </c>
    </row>
    <row r="959" customFormat="false" ht="15" hidden="false" customHeight="false" outlineLevel="0" collapsed="false">
      <c r="A959" s="2" t="n">
        <v>948</v>
      </c>
      <c r="B959" s="13" t="n">
        <f aca="true">OFFSET(Datos!$B$1,1+$B$4+947,0)</f>
        <v>49.8729999999998</v>
      </c>
      <c r="C959" s="13" t="n">
        <f aca="true">OFFSET(Datos!$D$1,1+$B$4+947,0)</f>
        <v>173.336073598968</v>
      </c>
      <c r="D959" s="13" t="n">
        <f aca="true">OFFSET(Datos!$D$1,1+947,0)</f>
        <v>164.49086720844</v>
      </c>
      <c r="E959" s="13" t="n">
        <f aca="false">C959-D959</f>
        <v>8.84520639052784</v>
      </c>
    </row>
    <row r="960" customFormat="false" ht="15" hidden="false" customHeight="false" outlineLevel="0" collapsed="false">
      <c r="A960" s="2" t="n">
        <v>949</v>
      </c>
      <c r="B960" s="13" t="n">
        <f aca="true">OFFSET(Datos!$B$1,1+$B$4+948,0)</f>
        <v>49.923</v>
      </c>
      <c r="C960" s="13" t="n">
        <f aca="true">OFFSET(Datos!$D$1,1+$B$4+948,0)</f>
        <v>163.855753558777</v>
      </c>
      <c r="D960" s="13" t="n">
        <f aca="true">OFFSET(Datos!$D$1,1+948,0)</f>
        <v>158.26818066343</v>
      </c>
      <c r="E960" s="13" t="n">
        <f aca="false">C960-D960</f>
        <v>5.58757289534753</v>
      </c>
    </row>
    <row r="961" customFormat="false" ht="15" hidden="false" customHeight="false" outlineLevel="0" collapsed="false">
      <c r="A961" s="2" t="n">
        <v>950</v>
      </c>
      <c r="B961" s="13" t="n">
        <f aca="true">OFFSET(Datos!$B$1,1+$B$4+949,0)</f>
        <v>49.9729999999997</v>
      </c>
      <c r="C961" s="13" t="n">
        <f aca="true">OFFSET(Datos!$D$1,1+$B$4+949,0)</f>
        <v>175.426953366959</v>
      </c>
      <c r="D961" s="13" t="n">
        <f aca="true">OFFSET(Datos!$D$1,1+949,0)</f>
        <v>160.922812996852</v>
      </c>
      <c r="E961" s="13" t="n">
        <f aca="false">C961-D961</f>
        <v>14.5041403701071</v>
      </c>
    </row>
    <row r="962" customFormat="false" ht="15" hidden="false" customHeight="false" outlineLevel="0" collapsed="false">
      <c r="A962" s="2" t="n">
        <v>951</v>
      </c>
      <c r="B962" s="13" t="n">
        <f aca="true">OFFSET(Datos!$B$1,1+$B$4+950,0)</f>
        <v>50.0229999999999</v>
      </c>
      <c r="C962" s="13" t="n">
        <f aca="true">OFFSET(Datos!$D$1,1+$B$4+950,0)</f>
        <v>177.774733038184</v>
      </c>
      <c r="D962" s="13" t="n">
        <f aca="true">OFFSET(Datos!$D$1,1+950,0)</f>
        <v>165.179501671277</v>
      </c>
      <c r="E962" s="13" t="n">
        <f aca="false">C962-D962</f>
        <v>12.5952313669073</v>
      </c>
    </row>
    <row r="963" customFormat="false" ht="15" hidden="false" customHeight="false" outlineLevel="0" collapsed="false">
      <c r="A963" s="2" t="n">
        <v>952</v>
      </c>
      <c r="B963" s="13" t="n">
        <f aca="true">OFFSET(Datos!$B$1,1+$B$4+951,0)</f>
        <v>50.0730000000001</v>
      </c>
      <c r="C963" s="13" t="n">
        <f aca="true">OFFSET(Datos!$D$1,1+$B$4+951,0)</f>
        <v>176.650795961534</v>
      </c>
      <c r="D963" s="13" t="n">
        <f aca="true">OFFSET(Datos!$D$1,1+951,0)</f>
        <v>158.707051331455</v>
      </c>
      <c r="E963" s="13" t="n">
        <f aca="false">C963-D963</f>
        <v>17.9437446300784</v>
      </c>
    </row>
    <row r="964" customFormat="false" ht="15" hidden="false" customHeight="false" outlineLevel="0" collapsed="false">
      <c r="A964" s="2" t="n">
        <v>953</v>
      </c>
      <c r="B964" s="13" t="n">
        <f aca="true">OFFSET(Datos!$B$1,1+$B$4+952,0)</f>
        <v>50.1229999999998</v>
      </c>
      <c r="C964" s="13" t="n">
        <f aca="true">OFFSET(Datos!$D$1,1+$B$4+952,0)</f>
        <v>171.816082504831</v>
      </c>
      <c r="D964" s="13" t="n">
        <f aca="true">OFFSET(Datos!$D$1,1+952,0)</f>
        <v>158.846205445707</v>
      </c>
      <c r="E964" s="13" t="n">
        <f aca="false">C964-D964</f>
        <v>12.9698770591241</v>
      </c>
    </row>
    <row r="965" customFormat="false" ht="15" hidden="false" customHeight="false" outlineLevel="0" collapsed="false">
      <c r="A965" s="2" t="n">
        <v>954</v>
      </c>
      <c r="B965" s="13" t="n">
        <f aca="true">OFFSET(Datos!$B$1,1+$B$4+953,0)</f>
        <v>50.173</v>
      </c>
      <c r="C965" s="13" t="n">
        <f aca="true">OFFSET(Datos!$D$1,1+$B$4+953,0)</f>
        <v>171.919556076967</v>
      </c>
      <c r="D965" s="13" t="n">
        <f aca="true">OFFSET(Datos!$D$1,1+953,0)</f>
        <v>163.117166336979</v>
      </c>
      <c r="E965" s="13" t="n">
        <f aca="false">C965-D965</f>
        <v>8.80238973998874</v>
      </c>
    </row>
    <row r="966" customFormat="false" ht="15" hidden="false" customHeight="false" outlineLevel="0" collapsed="false">
      <c r="A966" s="2" t="n">
        <v>955</v>
      </c>
      <c r="B966" s="13" t="n">
        <f aca="true">OFFSET(Datos!$B$1,1+$B$4+954,0)</f>
        <v>50.2229999999997</v>
      </c>
      <c r="C966" s="13" t="n">
        <f aca="true">OFFSET(Datos!$D$1,1+$B$4+954,0)</f>
        <v>168.28727688957</v>
      </c>
      <c r="D966" s="13" t="n">
        <f aca="true">OFFSET(Datos!$D$1,1+954,0)</f>
        <v>163.163551041729</v>
      </c>
      <c r="E966" s="13" t="n">
        <f aca="false">C966-D966</f>
        <v>5.12372584784103</v>
      </c>
    </row>
    <row r="967" customFormat="false" ht="15" hidden="false" customHeight="false" outlineLevel="0" collapsed="false">
      <c r="A967" s="2" t="n">
        <v>956</v>
      </c>
      <c r="B967" s="13" t="n">
        <f aca="true">OFFSET(Datos!$B$1,1+$B$4+955,0)</f>
        <v>50.2729999999999</v>
      </c>
      <c r="C967" s="13" t="n">
        <f aca="true">OFFSET(Datos!$D$1,1+$B$4+955,0)</f>
        <v>169.100793249812</v>
      </c>
      <c r="D967" s="13" t="n">
        <f aca="true">OFFSET(Datos!$D$1,1+955,0)</f>
        <v>161.582903025995</v>
      </c>
      <c r="E967" s="13" t="n">
        <f aca="false">C967-D967</f>
        <v>7.51789022381692</v>
      </c>
    </row>
    <row r="968" customFormat="false" ht="15" hidden="false" customHeight="false" outlineLevel="0" collapsed="false">
      <c r="A968" s="2" t="n">
        <v>957</v>
      </c>
      <c r="B968" s="13" t="n">
        <f aca="true">OFFSET(Datos!$B$1,1+$B$4+956,0)</f>
        <v>50.3230000000001</v>
      </c>
      <c r="C968" s="13" t="n">
        <f aca="true">OFFSET(Datos!$D$1,1+$B$4+956,0)</f>
        <v>170.413837199677</v>
      </c>
      <c r="D968" s="13" t="n">
        <f aca="true">OFFSET(Datos!$D$1,1+956,0)</f>
        <v>164.123357624646</v>
      </c>
      <c r="E968" s="13" t="n">
        <f aca="false">C968-D968</f>
        <v>6.29047957503047</v>
      </c>
    </row>
    <row r="969" customFormat="false" ht="15" hidden="false" customHeight="false" outlineLevel="0" collapsed="false">
      <c r="A969" s="2" t="n">
        <v>958</v>
      </c>
      <c r="B969" s="13" t="n">
        <f aca="true">OFFSET(Datos!$B$1,1+$B$4+957,0)</f>
        <v>50.3729999999998</v>
      </c>
      <c r="C969" s="13" t="n">
        <f aca="true">OFFSET(Datos!$D$1,1+$B$4+957,0)</f>
        <v>169.974966531652</v>
      </c>
      <c r="D969" s="13" t="n">
        <f aca="true">OFFSET(Datos!$D$1,1+957,0)</f>
        <v>158.389494506624</v>
      </c>
      <c r="E969" s="13" t="n">
        <f aca="false">C969-D969</f>
        <v>11.5854720250278</v>
      </c>
    </row>
    <row r="970" customFormat="false" ht="15" hidden="false" customHeight="false" outlineLevel="0" collapsed="false">
      <c r="A970" s="2" t="n">
        <v>959</v>
      </c>
      <c r="B970" s="13" t="n">
        <f aca="true">OFFSET(Datos!$B$1,1+$B$4+958,0)</f>
        <v>50.423</v>
      </c>
      <c r="C970" s="13" t="n">
        <f aca="true">OFFSET(Datos!$D$1,1+$B$4+958,0)</f>
        <v>174.906017452067</v>
      </c>
      <c r="D970" s="13" t="n">
        <f aca="true">OFFSET(Datos!$D$1,1+958,0)</f>
        <v>159.731082890181</v>
      </c>
      <c r="E970" s="13" t="n">
        <f aca="false">C970-D970</f>
        <v>15.1749345618857</v>
      </c>
    </row>
    <row r="971" customFormat="false" ht="15" hidden="false" customHeight="false" outlineLevel="0" collapsed="false">
      <c r="A971" s="2" t="n">
        <v>960</v>
      </c>
      <c r="B971" s="13" t="n">
        <f aca="true">OFFSET(Datos!$B$1,1+$B$4+959,0)</f>
        <v>50.4729999999997</v>
      </c>
      <c r="C971" s="13" t="n">
        <f aca="true">OFFSET(Datos!$D$1,1+$B$4+959,0)</f>
        <v>173.703583182762</v>
      </c>
      <c r="D971" s="13" t="n">
        <f aca="true">OFFSET(Datos!$D$1,1+959,0)</f>
        <v>158.253908446583</v>
      </c>
      <c r="E971" s="13" t="n">
        <f aca="false">C971-D971</f>
        <v>15.4496747361781</v>
      </c>
    </row>
    <row r="972" customFormat="false" ht="15" hidden="false" customHeight="false" outlineLevel="0" collapsed="false">
      <c r="A972" s="2" t="n">
        <v>961</v>
      </c>
      <c r="B972" s="13" t="n">
        <f aca="true">OFFSET(Datos!$B$1,1+$B$4+960,0)</f>
        <v>50.5229999999999</v>
      </c>
      <c r="C972" s="13" t="n">
        <f aca="true">OFFSET(Datos!$D$1,1+$B$4+960,0)</f>
        <v>166.788694120703</v>
      </c>
      <c r="D972" s="13" t="n">
        <f aca="true">OFFSET(Datos!$D$1,1+960,0)</f>
        <v>157.57241009217</v>
      </c>
      <c r="E972" s="13" t="n">
        <f aca="false">C972-D972</f>
        <v>9.21628402853301</v>
      </c>
    </row>
    <row r="973" customFormat="false" ht="15" hidden="false" customHeight="false" outlineLevel="0" collapsed="false">
      <c r="A973" s="2" t="n">
        <v>962</v>
      </c>
      <c r="B973" s="13" t="n">
        <f aca="true">OFFSET(Datos!$B$1,1+$B$4+961,0)</f>
        <v>50.5730000000001</v>
      </c>
      <c r="C973" s="13" t="n">
        <f aca="true">OFFSET(Datos!$D$1,1+$B$4+961,0)</f>
        <v>172.005189378045</v>
      </c>
      <c r="D973" s="13" t="n">
        <f aca="true">OFFSET(Datos!$D$1,1+961,0)</f>
        <v>160.002255010262</v>
      </c>
      <c r="E973" s="13" t="n">
        <f aca="false">C973-D973</f>
        <v>12.0029343677836</v>
      </c>
    </row>
    <row r="974" customFormat="false" ht="15" hidden="false" customHeight="false" outlineLevel="0" collapsed="false">
      <c r="A974" s="2" t="n">
        <v>963</v>
      </c>
      <c r="B974" s="13" t="n">
        <f aca="true">OFFSET(Datos!$B$1,1+$B$4+962,0)</f>
        <v>50.6229999999998</v>
      </c>
      <c r="C974" s="13" t="n">
        <f aca="true">OFFSET(Datos!$D$1,1+$B$4+962,0)</f>
        <v>168.73685172023</v>
      </c>
      <c r="D974" s="13" t="n">
        <f aca="true">OFFSET(Datos!$D$1,1+962,0)</f>
        <v>162.721112319492</v>
      </c>
      <c r="E974" s="13" t="n">
        <f aca="false">C974-D974</f>
        <v>6.01573940073814</v>
      </c>
    </row>
    <row r="975" customFormat="false" ht="15" hidden="false" customHeight="false" outlineLevel="0" collapsed="false">
      <c r="A975" s="2" t="n">
        <v>964</v>
      </c>
      <c r="B975" s="13" t="n">
        <f aca="true">OFFSET(Datos!$B$1,1+$B$4+963,0)</f>
        <v>50.673</v>
      </c>
      <c r="C975" s="13" t="n">
        <f aca="true">OFFSET(Datos!$D$1,1+$B$4+963,0)</f>
        <v>176.568730714667</v>
      </c>
      <c r="D975" s="13" t="n">
        <f aca="true">OFFSET(Datos!$D$1,1+963,0)</f>
        <v>157.458232357399</v>
      </c>
      <c r="E975" s="13" t="n">
        <f aca="false">C975-D975</f>
        <v>19.1104983572678</v>
      </c>
    </row>
    <row r="976" customFormat="false" ht="15" hidden="false" customHeight="false" outlineLevel="0" collapsed="false">
      <c r="A976" s="2" t="n">
        <v>965</v>
      </c>
      <c r="B976" s="13" t="n">
        <f aca="true">OFFSET(Datos!$B$1,1+$B$4+964,0)</f>
        <v>50.7229999999997</v>
      </c>
      <c r="C976" s="13" t="n">
        <f aca="true">OFFSET(Datos!$D$1,1+$B$4+964,0)</f>
        <v>175.983569823967</v>
      </c>
      <c r="D976" s="13" t="n">
        <f aca="true">OFFSET(Datos!$D$1,1+964,0)</f>
        <v>161.101215707431</v>
      </c>
      <c r="E976" s="13" t="n">
        <f aca="false">C976-D976</f>
        <v>14.8823541165355</v>
      </c>
    </row>
    <row r="977" customFormat="false" ht="15" hidden="false" customHeight="false" outlineLevel="0" collapsed="false">
      <c r="A977" s="2" t="n">
        <v>966</v>
      </c>
      <c r="B977" s="13" t="n">
        <f aca="true">OFFSET(Datos!$B$1,1+$B$4+965,0)</f>
        <v>50.7729999999999</v>
      </c>
      <c r="C977" s="13" t="n">
        <f aca="true">OFFSET(Datos!$D$1,1+$B$4+965,0)</f>
        <v>167.969720064739</v>
      </c>
      <c r="D977" s="13" t="n">
        <f aca="true">OFFSET(Datos!$D$1,1+965,0)</f>
        <v>164.808424033271</v>
      </c>
      <c r="E977" s="13" t="n">
        <f aca="false">C977-D977</f>
        <v>3.1612960314674</v>
      </c>
    </row>
    <row r="978" customFormat="false" ht="15" hidden="false" customHeight="false" outlineLevel="0" collapsed="false">
      <c r="A978" s="2" t="n">
        <v>967</v>
      </c>
      <c r="B978" s="13" t="n">
        <f aca="true">OFFSET(Datos!$B$1,1+$B$4+966,0)</f>
        <v>50.8230000000001</v>
      </c>
      <c r="C978" s="13" t="n">
        <f aca="true">OFFSET(Datos!$D$1,1+$B$4+966,0)</f>
        <v>168.026808932124</v>
      </c>
      <c r="D978" s="13" t="n">
        <f aca="true">OFFSET(Datos!$D$1,1+966,0)</f>
        <v>161.993229260328</v>
      </c>
      <c r="E978" s="13" t="n">
        <f aca="false">C978-D978</f>
        <v>6.0335796717961</v>
      </c>
    </row>
    <row r="979" customFormat="false" ht="15" hidden="false" customHeight="false" outlineLevel="0" collapsed="false">
      <c r="A979" s="2" t="n">
        <v>968</v>
      </c>
      <c r="B979" s="13" t="n">
        <f aca="true">OFFSET(Datos!$B$1,1+$B$4+967,0)</f>
        <v>50.8729999999998</v>
      </c>
      <c r="C979" s="13" t="n">
        <f aca="true">OFFSET(Datos!$D$1,1+$B$4+967,0)</f>
        <v>170.049895670095</v>
      </c>
      <c r="D979" s="13" t="n">
        <f aca="true">OFFSET(Datos!$D$1,1+967,0)</f>
        <v>162.978012222727</v>
      </c>
      <c r="E979" s="13" t="n">
        <f aca="false">C979-D979</f>
        <v>7.07188344736835</v>
      </c>
    </row>
    <row r="980" customFormat="false" ht="15" hidden="false" customHeight="false" outlineLevel="0" collapsed="false">
      <c r="A980" s="2" t="n">
        <v>969</v>
      </c>
      <c r="B980" s="13" t="n">
        <f aca="true">OFFSET(Datos!$B$1,1+$B$4+968,0)</f>
        <v>50.923</v>
      </c>
      <c r="C980" s="13" t="n">
        <f aca="true">OFFSET(Datos!$D$1,1+$B$4+968,0)</f>
        <v>172.501148913456</v>
      </c>
      <c r="D980" s="13" t="n">
        <f aca="true">OFFSET(Datos!$D$1,1+968,0)</f>
        <v>169.775155495803</v>
      </c>
      <c r="E980" s="13" t="n">
        <f aca="false">C980-D980</f>
        <v>2.7259934176536</v>
      </c>
    </row>
    <row r="981" customFormat="false" ht="15" hidden="false" customHeight="false" outlineLevel="0" collapsed="false">
      <c r="A981" s="2" t="n">
        <v>970</v>
      </c>
      <c r="B981" s="13" t="n">
        <f aca="true">OFFSET(Datos!$B$1,1+$B$4+969,0)</f>
        <v>50.9729999999997</v>
      </c>
      <c r="C981" s="13" t="n">
        <f aca="true">OFFSET(Datos!$D$1,1+$B$4+969,0)</f>
        <v>171.016838361435</v>
      </c>
      <c r="D981" s="13" t="n">
        <f aca="true">OFFSET(Datos!$D$1,1+969,0)</f>
        <v>159.145921999481</v>
      </c>
      <c r="E981" s="13" t="n">
        <f aca="false">C981-D981</f>
        <v>11.8709163619548</v>
      </c>
    </row>
    <row r="982" customFormat="false" ht="15" hidden="false" customHeight="false" outlineLevel="0" collapsed="false">
      <c r="A982" s="2" t="n">
        <v>971</v>
      </c>
      <c r="B982" s="13" t="n">
        <f aca="true">OFFSET(Datos!$B$1,1+$B$4+970,0)</f>
        <v>51.0229999999999</v>
      </c>
      <c r="C982" s="13" t="n">
        <f aca="true">OFFSET(Datos!$D$1,1+$B$4+970,0)</f>
        <v>168.351501865379</v>
      </c>
      <c r="D982" s="13" t="n">
        <f aca="true">OFFSET(Datos!$D$1,1+970,0)</f>
        <v>160.855019966831</v>
      </c>
      <c r="E982" s="13" t="n">
        <f aca="false">C982-D982</f>
        <v>7.49648189854736</v>
      </c>
    </row>
    <row r="983" customFormat="false" ht="15" hidden="false" customHeight="false" outlineLevel="0" collapsed="false">
      <c r="A983" s="2" t="n">
        <v>972</v>
      </c>
      <c r="B983" s="13" t="n">
        <f aca="true">OFFSET(Datos!$B$1,1+$B$4+971,0)</f>
        <v>51.0730000000001</v>
      </c>
      <c r="C983" s="13" t="n">
        <f aca="true">OFFSET(Datos!$D$1,1+$B$4+971,0)</f>
        <v>172.886498768308</v>
      </c>
      <c r="D983" s="13" t="n">
        <f aca="true">OFFSET(Datos!$D$1,1+971,0)</f>
        <v>168.704739232326</v>
      </c>
      <c r="E983" s="13" t="n">
        <f aca="false">C983-D983</f>
        <v>4.18175953598171</v>
      </c>
    </row>
    <row r="984" customFormat="false" ht="15" hidden="false" customHeight="false" outlineLevel="0" collapsed="false">
      <c r="A984" s="2" t="n">
        <v>973</v>
      </c>
      <c r="B984" s="13" t="n">
        <f aca="true">OFFSET(Datos!$B$1,1+$B$4+972,0)</f>
        <v>51.1229999999998</v>
      </c>
      <c r="C984" s="13" t="n">
        <f aca="true">OFFSET(Datos!$D$1,1+$B$4+972,0)</f>
        <v>168.829621129732</v>
      </c>
      <c r="D984" s="13" t="n">
        <f aca="true">OFFSET(Datos!$D$1,1+972,0)</f>
        <v>161.871915417134</v>
      </c>
      <c r="E984" s="13" t="n">
        <f aca="false">C984-D984</f>
        <v>6.95770571259752</v>
      </c>
    </row>
    <row r="985" customFormat="false" ht="15" hidden="false" customHeight="false" outlineLevel="0" collapsed="false">
      <c r="A985" s="2" t="n">
        <v>974</v>
      </c>
      <c r="B985" s="13" t="n">
        <f aca="true">OFFSET(Datos!$B$1,1+$B$4+973,0)</f>
        <v>51.173</v>
      </c>
      <c r="C985" s="13" t="n">
        <f aca="true">OFFSET(Datos!$D$1,1+$B$4+973,0)</f>
        <v>167.691411836235</v>
      </c>
      <c r="D985" s="13" t="n">
        <f aca="true">OFFSET(Datos!$D$1,1+973,0)</f>
        <v>173.353913870026</v>
      </c>
      <c r="E985" s="13" t="n">
        <f aca="false">C985-D985</f>
        <v>-5.6625020337909</v>
      </c>
    </row>
    <row r="986" customFormat="false" ht="15" hidden="false" customHeight="false" outlineLevel="0" collapsed="false">
      <c r="A986" s="2" t="n">
        <v>975</v>
      </c>
      <c r="B986" s="13" t="n">
        <f aca="true">OFFSET(Datos!$B$1,1+$B$4+974,0)</f>
        <v>51.2229999999997</v>
      </c>
      <c r="C986" s="13" t="n">
        <f aca="true">OFFSET(Datos!$D$1,1+$B$4+974,0)</f>
        <v>174.831088313623</v>
      </c>
      <c r="D986" s="13" t="n">
        <f aca="true">OFFSET(Datos!$D$1,1+974,0)</f>
        <v>165.932361109922</v>
      </c>
      <c r="E986" s="13" t="n">
        <f aca="false">C986-D986</f>
        <v>8.89872720370164</v>
      </c>
    </row>
    <row r="987" customFormat="false" ht="15" hidden="false" customHeight="false" outlineLevel="0" collapsed="false">
      <c r="A987" s="2" t="n">
        <v>976</v>
      </c>
      <c r="B987" s="13" t="n">
        <f aca="true">OFFSET(Datos!$B$1,1+$B$4+975,0)</f>
        <v>51.2729999999999</v>
      </c>
      <c r="C987" s="13" t="n">
        <f aca="true">OFFSET(Datos!$D$1,1+$B$4+975,0)</f>
        <v>169.792995766861</v>
      </c>
      <c r="D987" s="13" t="n">
        <f aca="true">OFFSET(Datos!$D$1,1+975,0)</f>
        <v>165.504194604531</v>
      </c>
      <c r="E987" s="13" t="n">
        <f aca="false">C987-D987</f>
        <v>4.28880116232932</v>
      </c>
    </row>
    <row r="988" customFormat="false" ht="15" hidden="false" customHeight="false" outlineLevel="0" collapsed="false">
      <c r="A988" s="2" t="n">
        <v>977</v>
      </c>
      <c r="B988" s="13" t="n">
        <f aca="true">OFFSET(Datos!$B$1,1+$B$4+976,0)</f>
        <v>51.3230000000001</v>
      </c>
      <c r="C988" s="13" t="n">
        <f aca="true">OFFSET(Datos!$D$1,1+$B$4+976,0)</f>
        <v>170.777778729259</v>
      </c>
      <c r="D988" s="13" t="n">
        <f aca="true">OFFSET(Datos!$D$1,1+976,0)</f>
        <v>162.150223645638</v>
      </c>
      <c r="E988" s="13" t="n">
        <f aca="false">C988-D988</f>
        <v>8.62755508362091</v>
      </c>
    </row>
    <row r="989" customFormat="false" ht="15" hidden="false" customHeight="false" outlineLevel="0" collapsed="false">
      <c r="A989" s="2" t="n">
        <v>978</v>
      </c>
      <c r="B989" s="13" t="n">
        <f aca="true">OFFSET(Datos!$B$1,1+$B$4+977,0)</f>
        <v>51.3729999999998</v>
      </c>
      <c r="C989" s="13" t="n">
        <f aca="true">OFFSET(Datos!$D$1,1+$B$4+977,0)</f>
        <v>163.79509663718</v>
      </c>
      <c r="D989" s="13" t="n">
        <f aca="true">OFFSET(Datos!$D$1,1+977,0)</f>
        <v>167.584370209887</v>
      </c>
      <c r="E989" s="13" t="n">
        <f aca="false">C989-D989</f>
        <v>-3.78927357270695</v>
      </c>
    </row>
    <row r="990" customFormat="false" ht="15" hidden="false" customHeight="false" outlineLevel="0" collapsed="false">
      <c r="A990" s="2" t="n">
        <v>979</v>
      </c>
      <c r="B990" s="13" t="n">
        <f aca="true">OFFSET(Datos!$B$1,1+$B$4+978,0)</f>
        <v>51.423</v>
      </c>
      <c r="C990" s="13" t="n">
        <f aca="true">OFFSET(Datos!$D$1,1+$B$4+978,0)</f>
        <v>160.40187708196</v>
      </c>
      <c r="D990" s="13" t="n">
        <f aca="true">OFFSET(Datos!$D$1,1+978,0)</f>
        <v>164.747767111674</v>
      </c>
      <c r="E990" s="13" t="n">
        <f aca="false">C990-D990</f>
        <v>-4.34589002971475</v>
      </c>
    </row>
    <row r="991" customFormat="false" ht="15" hidden="false" customHeight="false" outlineLevel="0" collapsed="false">
      <c r="A991" s="2" t="n">
        <v>980</v>
      </c>
      <c r="B991" s="13" t="n">
        <f aca="true">OFFSET(Datos!$B$1,1+$B$4+979,0)</f>
        <v>51.4739999999999</v>
      </c>
      <c r="C991" s="13" t="n">
        <f aca="true">OFFSET(Datos!$D$1,1+$B$4+979,0)</f>
        <v>171.976644944353</v>
      </c>
      <c r="D991" s="13" t="n">
        <f aca="true">OFFSET(Datos!$D$1,1+979,0)</f>
        <v>173.171943105235</v>
      </c>
      <c r="E991" s="13" t="n">
        <f aca="false">C991-D991</f>
        <v>-1.19529816088212</v>
      </c>
    </row>
    <row r="992" customFormat="false" ht="15" hidden="false" customHeight="false" outlineLevel="0" collapsed="false">
      <c r="A992" s="2" t="n">
        <v>981</v>
      </c>
      <c r="B992" s="13" t="n">
        <f aca="true">OFFSET(Datos!$B$1,1+$B$4+980,0)</f>
        <v>51.5240000000001</v>
      </c>
      <c r="C992" s="13" t="n">
        <f aca="true">OFFSET(Datos!$D$1,1+$B$4+980,0)</f>
        <v>167.284653656114</v>
      </c>
      <c r="D992" s="13" t="n">
        <f aca="true">OFFSET(Datos!$D$1,1+980,0)</f>
        <v>163.206367692268</v>
      </c>
      <c r="E992" s="13" t="n">
        <f aca="false">C992-D992</f>
        <v>4.07828596384559</v>
      </c>
    </row>
    <row r="993" customFormat="false" ht="15" hidden="false" customHeight="false" outlineLevel="0" collapsed="false">
      <c r="A993" s="2" t="n">
        <v>982</v>
      </c>
      <c r="B993" s="13" t="n">
        <f aca="true">OFFSET(Datos!$B$1,1+$B$4+981,0)</f>
        <v>51.5739999999998</v>
      </c>
      <c r="C993" s="13" t="n">
        <f aca="true">OFFSET(Datos!$D$1,1+$B$4+981,0)</f>
        <v>161.689944652343</v>
      </c>
      <c r="D993" s="13" t="n">
        <f aca="true">OFFSET(Datos!$D$1,1+981,0)</f>
        <v>165.953769435191</v>
      </c>
      <c r="E993" s="13" t="n">
        <f aca="false">C993-D993</f>
        <v>-4.26382478284822</v>
      </c>
    </row>
    <row r="994" customFormat="false" ht="15" hidden="false" customHeight="false" outlineLevel="0" collapsed="false">
      <c r="A994" s="2" t="n">
        <v>983</v>
      </c>
      <c r="B994" s="13" t="n">
        <f aca="true">OFFSET(Datos!$B$1,1+$B$4+982,0)</f>
        <v>51.624</v>
      </c>
      <c r="C994" s="13" t="n">
        <f aca="true">OFFSET(Datos!$D$1,1+$B$4+982,0)</f>
        <v>169.214970984583</v>
      </c>
      <c r="D994" s="13" t="n">
        <f aca="true">OFFSET(Datos!$D$1,1+982,0)</f>
        <v>165.076028099141</v>
      </c>
      <c r="E994" s="13" t="n">
        <f aca="false">C994-D994</f>
        <v>4.13894288544265</v>
      </c>
    </row>
    <row r="995" customFormat="false" ht="15" hidden="false" customHeight="false" outlineLevel="0" collapsed="false">
      <c r="A995" s="2" t="n">
        <v>984</v>
      </c>
      <c r="B995" s="13" t="n">
        <f aca="true">OFFSET(Datos!$B$1,1+$B$4+983,0)</f>
        <v>51.6739999999998</v>
      </c>
      <c r="C995" s="13" t="n">
        <f aca="true">OFFSET(Datos!$D$1,1+$B$4+983,0)</f>
        <v>160.052207769224</v>
      </c>
      <c r="D995" s="13" t="n">
        <f aca="true">OFFSET(Datos!$D$1,1+983,0)</f>
        <v>164.362417256823</v>
      </c>
      <c r="E995" s="13" t="n">
        <f aca="false">C995-D995</f>
        <v>-4.31020948759885</v>
      </c>
    </row>
    <row r="996" customFormat="false" ht="15" hidden="false" customHeight="false" outlineLevel="0" collapsed="false">
      <c r="A996" s="2" t="n">
        <v>985</v>
      </c>
      <c r="B996" s="13" t="n">
        <f aca="true">OFFSET(Datos!$B$1,1+$B$4+984,0)</f>
        <v>51.7239999999999</v>
      </c>
      <c r="C996" s="13" t="n">
        <f aca="true">OFFSET(Datos!$D$1,1+$B$4+984,0)</f>
        <v>167.70211599887</v>
      </c>
      <c r="D996" s="13" t="n">
        <f aca="true">OFFSET(Datos!$D$1,1+984,0)</f>
        <v>173.956915031784</v>
      </c>
      <c r="E996" s="13" t="n">
        <f aca="false">C996-D996</f>
        <v>-6.25479903291458</v>
      </c>
    </row>
    <row r="997" customFormat="false" ht="15" hidden="false" customHeight="false" outlineLevel="0" collapsed="false">
      <c r="A997" s="2" t="n">
        <v>986</v>
      </c>
      <c r="B997" s="13" t="n">
        <f aca="true">OFFSET(Datos!$B$1,1+$B$4+985,0)</f>
        <v>51.7740000000001</v>
      </c>
      <c r="C997" s="13" t="n">
        <f aca="true">OFFSET(Datos!$D$1,1+$B$4+985,0)</f>
        <v>169.329148719354</v>
      </c>
      <c r="D997" s="13" t="n">
        <f aca="true">OFFSET(Datos!$D$1,1+985,0)</f>
        <v>175.455497800651</v>
      </c>
      <c r="E997" s="13" t="n">
        <f aca="false">C997-D997</f>
        <v>-6.12634908129741</v>
      </c>
    </row>
    <row r="998" customFormat="false" ht="15" hidden="false" customHeight="false" outlineLevel="0" collapsed="false">
      <c r="A998" s="2" t="n">
        <v>987</v>
      </c>
      <c r="B998" s="13" t="n">
        <f aca="true">OFFSET(Datos!$B$1,1+$B$4+986,0)</f>
        <v>51.8239999999998</v>
      </c>
      <c r="C998" s="13" t="n">
        <f aca="true">OFFSET(Datos!$D$1,1+$B$4+986,0)</f>
        <v>166.55677059695</v>
      </c>
      <c r="D998" s="13" t="n">
        <f aca="true">OFFSET(Datos!$D$1,1+986,0)</f>
        <v>171.106039716725</v>
      </c>
      <c r="E998" s="13" t="n">
        <f aca="false">C998-D998</f>
        <v>-4.54926911977532</v>
      </c>
    </row>
    <row r="999" customFormat="false" ht="15" hidden="false" customHeight="false" outlineLevel="0" collapsed="false">
      <c r="A999" s="2" t="n">
        <v>988</v>
      </c>
      <c r="B999" s="13" t="n">
        <f aca="true">OFFSET(Datos!$B$1,1+$B$4+987,0)</f>
        <v>51.874</v>
      </c>
      <c r="C999" s="13" t="n">
        <f aca="true">OFFSET(Datos!$D$1,1+$B$4+987,0)</f>
        <v>163.79509663718</v>
      </c>
      <c r="D999" s="13" t="n">
        <f aca="true">OFFSET(Datos!$D$1,1+987,0)</f>
        <v>176.775677858939</v>
      </c>
      <c r="E999" s="13" t="n">
        <f aca="false">C999-D999</f>
        <v>-12.9805812217589</v>
      </c>
    </row>
    <row r="1000" customFormat="false" ht="15" hidden="false" customHeight="false" outlineLevel="0" collapsed="false">
      <c r="A1000" s="2" t="n">
        <v>989</v>
      </c>
      <c r="B1000" s="13" t="n">
        <f aca="true">OFFSET(Datos!$B$1,1+$B$4+988,0)</f>
        <v>51.9239999999998</v>
      </c>
      <c r="C1000" s="13" t="n">
        <f aca="true">OFFSET(Datos!$D$1,1+$B$4+988,0)</f>
        <v>168.472815708573</v>
      </c>
      <c r="D1000" s="13" t="n">
        <f aca="true">OFFSET(Datos!$D$1,1+988,0)</f>
        <v>169.796563821072</v>
      </c>
      <c r="E1000" s="13" t="n">
        <f aca="false">C1000-D1000</f>
        <v>-1.32374811249932</v>
      </c>
    </row>
    <row r="1001" customFormat="false" ht="15" hidden="false" customHeight="false" outlineLevel="0" collapsed="false">
      <c r="A1001" s="2" t="n">
        <v>990</v>
      </c>
      <c r="B1001" s="13" t="n">
        <f aca="true">OFFSET(Datos!$B$1,1+$B$4+989,0)</f>
        <v>51.9739999999999</v>
      </c>
      <c r="C1001" s="13" t="n">
        <f aca="true">OFFSET(Datos!$D$1,1+$B$4+989,0)</f>
        <v>163.630966143447</v>
      </c>
      <c r="D1001" s="13" t="n">
        <f aca="true">OFFSET(Datos!$D$1,1+989,0)</f>
        <v>161.126192086912</v>
      </c>
      <c r="E1001" s="13" t="n">
        <f aca="false">C1001-D1001</f>
        <v>2.50477405653513</v>
      </c>
    </row>
    <row r="1002" customFormat="false" ht="15" hidden="false" customHeight="false" outlineLevel="0" collapsed="false">
      <c r="A1002" s="2" t="n">
        <v>991</v>
      </c>
      <c r="B1002" s="13" t="n">
        <f aca="true">OFFSET(Datos!$B$1,1+$B$4+990,0)</f>
        <v>52.0240000000001</v>
      </c>
      <c r="C1002" s="13" t="n">
        <f aca="true">OFFSET(Datos!$D$1,1+$B$4+990,0)</f>
        <v>165.304383568682</v>
      </c>
      <c r="D1002" s="13" t="n">
        <f aca="true">OFFSET(Datos!$D$1,1+990,0)</f>
        <v>174.763295283603</v>
      </c>
      <c r="E1002" s="13" t="n">
        <f aca="false">C1002-D1002</f>
        <v>-9.45891171492104</v>
      </c>
    </row>
    <row r="1003" customFormat="false" ht="15" hidden="false" customHeight="false" outlineLevel="0" collapsed="false">
      <c r="A1003" s="2" t="n">
        <v>992</v>
      </c>
      <c r="B1003" s="13" t="n">
        <f aca="true">OFFSET(Datos!$B$1,1+$B$4+991,0)</f>
        <v>52.0739999999998</v>
      </c>
      <c r="C1003" s="13" t="n">
        <f aca="true">OFFSET(Datos!$D$1,1+$B$4+991,0)</f>
        <v>167.484464691963</v>
      </c>
      <c r="D1003" s="13" t="n">
        <f aca="true">OFFSET(Datos!$D$1,1+991,0)</f>
        <v>174.559916193543</v>
      </c>
      <c r="E1003" s="13" t="n">
        <f aca="false">C1003-D1003</f>
        <v>-7.07545150157995</v>
      </c>
    </row>
    <row r="1004" customFormat="false" ht="15" hidden="false" customHeight="false" outlineLevel="0" collapsed="false">
      <c r="A1004" s="2" t="n">
        <v>993</v>
      </c>
      <c r="B1004" s="13" t="n">
        <f aca="true">OFFSET(Datos!$B$1,1+$B$4+992,0)</f>
        <v>52.124</v>
      </c>
      <c r="C1004" s="13" t="n">
        <f aca="true">OFFSET(Datos!$D$1,1+$B$4+992,0)</f>
        <v>172.108662950181</v>
      </c>
      <c r="D1004" s="13" t="n">
        <f aca="true">OFFSET(Datos!$D$1,1+992,0)</f>
        <v>175.937185119216</v>
      </c>
      <c r="E1004" s="13" t="n">
        <f aca="false">C1004-D1004</f>
        <v>-3.82852216903441</v>
      </c>
    </row>
    <row r="1005" customFormat="false" ht="15" hidden="false" customHeight="false" outlineLevel="0" collapsed="false">
      <c r="A1005" s="2" t="n">
        <v>994</v>
      </c>
      <c r="B1005" s="13" t="n">
        <f aca="true">OFFSET(Datos!$B$1,1+$B$4+993,0)</f>
        <v>52.1739999999998</v>
      </c>
      <c r="C1005" s="13" t="n">
        <f aca="true">OFFSET(Datos!$D$1,1+$B$4+993,0)</f>
        <v>163.309841264404</v>
      </c>
      <c r="D1005" s="13" t="n">
        <f aca="true">OFFSET(Datos!$D$1,1+993,0)</f>
        <v>166.877895475993</v>
      </c>
      <c r="E1005" s="13" t="n">
        <f aca="false">C1005-D1005</f>
        <v>-3.56805421158848</v>
      </c>
    </row>
    <row r="1006" customFormat="false" ht="15" hidden="false" customHeight="false" outlineLevel="0" collapsed="false">
      <c r="A1006" s="2" t="n">
        <v>995</v>
      </c>
      <c r="B1006" s="13" t="n">
        <f aca="true">OFFSET(Datos!$B$1,1+$B$4+994,0)</f>
        <v>52.2239999999999</v>
      </c>
      <c r="C1006" s="13" t="n">
        <f aca="true">OFFSET(Datos!$D$1,1+$B$4+994,0)</f>
        <v>161.857643200288</v>
      </c>
      <c r="D1006" s="13" t="n">
        <f aca="true">OFFSET(Datos!$D$1,1+994,0)</f>
        <v>172.815137684076</v>
      </c>
      <c r="E1006" s="13" t="n">
        <f aca="false">C1006-D1006</f>
        <v>-10.9574944837882</v>
      </c>
    </row>
    <row r="1007" customFormat="false" ht="15" hidden="false" customHeight="false" outlineLevel="0" collapsed="false">
      <c r="A1007" s="2" t="n">
        <v>996</v>
      </c>
      <c r="B1007" s="13" t="n">
        <f aca="true">OFFSET(Datos!$B$1,1+$B$4+995,0)</f>
        <v>52.2740000000001</v>
      </c>
      <c r="C1007" s="13" t="n">
        <f aca="true">OFFSET(Datos!$D$1,1+$B$4+995,0)</f>
        <v>169.000887731888</v>
      </c>
      <c r="D1007" s="13" t="n">
        <f aca="true">OFFSET(Datos!$D$1,1+995,0)</f>
        <v>169.022296057157</v>
      </c>
      <c r="E1007" s="13" t="n">
        <f aca="false">C1007-D1007</f>
        <v>-0.0214083252695332</v>
      </c>
    </row>
    <row r="1008" customFormat="false" ht="15" hidden="false" customHeight="false" outlineLevel="0" collapsed="false">
      <c r="A1008" s="2" t="n">
        <v>997</v>
      </c>
      <c r="B1008" s="13" t="n">
        <f aca="true">OFFSET(Datos!$B$1,1+$B$4+996,0)</f>
        <v>52.3239999999998</v>
      </c>
      <c r="C1008" s="13" t="n">
        <f aca="true">OFFSET(Datos!$D$1,1+$B$4+996,0)</f>
        <v>162.271537488832</v>
      </c>
      <c r="D1008" s="13" t="n">
        <f aca="true">OFFSET(Datos!$D$1,1+996,0)</f>
        <v>171.734017257965</v>
      </c>
      <c r="E1008" s="13" t="n">
        <f aca="false">C1008-D1008</f>
        <v>-9.46247976913261</v>
      </c>
    </row>
    <row r="1009" customFormat="false" ht="15" hidden="false" customHeight="false" outlineLevel="0" collapsed="false">
      <c r="A1009" s="2" t="n">
        <v>998</v>
      </c>
      <c r="B1009" s="13" t="n">
        <f aca="true">OFFSET(Datos!$B$1,1+$B$4+997,0)</f>
        <v>52.374</v>
      </c>
      <c r="C1009" s="13" t="n">
        <f aca="true">OFFSET(Datos!$D$1,1+$B$4+997,0)</f>
        <v>168.529904575958</v>
      </c>
      <c r="D1009" s="13" t="n">
        <f aca="true">OFFSET(Datos!$D$1,1+997,0)</f>
        <v>173.336073598968</v>
      </c>
      <c r="E1009" s="13" t="n">
        <f aca="false">C1009-D1009</f>
        <v>-4.80616902300969</v>
      </c>
    </row>
    <row r="1010" customFormat="false" ht="15" hidden="false" customHeight="false" outlineLevel="0" collapsed="false">
      <c r="A1010" s="2" t="n">
        <v>999</v>
      </c>
      <c r="B1010" s="13" t="n">
        <f aca="true">OFFSET(Datos!$B$1,1+$B$4+998,0)</f>
        <v>52.4239999999998</v>
      </c>
      <c r="C1010" s="13" t="n">
        <f aca="true">OFFSET(Datos!$D$1,1+$B$4+998,0)</f>
        <v>158.371654235566</v>
      </c>
      <c r="D1010" s="13" t="n">
        <f aca="true">OFFSET(Datos!$D$1,1+998,0)</f>
        <v>163.855753558777</v>
      </c>
      <c r="E1010" s="13" t="n">
        <f aca="false">C1010-D1010</f>
        <v>-5.48409932321147</v>
      </c>
    </row>
    <row r="1011" customFormat="false" ht="15" hidden="false" customHeight="false" outlineLevel="0" collapsed="false">
      <c r="A1011" s="2" t="n">
        <v>1000</v>
      </c>
      <c r="B1011" s="13" t="n">
        <f aca="true">OFFSET(Datos!$B$1,1+$B$4+999,0)</f>
        <v>52.4739999999999</v>
      </c>
      <c r="C1011" s="13" t="n">
        <f aca="true">OFFSET(Datos!$D$1,1+$B$4+999,0)</f>
        <v>158.203955687621</v>
      </c>
      <c r="D1011" s="13" t="n">
        <f aca="true">OFFSET(Datos!$D$1,1+999,0)</f>
        <v>175.426953366959</v>
      </c>
      <c r="E1011" s="13" t="n">
        <f aca="false">C1011-D1011</f>
        <v>-17.2229976793375</v>
      </c>
    </row>
    <row r="1012" customFormat="false" ht="15" hidden="false" customHeight="false" outlineLevel="0" collapsed="false">
      <c r="A1012" s="2" t="n">
        <v>1001</v>
      </c>
      <c r="B1012" s="13" t="n">
        <f aca="true">OFFSET(Datos!$B$1,1+$B$4+1000,0)</f>
        <v>52.5240000000001</v>
      </c>
      <c r="C1012" s="13" t="n">
        <f aca="true">OFFSET(Datos!$D$1,1+$B$4+1000,0)</f>
        <v>167.00634542761</v>
      </c>
      <c r="D1012" s="13" t="n">
        <f aca="true">OFFSET(Datos!$D$1,1+1000,0)</f>
        <v>177.774733038184</v>
      </c>
      <c r="E1012" s="13" t="n">
        <f aca="false">C1012-D1012</f>
        <v>-10.768387610574</v>
      </c>
    </row>
    <row r="1013" customFormat="false" ht="15" hidden="false" customHeight="false" outlineLevel="0" collapsed="false">
      <c r="A1013" s="2" t="n">
        <v>1002</v>
      </c>
      <c r="B1013" s="13" t="n">
        <f aca="true">OFFSET(Datos!$B$1,1+$B$4+1001,0)</f>
        <v>52.5739999999998</v>
      </c>
      <c r="C1013" s="13" t="n">
        <f aca="true">OFFSET(Datos!$D$1,1+$B$4+1001,0)</f>
        <v>162.432099928354</v>
      </c>
      <c r="D1013" s="13" t="n">
        <f aca="true">OFFSET(Datos!$D$1,1+1001,0)</f>
        <v>176.650795961534</v>
      </c>
      <c r="E1013" s="13" t="n">
        <f aca="false">C1013-D1013</f>
        <v>-14.21869603318</v>
      </c>
    </row>
    <row r="1014" customFormat="false" ht="15" hidden="false" customHeight="false" outlineLevel="0" collapsed="false">
      <c r="A1014" s="2" t="n">
        <v>1003</v>
      </c>
      <c r="B1014" s="13" t="n">
        <f aca="true">OFFSET(Datos!$B$1,1+$B$4+1002,0)</f>
        <v>52.624</v>
      </c>
      <c r="C1014" s="13" t="n">
        <f aca="true">OFFSET(Datos!$D$1,1+$B$4+1002,0)</f>
        <v>163.991339618818</v>
      </c>
      <c r="D1014" s="13" t="n">
        <f aca="true">OFFSET(Datos!$D$1,1+1002,0)</f>
        <v>171.816082504831</v>
      </c>
      <c r="E1014" s="13" t="n">
        <f aca="false">C1014-D1014</f>
        <v>-7.82474288601352</v>
      </c>
    </row>
    <row r="1015" customFormat="false" ht="15" hidden="false" customHeight="false" outlineLevel="0" collapsed="false">
      <c r="A1015" s="2" t="n">
        <v>1004</v>
      </c>
      <c r="B1015" s="13" t="n">
        <f aca="true">OFFSET(Datos!$B$1,1+$B$4+1003,0)</f>
        <v>52.6739999999998</v>
      </c>
      <c r="C1015" s="13" t="n">
        <f aca="true">OFFSET(Datos!$D$1,1+$B$4+1003,0)</f>
        <v>158.446583374009</v>
      </c>
      <c r="D1015" s="13" t="n">
        <f aca="true">OFFSET(Datos!$D$1,1+1003,0)</f>
        <v>171.919556076967</v>
      </c>
      <c r="E1015" s="13" t="n">
        <f aca="false">C1015-D1015</f>
        <v>-13.4729727029581</v>
      </c>
    </row>
    <row r="1016" customFormat="false" ht="15" hidden="false" customHeight="false" outlineLevel="0" collapsed="false">
      <c r="A1016" s="2" t="n">
        <v>1005</v>
      </c>
      <c r="B1016" s="13" t="n">
        <f aca="true">OFFSET(Datos!$B$1,1+$B$4+1004,0)</f>
        <v>52.7239999999999</v>
      </c>
      <c r="C1016" s="13" t="n">
        <f aca="true">OFFSET(Datos!$D$1,1+$B$4+1004,0)</f>
        <v>164.101949299377</v>
      </c>
      <c r="D1016" s="13" t="n">
        <f aca="true">OFFSET(Datos!$D$1,1+1004,0)</f>
        <v>168.28727688957</v>
      </c>
      <c r="E1016" s="13" t="n">
        <f aca="false">C1016-D1016</f>
        <v>-4.18532759019328</v>
      </c>
    </row>
    <row r="1017" customFormat="false" ht="15" hidden="false" customHeight="false" outlineLevel="0" collapsed="false">
      <c r="A1017" s="2" t="n">
        <v>1006</v>
      </c>
      <c r="B1017" s="13" t="n">
        <f aca="true">OFFSET(Datos!$B$1,1+$B$4+1005,0)</f>
        <v>52.7740000000001</v>
      </c>
      <c r="C1017" s="13" t="n">
        <f aca="true">OFFSET(Datos!$D$1,1+$B$4+1005,0)</f>
        <v>159.417094119561</v>
      </c>
      <c r="D1017" s="13" t="n">
        <f aca="true">OFFSET(Datos!$D$1,1+1005,0)</f>
        <v>169.100793249812</v>
      </c>
      <c r="E1017" s="13" t="n">
        <f aca="false">C1017-D1017</f>
        <v>-9.68369913025111</v>
      </c>
    </row>
    <row r="1018" customFormat="false" ht="15" hidden="false" customHeight="false" outlineLevel="0" collapsed="false">
      <c r="A1018" s="2" t="n">
        <v>1007</v>
      </c>
      <c r="B1018" s="13" t="n">
        <f aca="true">OFFSET(Datos!$B$1,1+$B$4+1006,0)</f>
        <v>52.8239999999998</v>
      </c>
      <c r="C1018" s="13" t="n">
        <f aca="true">OFFSET(Datos!$D$1,1+$B$4+1006,0)</f>
        <v>163.117166336979</v>
      </c>
      <c r="D1018" s="13" t="n">
        <f aca="true">OFFSET(Datos!$D$1,1+1006,0)</f>
        <v>170.413837199677</v>
      </c>
      <c r="E1018" s="13" t="n">
        <f aca="false">C1018-D1018</f>
        <v>-7.29667086269842</v>
      </c>
    </row>
    <row r="1019" customFormat="false" ht="15" hidden="false" customHeight="false" outlineLevel="0" collapsed="false">
      <c r="A1019" s="2" t="n">
        <v>1008</v>
      </c>
      <c r="B1019" s="13" t="n">
        <f aca="true">OFFSET(Datos!$B$1,1+$B$4+1007,0)</f>
        <v>52.874</v>
      </c>
      <c r="C1019" s="13" t="n">
        <f aca="true">OFFSET(Datos!$D$1,1+$B$4+1007,0)</f>
        <v>161.21182538799</v>
      </c>
      <c r="D1019" s="13" t="n">
        <f aca="true">OFFSET(Datos!$D$1,1+1007,0)</f>
        <v>169.974966531652</v>
      </c>
      <c r="E1019" s="13" t="n">
        <f aca="false">C1019-D1019</f>
        <v>-8.7631411436613</v>
      </c>
    </row>
    <row r="1020" customFormat="false" ht="15" hidden="false" customHeight="false" outlineLevel="0" collapsed="false">
      <c r="A1020" s="2" t="n">
        <v>1009</v>
      </c>
      <c r="B1020" s="13" t="n">
        <f aca="true">OFFSET(Datos!$B$1,1+$B$4+1008,0)</f>
        <v>52.925</v>
      </c>
      <c r="C1020" s="13" t="n">
        <f aca="true">OFFSET(Datos!$D$1,1+$B$4+1008,0)</f>
        <v>161.711352977613</v>
      </c>
      <c r="D1020" s="13" t="n">
        <f aca="true">OFFSET(Datos!$D$1,1+1008,0)</f>
        <v>174.906017452067</v>
      </c>
      <c r="E1020" s="13" t="n">
        <f aca="false">C1020-D1020</f>
        <v>-13.1946644744542</v>
      </c>
    </row>
    <row r="1021" customFormat="false" ht="15" hidden="false" customHeight="false" outlineLevel="0" collapsed="false">
      <c r="A1021" s="2" t="n">
        <v>1010</v>
      </c>
      <c r="B1021" s="13" t="n">
        <f aca="true">OFFSET(Datos!$B$1,1+$B$4+1009,0)</f>
        <v>52.9750000000001</v>
      </c>
      <c r="C1021" s="13" t="n">
        <f aca="true">OFFSET(Datos!$D$1,1+$B$4+1009,0)</f>
        <v>168.437135166457</v>
      </c>
      <c r="D1021" s="13" t="n">
        <f aca="true">OFFSET(Datos!$D$1,1+1009,0)</f>
        <v>173.703583182762</v>
      </c>
      <c r="E1021" s="13" t="n">
        <f aca="false">C1021-D1021</f>
        <v>-5.26644801630459</v>
      </c>
    </row>
    <row r="1022" customFormat="false" ht="15" hidden="false" customHeight="false" outlineLevel="0" collapsed="false">
      <c r="A1022" s="2" t="n">
        <v>1011</v>
      </c>
      <c r="B1022" s="13" t="n">
        <f aca="true">OFFSET(Datos!$B$1,1+$B$4+1010,0)</f>
        <v>53.0249999999999</v>
      </c>
      <c r="C1022" s="13" t="n">
        <f aca="true">OFFSET(Datos!$D$1,1+$B$4+1010,0)</f>
        <v>160.112864690821</v>
      </c>
      <c r="D1022" s="13" t="n">
        <f aca="true">OFFSET(Datos!$D$1,1+1010,0)</f>
        <v>166.788694120703</v>
      </c>
      <c r="E1022" s="13" t="n">
        <f aca="false">C1022-D1022</f>
        <v>-6.67582942988202</v>
      </c>
    </row>
    <row r="1023" customFormat="false" ht="15" hidden="false" customHeight="false" outlineLevel="0" collapsed="false">
      <c r="A1023" s="2" t="n">
        <v>1012</v>
      </c>
      <c r="B1023" s="13" t="n">
        <f aca="true">OFFSET(Datos!$B$1,1+$B$4+1011,0)</f>
        <v>53.075</v>
      </c>
      <c r="C1023" s="13" t="n">
        <f aca="true">OFFSET(Datos!$D$1,1+$B$4+1011,0)</f>
        <v>165.022507285967</v>
      </c>
      <c r="D1023" s="13" t="n">
        <f aca="true">OFFSET(Datos!$D$1,1+1011,0)</f>
        <v>172.005189378045</v>
      </c>
      <c r="E1023" s="13" t="n">
        <f aca="false">C1023-D1023</f>
        <v>-6.98268209207865</v>
      </c>
    </row>
    <row r="1024" customFormat="false" ht="15" hidden="false" customHeight="false" outlineLevel="0" collapsed="false">
      <c r="A1024" s="2" t="n">
        <v>1013</v>
      </c>
      <c r="B1024" s="13" t="n">
        <f aca="true">OFFSET(Datos!$B$1,1+$B$4+1012,0)</f>
        <v>53.1249999999998</v>
      </c>
      <c r="C1024" s="13" t="n">
        <f aca="true">OFFSET(Datos!$D$1,1+$B$4+1012,0)</f>
        <v>166.203533230003</v>
      </c>
      <c r="D1024" s="13" t="n">
        <f aca="true">OFFSET(Datos!$D$1,1+1012,0)</f>
        <v>168.73685172023</v>
      </c>
      <c r="E1024" s="13" t="n">
        <f aca="false">C1024-D1024</f>
        <v>-2.5333184902278</v>
      </c>
    </row>
    <row r="1025" customFormat="false" ht="15" hidden="false" customHeight="false" outlineLevel="0" collapsed="false">
      <c r="A1025" s="2" t="n">
        <v>1014</v>
      </c>
      <c r="B1025" s="13" t="n">
        <f aca="true">OFFSET(Datos!$B$1,1+$B$4+1013,0)</f>
        <v>53.175</v>
      </c>
      <c r="C1025" s="13" t="n">
        <f aca="true">OFFSET(Datos!$D$1,1+$B$4+1013,0)</f>
        <v>165.307951622894</v>
      </c>
      <c r="D1025" s="13" t="n">
        <f aca="true">OFFSET(Datos!$D$1,1+1013,0)</f>
        <v>176.568730714667</v>
      </c>
      <c r="E1025" s="13" t="n">
        <f aca="false">C1025-D1025</f>
        <v>-11.2607790917732</v>
      </c>
    </row>
    <row r="1026" customFormat="false" ht="15" hidden="false" customHeight="false" outlineLevel="0" collapsed="false">
      <c r="A1026" s="2" t="n">
        <v>1015</v>
      </c>
      <c r="B1026" s="13" t="n">
        <f aca="true">OFFSET(Datos!$B$1,1+$B$4+1014,0)</f>
        <v>53.2250000000001</v>
      </c>
      <c r="C1026" s="13" t="n">
        <f aca="true">OFFSET(Datos!$D$1,1+$B$4+1014,0)</f>
        <v>164.105517353589</v>
      </c>
      <c r="D1026" s="13" t="n">
        <f aca="true">OFFSET(Datos!$D$1,1+1014,0)</f>
        <v>175.983569823967</v>
      </c>
      <c r="E1026" s="13" t="n">
        <f aca="false">C1026-D1026</f>
        <v>-11.878052470378</v>
      </c>
    </row>
    <row r="1027" customFormat="false" ht="15" hidden="false" customHeight="false" outlineLevel="0" collapsed="false">
      <c r="A1027" s="2" t="n">
        <v>1016</v>
      </c>
      <c r="B1027" s="13" t="n">
        <f aca="true">OFFSET(Datos!$B$1,1+$B$4+1015,0)</f>
        <v>53.2749999999999</v>
      </c>
      <c r="C1027" s="13" t="n">
        <f aca="true">OFFSET(Datos!$D$1,1+$B$4+1015,0)</f>
        <v>163.812936908238</v>
      </c>
      <c r="D1027" s="13" t="n">
        <f aca="true">OFFSET(Datos!$D$1,1+1015,0)</f>
        <v>167.969720064739</v>
      </c>
      <c r="E1027" s="13" t="n">
        <f aca="false">C1027-D1027</f>
        <v>-4.15678315650058</v>
      </c>
    </row>
    <row r="1028" customFormat="false" ht="15" hidden="false" customHeight="false" outlineLevel="0" collapsed="false">
      <c r="A1028" s="2" t="n">
        <v>1017</v>
      </c>
      <c r="B1028" s="13" t="n">
        <f aca="true">OFFSET(Datos!$B$1,1+$B$4+1016,0)</f>
        <v>53.325</v>
      </c>
      <c r="C1028" s="13" t="n">
        <f aca="true">OFFSET(Datos!$D$1,1+$B$4+1016,0)</f>
        <v>168.176667209011</v>
      </c>
      <c r="D1028" s="13" t="n">
        <f aca="true">OFFSET(Datos!$D$1,1+1016,0)</f>
        <v>168.026808932124</v>
      </c>
      <c r="E1028" s="13" t="n">
        <f aca="false">C1028-D1028</f>
        <v>0.149858276886704</v>
      </c>
    </row>
    <row r="1029" customFormat="false" ht="15" hidden="false" customHeight="false" outlineLevel="0" collapsed="false">
      <c r="A1029" s="2" t="n">
        <v>1018</v>
      </c>
      <c r="B1029" s="13" t="n">
        <f aca="true">OFFSET(Datos!$B$1,1+$B$4+1017,0)</f>
        <v>53.3749999999998</v>
      </c>
      <c r="C1029" s="13" t="n">
        <f aca="true">OFFSET(Datos!$D$1,1+$B$4+1017,0)</f>
        <v>166.296302639504</v>
      </c>
      <c r="D1029" s="13" t="n">
        <f aca="true">OFFSET(Datos!$D$1,1+1017,0)</f>
        <v>170.049895670095</v>
      </c>
      <c r="E1029" s="13" t="n">
        <f aca="false">C1029-D1029</f>
        <v>-3.75359303059108</v>
      </c>
    </row>
    <row r="1030" customFormat="false" ht="15" hidden="false" customHeight="false" outlineLevel="0" collapsed="false">
      <c r="A1030" s="2" t="n">
        <v>1019</v>
      </c>
      <c r="B1030" s="13" t="n">
        <f aca="true">OFFSET(Datos!$B$1,1+$B$4+1018,0)</f>
        <v>53.425</v>
      </c>
      <c r="C1030" s="13" t="n">
        <f aca="true">OFFSET(Datos!$D$1,1+$B$4+1018,0)</f>
        <v>167.116955108169</v>
      </c>
      <c r="D1030" s="13" t="n">
        <f aca="true">OFFSET(Datos!$D$1,1+1018,0)</f>
        <v>172.501148913456</v>
      </c>
      <c r="E1030" s="13" t="n">
        <f aca="false">C1030-D1030</f>
        <v>-5.384193805287</v>
      </c>
    </row>
    <row r="1031" customFormat="false" ht="15" hidden="false" customHeight="false" outlineLevel="0" collapsed="false">
      <c r="A1031" s="2" t="n">
        <v>1020</v>
      </c>
      <c r="B1031" s="13" t="n">
        <f aca="true">OFFSET(Datos!$B$1,1+$B$4+1019,0)</f>
        <v>53.4750000000001</v>
      </c>
      <c r="C1031" s="13" t="n">
        <f aca="true">OFFSET(Datos!$D$1,1+$B$4+1019,0)</f>
        <v>166.396208157428</v>
      </c>
      <c r="D1031" s="13" t="n">
        <f aca="true">OFFSET(Datos!$D$1,1+1019,0)</f>
        <v>171.016838361435</v>
      </c>
      <c r="E1031" s="13" t="n">
        <f aca="false">C1031-D1031</f>
        <v>-4.62063020400706</v>
      </c>
    </row>
    <row r="1032" customFormat="false" ht="15" hidden="false" customHeight="false" outlineLevel="0" collapsed="false">
      <c r="A1032" s="2" t="n">
        <v>1021</v>
      </c>
      <c r="B1032" s="13" t="n">
        <f aca="true">OFFSET(Datos!$B$1,1+$B$4+1020,0)</f>
        <v>53.5249999999999</v>
      </c>
      <c r="C1032" s="13" t="n">
        <f aca="true">OFFSET(Datos!$D$1,1+$B$4+1020,0)</f>
        <v>160.17708966663</v>
      </c>
      <c r="D1032" s="13" t="n">
        <f aca="true">OFFSET(Datos!$D$1,1+1020,0)</f>
        <v>168.351501865379</v>
      </c>
      <c r="E1032" s="13" t="n">
        <f aca="false">C1032-D1032</f>
        <v>-8.17441219874917</v>
      </c>
    </row>
    <row r="1033" customFormat="false" ht="15" hidden="false" customHeight="false" outlineLevel="0" collapsed="false">
      <c r="A1033" s="2" t="n">
        <v>1022</v>
      </c>
      <c r="B1033" s="13" t="n">
        <f aca="true">OFFSET(Datos!$B$1,1+$B$4+1021,0)</f>
        <v>53.575</v>
      </c>
      <c r="C1033" s="13" t="n">
        <f aca="true">OFFSET(Datos!$D$1,1+$B$4+1021,0)</f>
        <v>165.083164207564</v>
      </c>
      <c r="D1033" s="13" t="n">
        <f aca="true">OFFSET(Datos!$D$1,1+1021,0)</f>
        <v>172.886498768308</v>
      </c>
      <c r="E1033" s="13" t="n">
        <f aca="false">C1033-D1033</f>
        <v>-7.80333456074399</v>
      </c>
    </row>
    <row r="1034" customFormat="false" ht="15" hidden="false" customHeight="false" outlineLevel="0" collapsed="false">
      <c r="A1034" s="2" t="n">
        <v>1023</v>
      </c>
      <c r="B1034" s="13" t="n">
        <f aca="true">OFFSET(Datos!$B$1,1+$B$4+1022,0)</f>
        <v>53.6249999999998</v>
      </c>
      <c r="C1034" s="13" t="n">
        <f aca="true">OFFSET(Datos!$D$1,1+$B$4+1022,0)</f>
        <v>160.872860237889</v>
      </c>
      <c r="D1034" s="13" t="n">
        <f aca="true">OFFSET(Datos!$D$1,1+1022,0)</f>
        <v>168.829621129732</v>
      </c>
      <c r="E1034" s="13" t="n">
        <f aca="false">C1034-D1034</f>
        <v>-7.95676089184229</v>
      </c>
    </row>
    <row r="1035" customFormat="false" ht="15" hidden="false" customHeight="false" outlineLevel="0" collapsed="false">
      <c r="A1035" s="2" t="n">
        <v>1024</v>
      </c>
      <c r="B1035" s="13" t="n">
        <f aca="true">OFFSET(Datos!$B$1,1+$B$4+1023,0)</f>
        <v>53.675</v>
      </c>
      <c r="C1035" s="13" t="n">
        <f aca="true">OFFSET(Datos!$D$1,1+$B$4+1023,0)</f>
        <v>160.755114448907</v>
      </c>
      <c r="D1035" s="13" t="n">
        <f aca="true">OFFSET(Datos!$D$1,1+1023,0)</f>
        <v>167.691411836235</v>
      </c>
      <c r="E1035" s="13" t="n">
        <f aca="false">C1035-D1035</f>
        <v>-6.93629738732798</v>
      </c>
    </row>
    <row r="1036" customFormat="false" ht="15" hidden="false" customHeight="false" outlineLevel="0" collapsed="false">
      <c r="A1036" s="2" t="n">
        <v>1025</v>
      </c>
      <c r="B1036" s="13" t="n">
        <f aca="true">OFFSET(Datos!$B$1,1+$B$4+1024,0)</f>
        <v>53.7250000000001</v>
      </c>
      <c r="C1036" s="13" t="n">
        <f aca="true">OFFSET(Datos!$D$1,1+$B$4+1024,0)</f>
        <v>159.442070499042</v>
      </c>
      <c r="D1036" s="13" t="n">
        <f aca="true">OFFSET(Datos!$D$1,1+1024,0)</f>
        <v>174.831088313623</v>
      </c>
      <c r="E1036" s="13" t="n">
        <f aca="false">C1036-D1036</f>
        <v>-15.3890178145811</v>
      </c>
    </row>
    <row r="1037" customFormat="false" ht="15" hidden="false" customHeight="false" outlineLevel="0" collapsed="false">
      <c r="A1037" s="2" t="n">
        <v>1026</v>
      </c>
      <c r="B1037" s="13" t="n">
        <f aca="true">OFFSET(Datos!$B$1,1+$B$4+1025,0)</f>
        <v>53.7749999999999</v>
      </c>
      <c r="C1037" s="13" t="n">
        <f aca="true">OFFSET(Datos!$D$1,1+$B$4+1025,0)</f>
        <v>161.864779308711</v>
      </c>
      <c r="D1037" s="13" t="n">
        <f aca="true">OFFSET(Datos!$D$1,1+1025,0)</f>
        <v>169.792995766861</v>
      </c>
      <c r="E1037" s="13" t="n">
        <f aca="false">C1037-D1037</f>
        <v>-7.92821645814959</v>
      </c>
    </row>
    <row r="1038" customFormat="false" ht="15" hidden="false" customHeight="false" outlineLevel="0" collapsed="false">
      <c r="A1038" s="2" t="n">
        <v>1027</v>
      </c>
      <c r="B1038" s="13" t="n">
        <f aca="true">OFFSET(Datos!$B$1,1+$B$4+1026,0)</f>
        <v>53.825</v>
      </c>
      <c r="C1038" s="13" t="n">
        <f aca="true">OFFSET(Datos!$D$1,1+$B$4+1026,0)</f>
        <v>155.849039907973</v>
      </c>
      <c r="D1038" s="13" t="n">
        <f aca="true">OFFSET(Datos!$D$1,1+1026,0)</f>
        <v>170.777778729259</v>
      </c>
      <c r="E1038" s="13" t="n">
        <f aca="false">C1038-D1038</f>
        <v>-14.9287388212861</v>
      </c>
    </row>
    <row r="1039" customFormat="false" ht="15" hidden="false" customHeight="false" outlineLevel="0" collapsed="false">
      <c r="A1039" s="2" t="n">
        <v>1028</v>
      </c>
      <c r="B1039" s="13" t="n">
        <f aca="true">OFFSET(Datos!$B$1,1+$B$4+1027,0)</f>
        <v>53.8749999999998</v>
      </c>
      <c r="C1039" s="13" t="n">
        <f aca="true">OFFSET(Datos!$D$1,1+$B$4+1027,0)</f>
        <v>160.080752202917</v>
      </c>
      <c r="D1039" s="13" t="n">
        <f aca="true">OFFSET(Datos!$D$1,1+1027,0)</f>
        <v>163.79509663718</v>
      </c>
      <c r="E1039" s="13" t="n">
        <f aca="false">C1039-D1039</f>
        <v>-3.71434443426361</v>
      </c>
    </row>
    <row r="1040" customFormat="false" ht="15" hidden="false" customHeight="false" outlineLevel="0" collapsed="false">
      <c r="A1040" s="2" t="n">
        <v>1029</v>
      </c>
      <c r="B1040" s="13" t="n">
        <f aca="true">OFFSET(Datos!$B$1,1+$B$4+1028,0)</f>
        <v>53.925</v>
      </c>
      <c r="C1040" s="13" t="n">
        <f aca="true">OFFSET(Datos!$D$1,1+$B$4+1028,0)</f>
        <v>158.913998475727</v>
      </c>
      <c r="D1040" s="13" t="n">
        <f aca="true">OFFSET(Datos!$D$1,1+1028,0)</f>
        <v>160.40187708196</v>
      </c>
      <c r="E1040" s="13" t="n">
        <f aca="false">C1040-D1040</f>
        <v>-1.48787860623239</v>
      </c>
    </row>
    <row r="1041" customFormat="false" ht="15" hidden="false" customHeight="false" outlineLevel="0" collapsed="false">
      <c r="A1041" s="2" t="n">
        <v>1030</v>
      </c>
      <c r="B1041" s="13" t="n">
        <f aca="true">OFFSET(Datos!$B$1,1+$B$4+1029,0)</f>
        <v>53.9750000000001</v>
      </c>
      <c r="C1041" s="13" t="n">
        <f aca="true">OFFSET(Datos!$D$1,1+$B$4+1029,0)</f>
        <v>163.930682697221</v>
      </c>
      <c r="D1041" s="13" t="n">
        <f aca="true">OFFSET(Datos!$D$1,1+1029,0)</f>
        <v>171.976644944353</v>
      </c>
      <c r="E1041" s="13" t="n">
        <f aca="false">C1041-D1041</f>
        <v>-8.045962247132</v>
      </c>
    </row>
    <row r="1042" customFormat="false" ht="15" hidden="false" customHeight="false" outlineLevel="0" collapsed="false">
      <c r="A1042" s="2" t="n">
        <v>1031</v>
      </c>
      <c r="B1042" s="13" t="n">
        <f aca="true">OFFSET(Datos!$B$1,1+$B$4+1030,0)</f>
        <v>54.0249999999999</v>
      </c>
      <c r="C1042" s="13" t="n">
        <f aca="true">OFFSET(Datos!$D$1,1+$B$4+1030,0)</f>
        <v>155.756270498471</v>
      </c>
      <c r="D1042" s="13" t="n">
        <f aca="true">OFFSET(Datos!$D$1,1+1030,0)</f>
        <v>167.284653656114</v>
      </c>
      <c r="E1042" s="13" t="n">
        <f aca="false">C1042-D1042</f>
        <v>-11.5283831576423</v>
      </c>
    </row>
    <row r="1043" customFormat="false" ht="15" hidden="false" customHeight="false" outlineLevel="0" collapsed="false">
      <c r="A1043" s="2" t="n">
        <v>1032</v>
      </c>
      <c r="B1043" s="13" t="n">
        <f aca="true">OFFSET(Datos!$B$1,1+$B$4+1031,0)</f>
        <v>54.075</v>
      </c>
      <c r="C1043" s="13" t="n">
        <f aca="true">OFFSET(Datos!$D$1,1+$B$4+1031,0)</f>
        <v>158.846205445707</v>
      </c>
      <c r="D1043" s="13" t="n">
        <f aca="true">OFFSET(Datos!$D$1,1+1031,0)</f>
        <v>161.689944652343</v>
      </c>
      <c r="E1043" s="13" t="n">
        <f aca="false">C1043-D1043</f>
        <v>-2.84373920663603</v>
      </c>
    </row>
    <row r="1044" customFormat="false" ht="15" hidden="false" customHeight="false" outlineLevel="0" collapsed="false">
      <c r="A1044" s="2" t="n">
        <v>1033</v>
      </c>
      <c r="B1044" s="13" t="n">
        <f aca="true">OFFSET(Datos!$B$1,1+$B$4+1032,0)</f>
        <v>54.1249999999998</v>
      </c>
      <c r="C1044" s="13" t="n">
        <f aca="true">OFFSET(Datos!$D$1,1+$B$4+1032,0)</f>
        <v>158.617849976165</v>
      </c>
      <c r="D1044" s="13" t="n">
        <f aca="true">OFFSET(Datos!$D$1,1+1032,0)</f>
        <v>169.214970984583</v>
      </c>
      <c r="E1044" s="13" t="n">
        <f aca="false">C1044-D1044</f>
        <v>-10.5971210084178</v>
      </c>
    </row>
    <row r="1045" customFormat="false" ht="15" hidden="false" customHeight="false" outlineLevel="0" collapsed="false">
      <c r="A1045" s="2" t="n">
        <v>1034</v>
      </c>
      <c r="B1045" s="13" t="n">
        <f aca="true">OFFSET(Datos!$B$1,1+$B$4+1033,0)</f>
        <v>54.175</v>
      </c>
      <c r="C1045" s="13" t="n">
        <f aca="true">OFFSET(Datos!$D$1,1+$B$4+1033,0)</f>
        <v>162.817449783205</v>
      </c>
      <c r="D1045" s="13" t="n">
        <f aca="true">OFFSET(Datos!$D$1,1+1033,0)</f>
        <v>160.052207769224</v>
      </c>
      <c r="E1045" s="13" t="n">
        <f aca="false">C1045-D1045</f>
        <v>2.76524201398107</v>
      </c>
    </row>
    <row r="1046" customFormat="false" ht="15" hidden="false" customHeight="false" outlineLevel="0" collapsed="false">
      <c r="A1046" s="2" t="n">
        <v>1035</v>
      </c>
      <c r="B1046" s="13" t="n">
        <f aca="true">OFFSET(Datos!$B$1,1+$B$4+1034,0)</f>
        <v>54.2250000000001</v>
      </c>
      <c r="C1046" s="13" t="n">
        <f aca="true">OFFSET(Datos!$D$1,1+$B$4+1034,0)</f>
        <v>161.968252880847</v>
      </c>
      <c r="D1046" s="13" t="n">
        <f aca="true">OFFSET(Datos!$D$1,1+1034,0)</f>
        <v>167.70211599887</v>
      </c>
      <c r="E1046" s="13" t="n">
        <f aca="false">C1046-D1046</f>
        <v>-5.73386311802267</v>
      </c>
    </row>
    <row r="1047" customFormat="false" ht="15" hidden="false" customHeight="false" outlineLevel="0" collapsed="false">
      <c r="A1047" s="2" t="n">
        <v>1036</v>
      </c>
      <c r="B1047" s="13" t="n">
        <f aca="true">OFFSET(Datos!$B$1,1+$B$4+1035,0)</f>
        <v>54.2749999999999</v>
      </c>
      <c r="C1047" s="13" t="n">
        <f aca="true">OFFSET(Datos!$D$1,1+$B$4+1035,0)</f>
        <v>165.843159754632</v>
      </c>
      <c r="D1047" s="13" t="n">
        <f aca="true">OFFSET(Datos!$D$1,1+1035,0)</f>
        <v>169.329148719354</v>
      </c>
      <c r="E1047" s="13" t="n">
        <f aca="false">C1047-D1047</f>
        <v>-3.48598896472191</v>
      </c>
    </row>
    <row r="1048" customFormat="false" ht="15" hidden="false" customHeight="false" outlineLevel="0" collapsed="false">
      <c r="A1048" s="2" t="n">
        <v>1037</v>
      </c>
      <c r="B1048" s="13" t="n">
        <f aca="true">OFFSET(Datos!$B$1,1+$B$4+1036,0)</f>
        <v>54.325</v>
      </c>
      <c r="C1048" s="13" t="n">
        <f aca="true">OFFSET(Datos!$D$1,1+$B$4+1036,0)</f>
        <v>161.664968272862</v>
      </c>
      <c r="D1048" s="13" t="n">
        <f aca="true">OFFSET(Datos!$D$1,1+1036,0)</f>
        <v>166.55677059695</v>
      </c>
      <c r="E1048" s="13" t="n">
        <f aca="false">C1048-D1048</f>
        <v>-4.89180232408779</v>
      </c>
    </row>
    <row r="1049" customFormat="false" ht="15" hidden="false" customHeight="false" outlineLevel="0" collapsed="false">
      <c r="A1049" s="2" t="n">
        <v>1038</v>
      </c>
      <c r="B1049" s="13" t="n">
        <f aca="true">OFFSET(Datos!$B$1,1+$B$4+1037,0)</f>
        <v>54.3749999999998</v>
      </c>
      <c r="C1049" s="13" t="n">
        <f aca="true">OFFSET(Datos!$D$1,1+$B$4+1037,0)</f>
        <v>160.676617256252</v>
      </c>
      <c r="D1049" s="13" t="n">
        <f aca="true">OFFSET(Datos!$D$1,1+1037,0)</f>
        <v>163.79509663718</v>
      </c>
      <c r="E1049" s="13" t="n">
        <f aca="false">C1049-D1049</f>
        <v>-3.11847938092834</v>
      </c>
    </row>
    <row r="1050" customFormat="false" ht="15" hidden="false" customHeight="false" outlineLevel="0" collapsed="false">
      <c r="A1050" s="2" t="n">
        <v>1039</v>
      </c>
      <c r="B1050" s="13" t="n">
        <f aca="true">OFFSET(Datos!$B$1,1+$B$4+1038,0)</f>
        <v>54.425</v>
      </c>
      <c r="C1050" s="13" t="n">
        <f aca="true">OFFSET(Datos!$D$1,1+$B$4+1038,0)</f>
        <v>163.077917740651</v>
      </c>
      <c r="D1050" s="13" t="n">
        <f aca="true">OFFSET(Datos!$D$1,1+1038,0)</f>
        <v>168.472815708573</v>
      </c>
      <c r="E1050" s="13" t="n">
        <f aca="false">C1050-D1050</f>
        <v>-5.39489796792176</v>
      </c>
    </row>
    <row r="1051" customFormat="false" ht="15" hidden="false" customHeight="false" outlineLevel="0" collapsed="false">
      <c r="A1051" s="2" t="n">
        <v>1040</v>
      </c>
      <c r="B1051" s="13" t="n">
        <f aca="true">OFFSET(Datos!$B$1,1+$B$4+1039,0)</f>
        <v>54.4750000000001</v>
      </c>
      <c r="C1051" s="13" t="n">
        <f aca="true">OFFSET(Datos!$D$1,1+$B$4+1039,0)</f>
        <v>165.111708641256</v>
      </c>
      <c r="D1051" s="13" t="n">
        <f aca="true">OFFSET(Datos!$D$1,1+1039,0)</f>
        <v>163.630966143447</v>
      </c>
      <c r="E1051" s="13" t="n">
        <f aca="false">C1051-D1051</f>
        <v>1.48074249780922</v>
      </c>
    </row>
    <row r="1052" customFormat="false" ht="15" hidden="false" customHeight="false" outlineLevel="0" collapsed="false">
      <c r="A1052" s="2" t="n">
        <v>1041</v>
      </c>
      <c r="B1052" s="13" t="n">
        <f aca="true">OFFSET(Datos!$B$1,1+$B$4+1040,0)</f>
        <v>54.5249999999999</v>
      </c>
      <c r="C1052" s="13" t="n">
        <f aca="true">OFFSET(Datos!$D$1,1+$B$4+1040,0)</f>
        <v>161.108351815854</v>
      </c>
      <c r="D1052" s="13" t="n">
        <f aca="true">OFFSET(Datos!$D$1,1+1040,0)</f>
        <v>165.304383568682</v>
      </c>
      <c r="E1052" s="13" t="n">
        <f aca="false">C1052-D1052</f>
        <v>-4.19603175282805</v>
      </c>
    </row>
    <row r="1053" customFormat="false" ht="15" hidden="false" customHeight="false" outlineLevel="0" collapsed="false">
      <c r="A1053" s="2" t="n">
        <v>1042</v>
      </c>
      <c r="B1053" s="13" t="n">
        <f aca="true">OFFSET(Datos!$B$1,1+$B$4+1041,0)</f>
        <v>54.575</v>
      </c>
      <c r="C1053" s="13" t="n">
        <f aca="true">OFFSET(Datos!$D$1,1+$B$4+1041,0)</f>
        <v>160.619528388867</v>
      </c>
      <c r="D1053" s="13" t="n">
        <f aca="true">OFFSET(Datos!$D$1,1+1041,0)</f>
        <v>167.484464691963</v>
      </c>
      <c r="E1053" s="13" t="n">
        <f aca="false">C1053-D1053</f>
        <v>-6.86493630309622</v>
      </c>
    </row>
    <row r="1054" customFormat="false" ht="15" hidden="false" customHeight="false" outlineLevel="0" collapsed="false">
      <c r="A1054" s="2" t="n">
        <v>1043</v>
      </c>
      <c r="B1054" s="13" t="n">
        <f aca="true">OFFSET(Datos!$B$1,1+$B$4+1042,0)</f>
        <v>54.6249999999998</v>
      </c>
      <c r="C1054" s="13" t="n">
        <f aca="true">OFFSET(Datos!$D$1,1+$B$4+1042,0)</f>
        <v>162.60336653051</v>
      </c>
      <c r="D1054" s="13" t="n">
        <f aca="true">OFFSET(Datos!$D$1,1+1042,0)</f>
        <v>172.108662950181</v>
      </c>
      <c r="E1054" s="13" t="n">
        <f aca="false">C1054-D1054</f>
        <v>-9.50529641967168</v>
      </c>
    </row>
    <row r="1055" customFormat="false" ht="15" hidden="false" customHeight="false" outlineLevel="0" collapsed="false">
      <c r="A1055" s="2" t="n">
        <v>1044</v>
      </c>
      <c r="B1055" s="13" t="n">
        <f aca="true">OFFSET(Datos!$B$1,1+$B$4+1043,0)</f>
        <v>54.675</v>
      </c>
      <c r="C1055" s="13" t="n">
        <f aca="true">OFFSET(Datos!$D$1,1+$B$4+1043,0)</f>
        <v>164.537251913191</v>
      </c>
      <c r="D1055" s="13" t="n">
        <f aca="true">OFFSET(Datos!$D$1,1+1043,0)</f>
        <v>163.309841264404</v>
      </c>
      <c r="E1055" s="13" t="n">
        <f aca="false">C1055-D1055</f>
        <v>1.22741064878645</v>
      </c>
    </row>
    <row r="1056" customFormat="false" ht="15" hidden="false" customHeight="false" outlineLevel="0" collapsed="false">
      <c r="A1056" s="2" t="n">
        <v>1045</v>
      </c>
      <c r="B1056" s="13" t="n">
        <f aca="true">OFFSET(Datos!$B$1,1+$B$4+1044,0)</f>
        <v>54.7250000000001</v>
      </c>
      <c r="C1056" s="13" t="n">
        <f aca="true">OFFSET(Datos!$D$1,1+$B$4+1044,0)</f>
        <v>158.603577759319</v>
      </c>
      <c r="D1056" s="13" t="n">
        <f aca="true">OFFSET(Datos!$D$1,1+1044,0)</f>
        <v>161.857643200288</v>
      </c>
      <c r="E1056" s="13" t="n">
        <f aca="false">C1056-D1056</f>
        <v>-3.25406544096867</v>
      </c>
    </row>
    <row r="1057" customFormat="false" ht="15" hidden="false" customHeight="false" outlineLevel="0" collapsed="false">
      <c r="A1057" s="2" t="n">
        <v>1046</v>
      </c>
      <c r="B1057" s="13" t="n">
        <f aca="true">OFFSET(Datos!$B$1,1+$B$4+1045,0)</f>
        <v>54.7749999999999</v>
      </c>
      <c r="C1057" s="13" t="n">
        <f aca="true">OFFSET(Datos!$D$1,1+$B$4+1045,0)</f>
        <v>161.582903025995</v>
      </c>
      <c r="D1057" s="13" t="n">
        <f aca="true">OFFSET(Datos!$D$1,1+1045,0)</f>
        <v>169.000887731888</v>
      </c>
      <c r="E1057" s="13" t="n">
        <f aca="false">C1057-D1057</f>
        <v>-7.41798470589242</v>
      </c>
    </row>
    <row r="1058" customFormat="false" ht="15" hidden="false" customHeight="false" outlineLevel="0" collapsed="false">
      <c r="A1058" s="2" t="n">
        <v>1047</v>
      </c>
      <c r="B1058" s="13" t="n">
        <f aca="true">OFFSET(Datos!$B$1,1+$B$4+1046,0)</f>
        <v>54.825</v>
      </c>
      <c r="C1058" s="13" t="n">
        <f aca="true">OFFSET(Datos!$D$1,1+$B$4+1046,0)</f>
        <v>154.364729355952</v>
      </c>
      <c r="D1058" s="13" t="n">
        <f aca="true">OFFSET(Datos!$D$1,1+1046,0)</f>
        <v>162.271537488832</v>
      </c>
      <c r="E1058" s="13" t="n">
        <f aca="false">C1058-D1058</f>
        <v>-7.90680813288006</v>
      </c>
    </row>
    <row r="1059" customFormat="false" ht="15" hidden="false" customHeight="false" outlineLevel="0" collapsed="false">
      <c r="A1059" s="2" t="n">
        <v>1048</v>
      </c>
      <c r="B1059" s="13" t="n">
        <f aca="true">OFFSET(Datos!$B$1,1+$B$4+1047,0)</f>
        <v>54.8749999999998</v>
      </c>
      <c r="C1059" s="13" t="n">
        <f aca="true">OFFSET(Datos!$D$1,1+$B$4+1047,0)</f>
        <v>161.069103219527</v>
      </c>
      <c r="D1059" s="13" t="n">
        <f aca="true">OFFSET(Datos!$D$1,1+1047,0)</f>
        <v>168.529904575958</v>
      </c>
      <c r="E1059" s="13" t="n">
        <f aca="false">C1059-D1059</f>
        <v>-7.46080135643149</v>
      </c>
    </row>
    <row r="1060" customFormat="false" ht="15" hidden="false" customHeight="false" outlineLevel="0" collapsed="false">
      <c r="A1060" s="2" t="n">
        <v>1049</v>
      </c>
      <c r="B1060" s="13" t="n">
        <f aca="true">OFFSET(Datos!$B$1,1+$B$4+1048,0)</f>
        <v>54.925</v>
      </c>
      <c r="C1060" s="13" t="n">
        <f aca="true">OFFSET(Datos!$D$1,1+$B$4+1048,0)</f>
        <v>161.857643200288</v>
      </c>
      <c r="D1060" s="13" t="n">
        <f aca="true">OFFSET(Datos!$D$1,1+1048,0)</f>
        <v>158.371654235566</v>
      </c>
      <c r="E1060" s="13" t="n">
        <f aca="false">C1060-D1060</f>
        <v>3.48598896472191</v>
      </c>
    </row>
    <row r="1061" customFormat="false" ht="15" hidden="false" customHeight="false" outlineLevel="0" collapsed="false">
      <c r="A1061" s="2" t="n">
        <v>1050</v>
      </c>
      <c r="B1061" s="13" t="n">
        <f aca="true">OFFSET(Datos!$B$1,1+$B$4+1049,0)</f>
        <v>54.9750000000001</v>
      </c>
      <c r="C1061" s="13" t="n">
        <f aca="true">OFFSET(Datos!$D$1,1+$B$4+1049,0)</f>
        <v>154.15778221168</v>
      </c>
      <c r="D1061" s="13" t="n">
        <f aca="true">OFFSET(Datos!$D$1,1+1049,0)</f>
        <v>158.203955687621</v>
      </c>
      <c r="E1061" s="13" t="n">
        <f aca="false">C1061-D1061</f>
        <v>-4.04617347594132</v>
      </c>
    </row>
    <row r="1062" customFormat="false" ht="15" hidden="false" customHeight="false" outlineLevel="0" collapsed="false">
      <c r="A1062" s="2" t="n">
        <v>1051</v>
      </c>
      <c r="B1062" s="13" t="n">
        <f aca="true">OFFSET(Datos!$B$1,1+$B$4+1050,0)</f>
        <v>55.0249999999999</v>
      </c>
      <c r="C1062" s="13" t="n">
        <f aca="true">OFFSET(Datos!$D$1,1+$B$4+1050,0)</f>
        <v>156.052418998033</v>
      </c>
      <c r="D1062" s="13" t="n">
        <f aca="true">OFFSET(Datos!$D$1,1+1050,0)</f>
        <v>167.00634542761</v>
      </c>
      <c r="E1062" s="13" t="n">
        <f aca="false">C1062-D1062</f>
        <v>-10.9539264295766</v>
      </c>
    </row>
    <row r="1063" customFormat="false" ht="15" hidden="false" customHeight="false" outlineLevel="0" collapsed="false">
      <c r="A1063" s="2" t="n">
        <v>1052</v>
      </c>
      <c r="B1063" s="13" t="n">
        <f aca="true">OFFSET(Datos!$B$1,1+$B$4+1051,0)</f>
        <v>55.075</v>
      </c>
      <c r="C1063" s="13" t="n">
        <f aca="true">OFFSET(Datos!$D$1,1+$B$4+1051,0)</f>
        <v>154.92134581296</v>
      </c>
      <c r="D1063" s="13" t="n">
        <f aca="true">OFFSET(Datos!$D$1,1+1051,0)</f>
        <v>162.432099928354</v>
      </c>
      <c r="E1063" s="13" t="n">
        <f aca="false">C1063-D1063</f>
        <v>-7.51075411539375</v>
      </c>
    </row>
    <row r="1064" customFormat="false" ht="15" hidden="false" customHeight="false" outlineLevel="0" collapsed="false">
      <c r="A1064" s="2" t="n">
        <v>1053</v>
      </c>
      <c r="B1064" s="13" t="n">
        <f aca="true">OFFSET(Datos!$B$1,1+$B$4+1052,0)</f>
        <v>55.1249999999998</v>
      </c>
      <c r="C1064" s="13" t="n">
        <f aca="true">OFFSET(Datos!$D$1,1+$B$4+1052,0)</f>
        <v>159.185170595808</v>
      </c>
      <c r="D1064" s="13" t="n">
        <f aca="true">OFFSET(Datos!$D$1,1+1052,0)</f>
        <v>163.991339618818</v>
      </c>
      <c r="E1064" s="13" t="n">
        <f aca="false">C1064-D1064</f>
        <v>-4.80616902300969</v>
      </c>
    </row>
    <row r="1065" customFormat="false" ht="15" hidden="false" customHeight="false" outlineLevel="0" collapsed="false">
      <c r="A1065" s="2" t="n">
        <v>1054</v>
      </c>
      <c r="B1065" s="13" t="n">
        <f aca="true">OFFSET(Datos!$B$1,1+$B$4+1053,0)</f>
        <v>55.175</v>
      </c>
      <c r="C1065" s="13" t="n">
        <f aca="true">OFFSET(Datos!$D$1,1+$B$4+1053,0)</f>
        <v>155.688477468451</v>
      </c>
      <c r="D1065" s="13" t="n">
        <f aca="true">OFFSET(Datos!$D$1,1+1053,0)</f>
        <v>158.446583374009</v>
      </c>
      <c r="E1065" s="13" t="n">
        <f aca="false">C1065-D1065</f>
        <v>-2.7581059055579</v>
      </c>
    </row>
    <row r="1066" customFormat="false" ht="15" hidden="false" customHeight="false" outlineLevel="0" collapsed="false">
      <c r="A1066" s="2" t="n">
        <v>1055</v>
      </c>
      <c r="B1066" s="13" t="n">
        <f aca="true">OFFSET(Datos!$B$1,1+$B$4+1054,0)</f>
        <v>55.2250000000001</v>
      </c>
      <c r="C1066" s="13" t="n">
        <f aca="true">OFFSET(Datos!$D$1,1+$B$4+1054,0)</f>
        <v>158.810524903591</v>
      </c>
      <c r="D1066" s="13" t="n">
        <f aca="true">OFFSET(Datos!$D$1,1+1054,0)</f>
        <v>164.101949299377</v>
      </c>
      <c r="E1066" s="13" t="n">
        <f aca="false">C1066-D1066</f>
        <v>-5.2914243957857</v>
      </c>
    </row>
    <row r="1067" customFormat="false" ht="15" hidden="false" customHeight="false" outlineLevel="0" collapsed="false">
      <c r="A1067" s="2" t="n">
        <v>1056</v>
      </c>
      <c r="B1067" s="13" t="n">
        <f aca="true">OFFSET(Datos!$B$1,1+$B$4+1055,0)</f>
        <v>55.2749999999999</v>
      </c>
      <c r="C1067" s="13" t="n">
        <f aca="true">OFFSET(Datos!$D$1,1+$B$4+1055,0)</f>
        <v>159.170898378962</v>
      </c>
      <c r="D1067" s="13" t="n">
        <f aca="true">OFFSET(Datos!$D$1,1+1055,0)</f>
        <v>159.417094119561</v>
      </c>
      <c r="E1067" s="13" t="n">
        <f aca="false">C1067-D1067</f>
        <v>-0.246195740599603</v>
      </c>
    </row>
    <row r="1068" customFormat="false" ht="15" hidden="false" customHeight="false" outlineLevel="0" collapsed="false">
      <c r="A1068" s="2" t="n">
        <v>1057</v>
      </c>
      <c r="B1068" s="13" t="n">
        <f aca="true">OFFSET(Datos!$B$1,1+$B$4+1056,0)</f>
        <v>55.325</v>
      </c>
      <c r="C1068" s="13" t="n">
        <f aca="true">OFFSET(Datos!$D$1,1+$B$4+1056,0)</f>
        <v>156.67326043085</v>
      </c>
      <c r="D1068" s="13" t="n">
        <f aca="true">OFFSET(Datos!$D$1,1+1056,0)</f>
        <v>163.117166336979</v>
      </c>
      <c r="E1068" s="13" t="n">
        <f aca="false">C1068-D1068</f>
        <v>-6.44390590612878</v>
      </c>
    </row>
    <row r="1069" customFormat="false" ht="15" hidden="false" customHeight="false" outlineLevel="0" collapsed="false">
      <c r="A1069" s="2" t="n">
        <v>1058</v>
      </c>
      <c r="B1069" s="13" t="n">
        <f aca="true">OFFSET(Datos!$B$1,1+$B$4+1057,0)</f>
        <v>55.3749999999998</v>
      </c>
      <c r="C1069" s="13" t="n">
        <f aca="true">OFFSET(Datos!$D$1,1+$B$4+1057,0)</f>
        <v>157.247717158915</v>
      </c>
      <c r="D1069" s="13" t="n">
        <f aca="true">OFFSET(Datos!$D$1,1+1057,0)</f>
        <v>161.21182538799</v>
      </c>
      <c r="E1069" s="13" t="n">
        <f aca="false">C1069-D1069</f>
        <v>-3.96410822907478</v>
      </c>
    </row>
    <row r="1070" customFormat="false" ht="15" hidden="false" customHeight="false" outlineLevel="0" collapsed="false">
      <c r="A1070" s="2" t="n">
        <v>1059</v>
      </c>
      <c r="B1070" s="13" t="n">
        <f aca="true">OFFSET(Datos!$B$1,1+$B$4+1058,0)</f>
        <v>55.425</v>
      </c>
      <c r="C1070" s="13" t="n">
        <f aca="true">OFFSET(Datos!$D$1,1+$B$4+1058,0)</f>
        <v>158.521512512453</v>
      </c>
      <c r="D1070" s="13" t="n">
        <f aca="true">OFFSET(Datos!$D$1,1+1058,0)</f>
        <v>161.711352977613</v>
      </c>
      <c r="E1070" s="13" t="n">
        <f aca="false">C1070-D1070</f>
        <v>-3.1898404651601</v>
      </c>
    </row>
    <row r="1071" customFormat="false" ht="15" hidden="false" customHeight="false" outlineLevel="0" collapsed="false">
      <c r="A1071" s="2" t="n">
        <v>1060</v>
      </c>
      <c r="B1071" s="13" t="n">
        <f aca="true">OFFSET(Datos!$B$1,1+$B$4+1059,0)</f>
        <v>55.4750000000001</v>
      </c>
      <c r="C1071" s="13" t="n">
        <f aca="true">OFFSET(Datos!$D$1,1+$B$4+1059,0)</f>
        <v>156.58405907556</v>
      </c>
      <c r="D1071" s="13" t="n">
        <f aca="true">OFFSET(Datos!$D$1,1+1059,0)</f>
        <v>168.437135166457</v>
      </c>
      <c r="E1071" s="13" t="n">
        <f aca="false">C1071-D1071</f>
        <v>-11.8530760908969</v>
      </c>
    </row>
    <row r="1072" customFormat="false" ht="15" hidden="false" customHeight="false" outlineLevel="0" collapsed="false">
      <c r="A1072" s="2" t="n">
        <v>1061</v>
      </c>
      <c r="B1072" s="13" t="n">
        <f aca="true">OFFSET(Datos!$B$1,1+$B$4+1060,0)</f>
        <v>55.5249999999999</v>
      </c>
      <c r="C1072" s="13" t="n">
        <f aca="true">OFFSET(Datos!$D$1,1+$B$4+1060,0)</f>
        <v>156.908752008815</v>
      </c>
      <c r="D1072" s="13" t="n">
        <f aca="true">OFFSET(Datos!$D$1,1+1060,0)</f>
        <v>160.112864690821</v>
      </c>
      <c r="E1072" s="13" t="n">
        <f aca="false">C1072-D1072</f>
        <v>-3.20411268200644</v>
      </c>
    </row>
    <row r="1073" customFormat="false" ht="15" hidden="false" customHeight="false" outlineLevel="0" collapsed="false">
      <c r="A1073" s="2" t="n">
        <v>1062</v>
      </c>
      <c r="B1073" s="13" t="n">
        <f aca="true">OFFSET(Datos!$B$1,1+$B$4+1061,0)</f>
        <v>55.575</v>
      </c>
      <c r="C1073" s="13" t="n">
        <f aca="true">OFFSET(Datos!$D$1,1+$B$4+1061,0)</f>
        <v>153.929426742138</v>
      </c>
      <c r="D1073" s="13" t="n">
        <f aca="true">OFFSET(Datos!$D$1,1+1061,0)</f>
        <v>165.022507285967</v>
      </c>
      <c r="E1073" s="13" t="n">
        <f aca="false">C1073-D1073</f>
        <v>-11.0930805438285</v>
      </c>
    </row>
    <row r="1074" customFormat="false" ht="15" hidden="false" customHeight="false" outlineLevel="0" collapsed="false">
      <c r="A1074" s="2" t="n">
        <v>1063</v>
      </c>
      <c r="B1074" s="13" t="n">
        <f aca="true">OFFSET(Datos!$B$1,1+$B$4+1062,0)</f>
        <v>55.6249999999998</v>
      </c>
      <c r="C1074" s="13" t="n">
        <f aca="true">OFFSET(Datos!$D$1,1+$B$4+1062,0)</f>
        <v>153.733183760501</v>
      </c>
      <c r="D1074" s="13" t="n">
        <f aca="true">OFFSET(Datos!$D$1,1+1062,0)</f>
        <v>166.203533230003</v>
      </c>
      <c r="E1074" s="13" t="n">
        <f aca="false">C1074-D1074</f>
        <v>-12.4703494695017</v>
      </c>
    </row>
    <row r="1075" customFormat="false" ht="15" hidden="false" customHeight="false" outlineLevel="0" collapsed="false">
      <c r="A1075" s="2" t="n">
        <v>1064</v>
      </c>
      <c r="B1075" s="13" t="n">
        <f aca="true">OFFSET(Datos!$B$1,1+$B$4+1063,0)</f>
        <v>55.675</v>
      </c>
      <c r="C1075" s="13" t="n">
        <f aca="true">OFFSET(Datos!$D$1,1+$B$4+1063,0)</f>
        <v>155.403033131524</v>
      </c>
      <c r="D1075" s="13" t="n">
        <f aca="true">OFFSET(Datos!$D$1,1+1063,0)</f>
        <v>165.307951622894</v>
      </c>
      <c r="E1075" s="13" t="n">
        <f aca="false">C1075-D1075</f>
        <v>-9.90491849136959</v>
      </c>
    </row>
    <row r="1076" customFormat="false" ht="15" hidden="false" customHeight="false" outlineLevel="0" collapsed="false">
      <c r="A1076" s="2" t="n">
        <v>1065</v>
      </c>
      <c r="B1076" s="13" t="n">
        <f aca="true">OFFSET(Datos!$B$1,1+$B$4+1064,0)</f>
        <v>55.7250000000001</v>
      </c>
      <c r="C1076" s="13" t="n">
        <f aca="true">OFFSET(Datos!$D$1,1+$B$4+1064,0)</f>
        <v>157.800765561712</v>
      </c>
      <c r="D1076" s="13" t="n">
        <f aca="true">OFFSET(Datos!$D$1,1+1064,0)</f>
        <v>164.105517353589</v>
      </c>
      <c r="E1076" s="13" t="n">
        <f aca="false">C1076-D1076</f>
        <v>-6.30475179187684</v>
      </c>
    </row>
    <row r="1077" customFormat="false" ht="15" hidden="false" customHeight="false" outlineLevel="0" collapsed="false">
      <c r="A1077" s="2" t="n">
        <v>1066</v>
      </c>
      <c r="B1077" s="13" t="n">
        <f aca="true">OFFSET(Datos!$B$1,1+$B$4+1065,0)</f>
        <v>55.7749999999999</v>
      </c>
      <c r="C1077" s="13" t="n">
        <f aca="true">OFFSET(Datos!$D$1,1+$B$4+1065,0)</f>
        <v>151.249818029235</v>
      </c>
      <c r="D1077" s="13" t="n">
        <f aca="true">OFFSET(Datos!$D$1,1+1065,0)</f>
        <v>163.812936908238</v>
      </c>
      <c r="E1077" s="13" t="n">
        <f aca="false">C1077-D1077</f>
        <v>-12.563118879003</v>
      </c>
    </row>
    <row r="1078" customFormat="false" ht="15" hidden="false" customHeight="false" outlineLevel="0" collapsed="false">
      <c r="A1078" s="2" t="n">
        <v>1067</v>
      </c>
      <c r="B1078" s="13" t="n">
        <f aca="true">OFFSET(Datos!$B$1,1+$B$4+1066,0)</f>
        <v>55.8259999999998</v>
      </c>
      <c r="C1078" s="13" t="n">
        <f aca="true">OFFSET(Datos!$D$1,1+$B$4+1066,0)</f>
        <v>156.180868949651</v>
      </c>
      <c r="D1078" s="13" t="n">
        <f aca="true">OFFSET(Datos!$D$1,1+1066,0)</f>
        <v>168.176667209011</v>
      </c>
      <c r="E1078" s="13" t="n">
        <f aca="false">C1078-D1078</f>
        <v>-11.9957982593604</v>
      </c>
    </row>
    <row r="1079" customFormat="false" ht="15" hidden="false" customHeight="false" outlineLevel="0" collapsed="false">
      <c r="A1079" s="2" t="n">
        <v>1068</v>
      </c>
      <c r="B1079" s="13" t="n">
        <f aca="true">OFFSET(Datos!$B$1,1+$B$4+1067,0)</f>
        <v>55.876</v>
      </c>
      <c r="C1079" s="13" t="n">
        <f aca="true">OFFSET(Datos!$D$1,1+$B$4+1067,0)</f>
        <v>155.706317739509</v>
      </c>
      <c r="D1079" s="13" t="n">
        <f aca="true">OFFSET(Datos!$D$1,1+1067,0)</f>
        <v>166.296302639504</v>
      </c>
      <c r="E1079" s="13" t="n">
        <f aca="false">C1079-D1079</f>
        <v>-10.5899848999946</v>
      </c>
    </row>
    <row r="1080" customFormat="false" ht="15" hidden="false" customHeight="false" outlineLevel="0" collapsed="false">
      <c r="A1080" s="2" t="n">
        <v>1069</v>
      </c>
      <c r="B1080" s="13" t="n">
        <f aca="true">OFFSET(Datos!$B$1,1+$B$4+1068,0)</f>
        <v>55.9259999999997</v>
      </c>
      <c r="C1080" s="13" t="n">
        <f aca="true">OFFSET(Datos!$D$1,1+$B$4+1068,0)</f>
        <v>160.62666449729</v>
      </c>
      <c r="D1080" s="13" t="n">
        <f aca="true">OFFSET(Datos!$D$1,1+1068,0)</f>
        <v>167.116955108169</v>
      </c>
      <c r="E1080" s="13" t="n">
        <f aca="false">C1080-D1080</f>
        <v>-6.49029061087944</v>
      </c>
    </row>
    <row r="1081" customFormat="false" ht="15" hidden="false" customHeight="false" outlineLevel="0" collapsed="false">
      <c r="A1081" s="2" t="n">
        <v>1070</v>
      </c>
      <c r="B1081" s="13" t="n">
        <f aca="true">OFFSET(Datos!$B$1,1+$B$4+1069,0)</f>
        <v>55.9759999999999</v>
      </c>
      <c r="C1081" s="13" t="n">
        <f aca="true">OFFSET(Datos!$D$1,1+$B$4+1069,0)</f>
        <v>156.205845329132</v>
      </c>
      <c r="D1081" s="13" t="n">
        <f aca="true">OFFSET(Datos!$D$1,1+1069,0)</f>
        <v>166.396208157428</v>
      </c>
      <c r="E1081" s="13" t="n">
        <f aca="false">C1081-D1081</f>
        <v>-10.1903628282967</v>
      </c>
    </row>
    <row r="1082" customFormat="false" ht="15" hidden="false" customHeight="false" outlineLevel="0" collapsed="false">
      <c r="A1082" s="2" t="n">
        <v>1071</v>
      </c>
      <c r="B1082" s="13" t="n">
        <f aca="true">OFFSET(Datos!$B$1,1+$B$4+1070,0)</f>
        <v>56.0260000000001</v>
      </c>
      <c r="C1082" s="13" t="n">
        <f aca="true">OFFSET(Datos!$D$1,1+$B$4+1070,0)</f>
        <v>158.724891602513</v>
      </c>
      <c r="D1082" s="13" t="n">
        <f aca="true">OFFSET(Datos!$D$1,1+1070,0)</f>
        <v>160.17708966663</v>
      </c>
      <c r="E1082" s="13" t="n">
        <f aca="false">C1082-D1082</f>
        <v>-1.45219806411649</v>
      </c>
    </row>
    <row r="1083" customFormat="false" ht="15" hidden="false" customHeight="false" outlineLevel="0" collapsed="false">
      <c r="A1083" s="2" t="n">
        <v>1072</v>
      </c>
      <c r="B1083" s="13" t="n">
        <f aca="true">OFFSET(Datos!$B$1,1+$B$4+1071,0)</f>
        <v>56.0759999999998</v>
      </c>
      <c r="C1083" s="13" t="n">
        <f aca="true">OFFSET(Datos!$D$1,1+$B$4+1071,0)</f>
        <v>155.317399830446</v>
      </c>
      <c r="D1083" s="13" t="n">
        <f aca="true">OFFSET(Datos!$D$1,1+1071,0)</f>
        <v>165.083164207564</v>
      </c>
      <c r="E1083" s="13" t="n">
        <f aca="false">C1083-D1083</f>
        <v>-9.76576437711765</v>
      </c>
    </row>
    <row r="1084" customFormat="false" ht="15" hidden="false" customHeight="false" outlineLevel="0" collapsed="false">
      <c r="A1084" s="2" t="n">
        <v>1073</v>
      </c>
      <c r="B1084" s="13" t="n">
        <f aca="true">OFFSET(Datos!$B$1,1+$B$4+1072,0)</f>
        <v>56.126</v>
      </c>
      <c r="C1084" s="13" t="n">
        <f aca="true">OFFSET(Datos!$D$1,1+$B$4+1072,0)</f>
        <v>153.668958784692</v>
      </c>
      <c r="D1084" s="13" t="n">
        <f aca="true">OFFSET(Datos!$D$1,1+1072,0)</f>
        <v>160.872860237889</v>
      </c>
      <c r="E1084" s="13" t="n">
        <f aca="false">C1084-D1084</f>
        <v>-7.20390145319712</v>
      </c>
    </row>
    <row r="1085" customFormat="false" ht="15" hidden="false" customHeight="false" outlineLevel="0" collapsed="false">
      <c r="A1085" s="2" t="n">
        <v>1074</v>
      </c>
      <c r="B1085" s="13" t="n">
        <f aca="true">OFFSET(Datos!$B$1,1+$B$4+1073,0)</f>
        <v>56.1759999999997</v>
      </c>
      <c r="C1085" s="13" t="n">
        <f aca="true">OFFSET(Datos!$D$1,1+$B$4+1073,0)</f>
        <v>157.386871273167</v>
      </c>
      <c r="D1085" s="13" t="n">
        <f aca="true">OFFSET(Datos!$D$1,1+1073,0)</f>
        <v>160.755114448907</v>
      </c>
      <c r="E1085" s="13" t="n">
        <f aca="false">C1085-D1085</f>
        <v>-3.36824317573951</v>
      </c>
    </row>
    <row r="1086" customFormat="false" ht="15" hidden="false" customHeight="false" outlineLevel="0" collapsed="false">
      <c r="A1086" s="2" t="n">
        <v>1075</v>
      </c>
      <c r="B1086" s="13" t="n">
        <f aca="true">OFFSET(Datos!$B$1,1+$B$4+1074,0)</f>
        <v>56.2259999999999</v>
      </c>
      <c r="C1086" s="13" t="n">
        <f aca="true">OFFSET(Datos!$D$1,1+$B$4+1074,0)</f>
        <v>156.609035455041</v>
      </c>
      <c r="D1086" s="13" t="n">
        <f aca="true">OFFSET(Datos!$D$1,1+1074,0)</f>
        <v>159.442070499042</v>
      </c>
      <c r="E1086" s="13" t="n">
        <f aca="false">C1086-D1086</f>
        <v>-2.83303504400126</v>
      </c>
    </row>
    <row r="1087" customFormat="false" ht="15" hidden="false" customHeight="false" outlineLevel="0" collapsed="false">
      <c r="A1087" s="2" t="n">
        <v>1076</v>
      </c>
      <c r="B1087" s="13" t="n">
        <f aca="true">OFFSET(Datos!$B$1,1+$B$4+1075,0)</f>
        <v>56.2760000000001</v>
      </c>
      <c r="C1087" s="13" t="n">
        <f aca="true">OFFSET(Datos!$D$1,1+$B$4+1075,0)</f>
        <v>155.285287342542</v>
      </c>
      <c r="D1087" s="13" t="n">
        <f aca="true">OFFSET(Datos!$D$1,1+1075,0)</f>
        <v>161.864779308711</v>
      </c>
      <c r="E1087" s="13" t="n">
        <f aca="false">C1087-D1087</f>
        <v>-6.57949196616912</v>
      </c>
    </row>
    <row r="1088" customFormat="false" ht="15" hidden="false" customHeight="false" outlineLevel="0" collapsed="false">
      <c r="A1088" s="2" t="n">
        <v>1077</v>
      </c>
      <c r="B1088" s="13" t="n">
        <f aca="true">OFFSET(Datos!$B$1,1+$B$4+1076,0)</f>
        <v>56.3259999999998</v>
      </c>
      <c r="C1088" s="13" t="n">
        <f aca="true">OFFSET(Datos!$D$1,1+$B$4+1076,0)</f>
        <v>158.421606994528</v>
      </c>
      <c r="D1088" s="13" t="n">
        <f aca="true">OFFSET(Datos!$D$1,1+1076,0)</f>
        <v>155.849039907973</v>
      </c>
      <c r="E1088" s="13" t="n">
        <f aca="false">C1088-D1088</f>
        <v>2.5725670865553</v>
      </c>
    </row>
    <row r="1089" customFormat="false" ht="15" hidden="false" customHeight="false" outlineLevel="0" collapsed="false">
      <c r="A1089" s="2" t="n">
        <v>1078</v>
      </c>
      <c r="B1089" s="13" t="n">
        <f aca="true">OFFSET(Datos!$B$1,1+$B$4+1077,0)</f>
        <v>56.376</v>
      </c>
      <c r="C1089" s="13" t="n">
        <f aca="true">OFFSET(Datos!$D$1,1+$B$4+1077,0)</f>
        <v>156.027442618552</v>
      </c>
      <c r="D1089" s="13" t="n">
        <f aca="true">OFFSET(Datos!$D$1,1+1077,0)</f>
        <v>160.080752202917</v>
      </c>
      <c r="E1089" s="13" t="n">
        <f aca="false">C1089-D1089</f>
        <v>-4.05330958436448</v>
      </c>
    </row>
    <row r="1090" customFormat="false" ht="15" hidden="false" customHeight="false" outlineLevel="0" collapsed="false">
      <c r="A1090" s="2" t="n">
        <v>1079</v>
      </c>
      <c r="B1090" s="13" t="n">
        <f aca="true">OFFSET(Datos!$B$1,1+$B$4+1078,0)</f>
        <v>56.4259999999997</v>
      </c>
      <c r="C1090" s="13" t="n">
        <f aca="true">OFFSET(Datos!$D$1,1+$B$4+1078,0)</f>
        <v>159.84169257074</v>
      </c>
      <c r="D1090" s="13" t="n">
        <f aca="true">OFFSET(Datos!$D$1,1+1078,0)</f>
        <v>158.913998475727</v>
      </c>
      <c r="E1090" s="13" t="n">
        <f aca="false">C1090-D1090</f>
        <v>0.92769409501301</v>
      </c>
    </row>
    <row r="1091" customFormat="false" ht="15" hidden="false" customHeight="false" outlineLevel="0" collapsed="false">
      <c r="A1091" s="2" t="n">
        <v>1080</v>
      </c>
      <c r="B1091" s="13" t="n">
        <f aca="true">OFFSET(Datos!$B$1,1+$B$4+1079,0)</f>
        <v>56.4759999999999</v>
      </c>
      <c r="C1091" s="13" t="n">
        <f aca="true">OFFSET(Datos!$D$1,1+$B$4+1079,0)</f>
        <v>157.34762267684</v>
      </c>
      <c r="D1091" s="13" t="n">
        <f aca="true">OFFSET(Datos!$D$1,1+1079,0)</f>
        <v>163.930682697221</v>
      </c>
      <c r="E1091" s="13" t="n">
        <f aca="false">C1091-D1091</f>
        <v>-6.58306002038074</v>
      </c>
    </row>
    <row r="1092" customFormat="false" ht="15" hidden="false" customHeight="false" outlineLevel="0" collapsed="false">
      <c r="A1092" s="2" t="n">
        <v>1081</v>
      </c>
      <c r="B1092" s="13" t="n">
        <f aca="true">OFFSET(Datos!$B$1,1+$B$4+1080,0)</f>
        <v>56.5260000000001</v>
      </c>
      <c r="C1092" s="13" t="n">
        <f aca="true">OFFSET(Datos!$D$1,1+$B$4+1080,0)</f>
        <v>156.266502250729</v>
      </c>
      <c r="D1092" s="13" t="n">
        <f aca="true">OFFSET(Datos!$D$1,1+1080,0)</f>
        <v>155.756270498471</v>
      </c>
      <c r="E1092" s="13" t="n">
        <f aca="false">C1092-D1092</f>
        <v>0.510231752257141</v>
      </c>
    </row>
    <row r="1093" customFormat="false" ht="15" hidden="false" customHeight="false" outlineLevel="0" collapsed="false">
      <c r="A1093" s="2" t="n">
        <v>1082</v>
      </c>
      <c r="B1093" s="13" t="n">
        <f aca="true">OFFSET(Datos!$B$1,1+$B$4+1081,0)</f>
        <v>56.5759999999998</v>
      </c>
      <c r="C1093" s="13" t="n">
        <f aca="true">OFFSET(Datos!$D$1,1+$B$4+1081,0)</f>
        <v>150.707473789074</v>
      </c>
      <c r="D1093" s="13" t="n">
        <f aca="true">OFFSET(Datos!$D$1,1+1081,0)</f>
        <v>158.846205445707</v>
      </c>
      <c r="E1093" s="13" t="n">
        <f aca="false">C1093-D1093</f>
        <v>-8.1387316566333</v>
      </c>
    </row>
    <row r="1094" customFormat="false" ht="15" hidden="false" customHeight="false" outlineLevel="0" collapsed="false">
      <c r="A1094" s="2" t="n">
        <v>1083</v>
      </c>
      <c r="B1094" s="13" t="n">
        <f aca="true">OFFSET(Datos!$B$1,1+$B$4+1082,0)</f>
        <v>56.626</v>
      </c>
      <c r="C1094" s="13" t="n">
        <f aca="true">OFFSET(Datos!$D$1,1+$B$4+1082,0)</f>
        <v>155.378056752043</v>
      </c>
      <c r="D1094" s="13" t="n">
        <f aca="true">OFFSET(Datos!$D$1,1+1082,0)</f>
        <v>158.617849976165</v>
      </c>
      <c r="E1094" s="13" t="n">
        <f aca="false">C1094-D1094</f>
        <v>-3.23979322412234</v>
      </c>
    </row>
    <row r="1095" customFormat="false" ht="15" hidden="false" customHeight="false" outlineLevel="0" collapsed="false">
      <c r="A1095" s="2" t="n">
        <v>1084</v>
      </c>
      <c r="B1095" s="13" t="n">
        <f aca="true">OFFSET(Datos!$B$1,1+$B$4+1083,0)</f>
        <v>56.6759999999997</v>
      </c>
      <c r="C1095" s="13" t="n">
        <f aca="true">OFFSET(Datos!$D$1,1+$B$4+1083,0)</f>
        <v>154.650173692879</v>
      </c>
      <c r="D1095" s="13" t="n">
        <f aca="true">OFFSET(Datos!$D$1,1+1083,0)</f>
        <v>162.817449783205</v>
      </c>
      <c r="E1095" s="13" t="n">
        <f aca="false">C1095-D1095</f>
        <v>-8.167276090326</v>
      </c>
    </row>
    <row r="1096" customFormat="false" ht="15" hidden="false" customHeight="false" outlineLevel="0" collapsed="false">
      <c r="A1096" s="2" t="n">
        <v>1085</v>
      </c>
      <c r="B1096" s="13" t="n">
        <f aca="true">OFFSET(Datos!$B$1,1+$B$4+1084,0)</f>
        <v>56.7259999999999</v>
      </c>
      <c r="C1096" s="13" t="n">
        <f aca="true">OFFSET(Datos!$D$1,1+$B$4+1084,0)</f>
        <v>157.757948911173</v>
      </c>
      <c r="D1096" s="13" t="n">
        <f aca="true">OFFSET(Datos!$D$1,1+1084,0)</f>
        <v>161.968252880847</v>
      </c>
      <c r="E1096" s="13" t="n">
        <f aca="false">C1096-D1096</f>
        <v>-4.21030396967441</v>
      </c>
    </row>
    <row r="1097" customFormat="false" ht="15" hidden="false" customHeight="false" outlineLevel="0" collapsed="false">
      <c r="A1097" s="2" t="n">
        <v>1086</v>
      </c>
      <c r="B1097" s="13" t="n">
        <f aca="true">OFFSET(Datos!$B$1,1+$B$4+1085,0)</f>
        <v>56.7760000000001</v>
      </c>
      <c r="C1097" s="13" t="n">
        <f aca="true">OFFSET(Datos!$D$1,1+$B$4+1085,0)</f>
        <v>153.793840682098</v>
      </c>
      <c r="D1097" s="13" t="n">
        <f aca="true">OFFSET(Datos!$D$1,1+1085,0)</f>
        <v>165.843159754632</v>
      </c>
      <c r="E1097" s="13" t="n">
        <f aca="false">C1097-D1097</f>
        <v>-12.0493190725343</v>
      </c>
    </row>
    <row r="1098" customFormat="false" ht="15" hidden="false" customHeight="false" outlineLevel="0" collapsed="false">
      <c r="A1098" s="2" t="n">
        <v>1087</v>
      </c>
      <c r="B1098" s="13" t="n">
        <f aca="true">OFFSET(Datos!$B$1,1+$B$4+1086,0)</f>
        <v>56.8259999999998</v>
      </c>
      <c r="C1098" s="13" t="n">
        <f aca="true">OFFSET(Datos!$D$1,1+$B$4+1086,0)</f>
        <v>155.014115222461</v>
      </c>
      <c r="D1098" s="13" t="n">
        <f aca="true">OFFSET(Datos!$D$1,1+1086,0)</f>
        <v>161.664968272862</v>
      </c>
      <c r="E1098" s="13" t="n">
        <f aca="false">C1098-D1098</f>
        <v>-6.65085305040091</v>
      </c>
    </row>
    <row r="1099" customFormat="false" ht="15" hidden="false" customHeight="false" outlineLevel="0" collapsed="false">
      <c r="A1099" s="2" t="n">
        <v>1088</v>
      </c>
      <c r="B1099" s="13" t="n">
        <f aca="true">OFFSET(Datos!$B$1,1+$B$4+1087,0)</f>
        <v>56.876</v>
      </c>
      <c r="C1099" s="13" t="n">
        <f aca="true">OFFSET(Datos!$D$1,1+$B$4+1087,0)</f>
        <v>152.69844803914</v>
      </c>
      <c r="D1099" s="13" t="n">
        <f aca="true">OFFSET(Datos!$D$1,1+1087,0)</f>
        <v>160.676617256252</v>
      </c>
      <c r="E1099" s="13" t="n">
        <f aca="false">C1099-D1099</f>
        <v>-7.97816921711183</v>
      </c>
    </row>
    <row r="1100" customFormat="false" ht="15" hidden="false" customHeight="false" outlineLevel="0" collapsed="false">
      <c r="A1100" s="2" t="n">
        <v>1089</v>
      </c>
      <c r="B1100" s="13" t="n">
        <f aca="true">OFFSET(Datos!$B$1,1+$B$4+1088,0)</f>
        <v>56.9259999999997</v>
      </c>
      <c r="C1100" s="13" t="n">
        <f aca="true">OFFSET(Datos!$D$1,1+$B$4+1088,0)</f>
        <v>155.035523547731</v>
      </c>
      <c r="D1100" s="13" t="n">
        <f aca="true">OFFSET(Datos!$D$1,1+1088,0)</f>
        <v>163.077917740651</v>
      </c>
      <c r="E1100" s="13" t="n">
        <f aca="false">C1100-D1100</f>
        <v>-8.04239419292043</v>
      </c>
    </row>
    <row r="1101" customFormat="false" ht="15" hidden="false" customHeight="false" outlineLevel="0" collapsed="false">
      <c r="A1101" s="2" t="n">
        <v>1090</v>
      </c>
      <c r="B1101" s="13" t="n">
        <f aca="true">OFFSET(Datos!$B$1,1+$B$4+1089,0)</f>
        <v>56.9759999999999</v>
      </c>
      <c r="C1101" s="13" t="n">
        <f aca="true">OFFSET(Datos!$D$1,1+$B$4+1089,0)</f>
        <v>155.178245716194</v>
      </c>
      <c r="D1101" s="13" t="n">
        <f aca="true">OFFSET(Datos!$D$1,1+1089,0)</f>
        <v>165.111708641256</v>
      </c>
      <c r="E1101" s="13" t="n">
        <f aca="false">C1101-D1101</f>
        <v>-9.93346292506229</v>
      </c>
    </row>
    <row r="1102" customFormat="false" ht="15" hidden="false" customHeight="false" outlineLevel="0" collapsed="false">
      <c r="A1102" s="2" t="n">
        <v>1091</v>
      </c>
      <c r="B1102" s="13" t="n">
        <f aca="true">OFFSET(Datos!$B$1,1+$B$4+1090,0)</f>
        <v>57.0260000000001</v>
      </c>
      <c r="C1102" s="13" t="n">
        <f aca="true">OFFSET(Datos!$D$1,1+$B$4+1090,0)</f>
        <v>156.883775629333</v>
      </c>
      <c r="D1102" s="13" t="n">
        <f aca="true">OFFSET(Datos!$D$1,1+1090,0)</f>
        <v>161.108351815854</v>
      </c>
      <c r="E1102" s="13" t="n">
        <f aca="false">C1102-D1102</f>
        <v>-4.22457618652075</v>
      </c>
    </row>
    <row r="1103" customFormat="false" ht="15" hidden="false" customHeight="false" outlineLevel="0" collapsed="false">
      <c r="A1103" s="2" t="n">
        <v>1092</v>
      </c>
      <c r="B1103" s="13" t="n">
        <f aca="true">OFFSET(Datos!$B$1,1+$B$4+1091,0)</f>
        <v>57.0759999999998</v>
      </c>
      <c r="C1103" s="13" t="n">
        <f aca="true">OFFSET(Datos!$D$1,1+$B$4+1091,0)</f>
        <v>155.039091601942</v>
      </c>
      <c r="D1103" s="13" t="n">
        <f aca="true">OFFSET(Datos!$D$1,1+1091,0)</f>
        <v>160.619528388867</v>
      </c>
      <c r="E1103" s="13" t="n">
        <f aca="false">C1103-D1103</f>
        <v>-5.58043678692437</v>
      </c>
    </row>
    <row r="1104" customFormat="false" ht="15" hidden="false" customHeight="false" outlineLevel="0" collapsed="false">
      <c r="A1104" s="2" t="n">
        <v>1093</v>
      </c>
      <c r="B1104" s="13" t="n">
        <f aca="true">OFFSET(Datos!$B$1,1+$B$4+1092,0)</f>
        <v>57.126</v>
      </c>
      <c r="C1104" s="13" t="n">
        <f aca="true">OFFSET(Datos!$D$1,1+$B$4+1092,0)</f>
        <v>157.179924128895</v>
      </c>
      <c r="D1104" s="13" t="n">
        <f aca="true">OFFSET(Datos!$D$1,1+1092,0)</f>
        <v>162.60336653051</v>
      </c>
      <c r="E1104" s="13" t="n">
        <f aca="false">C1104-D1104</f>
        <v>-5.42344240161449</v>
      </c>
    </row>
    <row r="1105" customFormat="false" ht="15" hidden="false" customHeight="false" outlineLevel="0" collapsed="false">
      <c r="A1105" s="2" t="n">
        <v>1094</v>
      </c>
      <c r="B1105" s="13" t="n">
        <f aca="true">OFFSET(Datos!$B$1,1+$B$4+1093,0)</f>
        <v>57.1759999999997</v>
      </c>
      <c r="C1105" s="13" t="n">
        <f aca="true">OFFSET(Datos!$D$1,1+$B$4+1093,0)</f>
        <v>159.606200992775</v>
      </c>
      <c r="D1105" s="13" t="n">
        <f aca="true">OFFSET(Datos!$D$1,1+1093,0)</f>
        <v>164.537251913191</v>
      </c>
      <c r="E1105" s="13" t="n">
        <f aca="false">C1105-D1105</f>
        <v>-4.93105092041529</v>
      </c>
    </row>
    <row r="1106" customFormat="false" ht="15" hidden="false" customHeight="false" outlineLevel="0" collapsed="false">
      <c r="A1106" s="2" t="n">
        <v>1095</v>
      </c>
      <c r="B1106" s="13" t="n">
        <f aca="true">OFFSET(Datos!$B$1,1+$B$4+1094,0)</f>
        <v>57.2259999999999</v>
      </c>
      <c r="C1106" s="13" t="n">
        <f aca="true">OFFSET(Datos!$D$1,1+$B$4+1094,0)</f>
        <v>154.032900314274</v>
      </c>
      <c r="D1106" s="13" t="n">
        <f aca="true">OFFSET(Datos!$D$1,1+1094,0)</f>
        <v>158.603577759319</v>
      </c>
      <c r="E1106" s="13" t="n">
        <f aca="false">C1106-D1106</f>
        <v>-4.57067744504482</v>
      </c>
    </row>
    <row r="1107" customFormat="false" ht="15" hidden="false" customHeight="false" outlineLevel="0" collapsed="false">
      <c r="A1107" s="2" t="n">
        <v>1096</v>
      </c>
      <c r="B1107" s="13" t="n">
        <f aca="true">OFFSET(Datos!$B$1,1+$B$4+1095,0)</f>
        <v>57.2769999999998</v>
      </c>
      <c r="C1107" s="13" t="n">
        <f aca="true">OFFSET(Datos!$D$1,1+$B$4+1095,0)</f>
        <v>154.00078782637</v>
      </c>
      <c r="D1107" s="13" t="n">
        <f aca="true">OFFSET(Datos!$D$1,1+1095,0)</f>
        <v>161.582903025995</v>
      </c>
      <c r="E1107" s="13" t="n">
        <f aca="false">C1107-D1107</f>
        <v>-7.58211519962549</v>
      </c>
    </row>
    <row r="1108" customFormat="false" ht="15" hidden="false" customHeight="false" outlineLevel="0" collapsed="false">
      <c r="A1108" s="2" t="n">
        <v>1097</v>
      </c>
      <c r="B1108" s="13" t="n">
        <f aca="true">OFFSET(Datos!$B$1,1+$B$4+1096,0)</f>
        <v>57.327</v>
      </c>
      <c r="C1108" s="13" t="n">
        <f aca="true">OFFSET(Datos!$D$1,1+$B$4+1096,0)</f>
        <v>157.097858882029</v>
      </c>
      <c r="D1108" s="13" t="n">
        <f aca="true">OFFSET(Datos!$D$1,1+1096,0)</f>
        <v>154.364729355952</v>
      </c>
      <c r="E1108" s="13" t="n">
        <f aca="false">C1108-D1108</f>
        <v>2.73312952607679</v>
      </c>
    </row>
    <row r="1109" customFormat="false" ht="15" hidden="false" customHeight="false" outlineLevel="0" collapsed="false">
      <c r="A1109" s="2" t="n">
        <v>1098</v>
      </c>
      <c r="B1109" s="13" t="n">
        <f aca="true">OFFSET(Datos!$B$1,1+$B$4+1097,0)</f>
        <v>57.3769999999997</v>
      </c>
      <c r="C1109" s="13" t="n">
        <f aca="true">OFFSET(Datos!$D$1,1+$B$4+1097,0)</f>
        <v>160.037935552378</v>
      </c>
      <c r="D1109" s="13" t="n">
        <f aca="true">OFFSET(Datos!$D$1,1+1097,0)</f>
        <v>161.069103219527</v>
      </c>
      <c r="E1109" s="13" t="n">
        <f aca="false">C1109-D1109</f>
        <v>-1.03116766714908</v>
      </c>
    </row>
    <row r="1110" customFormat="false" ht="15" hidden="false" customHeight="false" outlineLevel="0" collapsed="false">
      <c r="A1110" s="2" t="n">
        <v>1099</v>
      </c>
      <c r="B1110" s="13" t="n">
        <f aca="true">OFFSET(Datos!$B$1,1+$B$4+1098,0)</f>
        <v>57.4269999999999</v>
      </c>
      <c r="C1110" s="13" t="n">
        <f aca="true">OFFSET(Datos!$D$1,1+$B$4+1098,0)</f>
        <v>156.548378533444</v>
      </c>
      <c r="D1110" s="13" t="n">
        <f aca="true">OFFSET(Datos!$D$1,1+1098,0)</f>
        <v>161.857643200288</v>
      </c>
      <c r="E1110" s="13" t="n">
        <f aca="false">C1110-D1110</f>
        <v>-5.30926466684363</v>
      </c>
    </row>
    <row r="1111" customFormat="false" ht="15" hidden="false" customHeight="false" outlineLevel="0" collapsed="false">
      <c r="A1111" s="2" t="n">
        <v>1100</v>
      </c>
      <c r="B1111" s="13" t="n">
        <f aca="true">OFFSET(Datos!$B$1,1+$B$4+1099,0)</f>
        <v>57.4770000000001</v>
      </c>
      <c r="C1111" s="13" t="n">
        <f aca="true">OFFSET(Datos!$D$1,1+$B$4+1099,0)</f>
        <v>155.288855396753</v>
      </c>
      <c r="D1111" s="13" t="n">
        <f aca="true">OFFSET(Datos!$D$1,1+1099,0)</f>
        <v>154.15778221168</v>
      </c>
      <c r="E1111" s="13" t="n">
        <f aca="false">C1111-D1111</f>
        <v>1.13107318507355</v>
      </c>
    </row>
    <row r="1112" customFormat="false" ht="15" hidden="false" customHeight="false" outlineLevel="0" collapsed="false">
      <c r="A1112" s="2" t="n">
        <v>1101</v>
      </c>
      <c r="B1112" s="13" t="n">
        <f aca="true">OFFSET(Datos!$B$1,1+$B$4+1100,0)</f>
        <v>57.5269999999998</v>
      </c>
      <c r="C1112" s="13" t="n">
        <f aca="true">OFFSET(Datos!$D$1,1+$B$4+1100,0)</f>
        <v>155.902560721147</v>
      </c>
      <c r="D1112" s="13" t="n">
        <f aca="true">OFFSET(Datos!$D$1,1+1100,0)</f>
        <v>156.052418998033</v>
      </c>
      <c r="E1112" s="13" t="n">
        <f aca="false">C1112-D1112</f>
        <v>-0.149858276886704</v>
      </c>
    </row>
    <row r="1113" customFormat="false" ht="15" hidden="false" customHeight="false" outlineLevel="0" collapsed="false">
      <c r="A1113" s="2" t="n">
        <v>1102</v>
      </c>
      <c r="B1113" s="13" t="n">
        <f aca="true">OFFSET(Datos!$B$1,1+$B$4+1101,0)</f>
        <v>57.577</v>
      </c>
      <c r="C1113" s="13" t="n">
        <f aca="true">OFFSET(Datos!$D$1,1+$B$4+1101,0)</f>
        <v>155.024819385096</v>
      </c>
      <c r="D1113" s="13" t="n">
        <f aca="true">OFFSET(Datos!$D$1,1+1101,0)</f>
        <v>154.92134581296</v>
      </c>
      <c r="E1113" s="13" t="n">
        <f aca="false">C1113-D1113</f>
        <v>0.103473572136068</v>
      </c>
    </row>
    <row r="1114" customFormat="false" ht="15" hidden="false" customHeight="false" outlineLevel="0" collapsed="false">
      <c r="A1114" s="2" t="n">
        <v>1103</v>
      </c>
      <c r="B1114" s="13" t="n">
        <f aca="true">OFFSET(Datos!$B$1,1+$B$4+1102,0)</f>
        <v>57.6269999999997</v>
      </c>
      <c r="C1114" s="13" t="n">
        <f aca="true">OFFSET(Datos!$D$1,1+$B$4+1102,0)</f>
        <v>156.58405907556</v>
      </c>
      <c r="D1114" s="13" t="n">
        <f aca="true">OFFSET(Datos!$D$1,1+1102,0)</f>
        <v>159.185170595808</v>
      </c>
      <c r="E1114" s="13" t="n">
        <f aca="false">C1114-D1114</f>
        <v>-2.60111152024797</v>
      </c>
    </row>
    <row r="1115" customFormat="false" ht="15" hidden="false" customHeight="false" outlineLevel="0" collapsed="false">
      <c r="A1115" s="2" t="n">
        <v>1104</v>
      </c>
      <c r="B1115" s="13" t="n">
        <f aca="true">OFFSET(Datos!$B$1,1+$B$4+1103,0)</f>
        <v>57.6769999999999</v>
      </c>
      <c r="C1115" s="13" t="n">
        <f aca="true">OFFSET(Datos!$D$1,1+$B$4+1103,0)</f>
        <v>151.560238745643</v>
      </c>
      <c r="D1115" s="13" t="n">
        <f aca="true">OFFSET(Datos!$D$1,1+1103,0)</f>
        <v>155.688477468451</v>
      </c>
      <c r="E1115" s="13" t="n">
        <f aca="false">C1115-D1115</f>
        <v>-4.12823872280785</v>
      </c>
    </row>
    <row r="1116" customFormat="false" ht="15" hidden="false" customHeight="false" outlineLevel="0" collapsed="false">
      <c r="A1116" s="2" t="n">
        <v>1105</v>
      </c>
      <c r="B1116" s="13" t="n">
        <f aca="true">OFFSET(Datos!$B$1,1+$B$4+1104,0)</f>
        <v>57.7270000000001</v>
      </c>
      <c r="C1116" s="13" t="n">
        <f aca="true">OFFSET(Datos!$D$1,1+$B$4+1104,0)</f>
        <v>154.992706897192</v>
      </c>
      <c r="D1116" s="13" t="n">
        <f aca="true">OFFSET(Datos!$D$1,1+1104,0)</f>
        <v>158.810524903591</v>
      </c>
      <c r="E1116" s="13" t="n">
        <f aca="false">C1116-D1116</f>
        <v>-3.81781800639968</v>
      </c>
    </row>
    <row r="1117" customFormat="false" ht="15" hidden="false" customHeight="false" outlineLevel="0" collapsed="false">
      <c r="A1117" s="2" t="n">
        <v>1106</v>
      </c>
      <c r="B1117" s="13" t="n">
        <f aca="true">OFFSET(Datos!$B$1,1+$B$4+1105,0)</f>
        <v>57.7769999999998</v>
      </c>
      <c r="C1117" s="13" t="n">
        <f aca="true">OFFSET(Datos!$D$1,1+$B$4+1105,0)</f>
        <v>158.482263916125</v>
      </c>
      <c r="D1117" s="13" t="n">
        <f aca="true">OFFSET(Datos!$D$1,1+1105,0)</f>
        <v>159.170898378962</v>
      </c>
      <c r="E1117" s="13" t="n">
        <f aca="false">C1117-D1117</f>
        <v>-0.688634462836575</v>
      </c>
    </row>
    <row r="1118" customFormat="false" ht="15" hidden="false" customHeight="false" outlineLevel="0" collapsed="false">
      <c r="A1118" s="2" t="n">
        <v>1107</v>
      </c>
      <c r="B1118" s="13" t="n">
        <f aca="true">OFFSET(Datos!$B$1,1+$B$4+1106,0)</f>
        <v>57.827</v>
      </c>
      <c r="C1118" s="13" t="n">
        <f aca="true">OFFSET(Datos!$D$1,1+$B$4+1106,0)</f>
        <v>159.852396733375</v>
      </c>
      <c r="D1118" s="13" t="n">
        <f aca="true">OFFSET(Datos!$D$1,1+1106,0)</f>
        <v>156.67326043085</v>
      </c>
      <c r="E1118" s="13" t="n">
        <f aca="false">C1118-D1118</f>
        <v>3.17913630252531</v>
      </c>
    </row>
    <row r="1119" customFormat="false" ht="15" hidden="false" customHeight="false" outlineLevel="0" collapsed="false">
      <c r="A1119" s="2" t="n">
        <v>1108</v>
      </c>
      <c r="B1119" s="13" t="n">
        <f aca="true">OFFSET(Datos!$B$1,1+$B$4+1107,0)</f>
        <v>57.8769999999997</v>
      </c>
      <c r="C1119" s="13" t="n">
        <f aca="true">OFFSET(Datos!$D$1,1+$B$4+1107,0)</f>
        <v>159.313620547425</v>
      </c>
      <c r="D1119" s="13" t="n">
        <f aca="true">OFFSET(Datos!$D$1,1+1107,0)</f>
        <v>157.247717158915</v>
      </c>
      <c r="E1119" s="13" t="n">
        <f aca="false">C1119-D1119</f>
        <v>2.06590338850972</v>
      </c>
    </row>
    <row r="1120" customFormat="false" ht="15" hidden="false" customHeight="false" outlineLevel="0" collapsed="false">
      <c r="A1120" s="2" t="n">
        <v>1109</v>
      </c>
      <c r="B1120" s="13" t="n">
        <f aca="true">OFFSET(Datos!$B$1,1+$B$4+1108,0)</f>
        <v>57.9269999999999</v>
      </c>
      <c r="C1120" s="13" t="n">
        <f aca="true">OFFSET(Datos!$D$1,1+$B$4+1108,0)</f>
        <v>156.394952202346</v>
      </c>
      <c r="D1120" s="13" t="n">
        <f aca="true">OFFSET(Datos!$D$1,1+1108,0)</f>
        <v>158.521512512453</v>
      </c>
      <c r="E1120" s="13" t="n">
        <f aca="false">C1120-D1120</f>
        <v>-2.12656031010673</v>
      </c>
    </row>
    <row r="1121" customFormat="false" ht="15" hidden="false" customHeight="false" outlineLevel="0" collapsed="false">
      <c r="A1121" s="2" t="n">
        <v>1110</v>
      </c>
      <c r="B1121" s="13" t="n">
        <f aca="true">OFFSET(Datos!$B$1,1+$B$4+1109,0)</f>
        <v>57.9770000000001</v>
      </c>
      <c r="C1121" s="13" t="n">
        <f aca="true">OFFSET(Datos!$D$1,1+$B$4+1109,0)</f>
        <v>158.457287536644</v>
      </c>
      <c r="D1121" s="13" t="n">
        <f aca="true">OFFSET(Datos!$D$1,1+1109,0)</f>
        <v>156.58405907556</v>
      </c>
      <c r="E1121" s="13" t="n">
        <f aca="false">C1121-D1121</f>
        <v>1.87322846108395</v>
      </c>
    </row>
    <row r="1122" customFormat="false" ht="15" hidden="false" customHeight="false" outlineLevel="0" collapsed="false">
      <c r="A1122" s="2" t="n">
        <v>1111</v>
      </c>
      <c r="B1122" s="13" t="n">
        <f aca="true">OFFSET(Datos!$B$1,1+$B$4+1110,0)</f>
        <v>58.0269999999998</v>
      </c>
      <c r="C1122" s="13" t="n">
        <f aca="true">OFFSET(Datos!$D$1,1+$B$4+1110,0)</f>
        <v>157.665179501671</v>
      </c>
      <c r="D1122" s="13" t="n">
        <f aca="true">OFFSET(Datos!$D$1,1+1110,0)</f>
        <v>156.908752008815</v>
      </c>
      <c r="E1122" s="13" t="n">
        <f aca="false">C1122-D1122</f>
        <v>0.756427492856744</v>
      </c>
    </row>
    <row r="1123" customFormat="false" ht="15" hidden="false" customHeight="false" outlineLevel="0" collapsed="false">
      <c r="A1123" s="2" t="n">
        <v>1112</v>
      </c>
      <c r="B1123" s="13" t="n">
        <f aca="true">OFFSET(Datos!$B$1,1+$B$4+1111,0)</f>
        <v>58.077</v>
      </c>
      <c r="C1123" s="13" t="n">
        <f aca="true">OFFSET(Datos!$D$1,1+$B$4+1111,0)</f>
        <v>157.219172725223</v>
      </c>
      <c r="D1123" s="13" t="n">
        <f aca="true">OFFSET(Datos!$D$1,1+1111,0)</f>
        <v>153.929426742138</v>
      </c>
      <c r="E1123" s="13" t="n">
        <f aca="false">C1123-D1123</f>
        <v>3.28974598308457</v>
      </c>
    </row>
    <row r="1124" customFormat="false" ht="15" hidden="false" customHeight="false" outlineLevel="0" collapsed="false">
      <c r="A1124" s="2" t="n">
        <v>1113</v>
      </c>
      <c r="B1124" s="13" t="n">
        <f aca="true">OFFSET(Datos!$B$1,1+$B$4+1112,0)</f>
        <v>58.1269999999997</v>
      </c>
      <c r="C1124" s="13" t="n">
        <f aca="true">OFFSET(Datos!$D$1,1+$B$4+1112,0)</f>
        <v>159.056720644191</v>
      </c>
      <c r="D1124" s="13" t="n">
        <f aca="true">OFFSET(Datos!$D$1,1+1112,0)</f>
        <v>153.733183760501</v>
      </c>
      <c r="E1124" s="13" t="n">
        <f aca="false">C1124-D1124</f>
        <v>5.32353688369</v>
      </c>
    </row>
    <row r="1125" customFormat="false" ht="15" hidden="false" customHeight="false" outlineLevel="0" collapsed="false">
      <c r="A1125" s="2" t="n">
        <v>1114</v>
      </c>
      <c r="B1125" s="13" t="n">
        <f aca="true">OFFSET(Datos!$B$1,1+$B$4+1113,0)</f>
        <v>58.1769999999999</v>
      </c>
      <c r="C1125" s="13" t="n">
        <f aca="true">OFFSET(Datos!$D$1,1+$B$4+1113,0)</f>
        <v>157.565273983747</v>
      </c>
      <c r="D1125" s="13" t="n">
        <f aca="true">OFFSET(Datos!$D$1,1+1113,0)</f>
        <v>155.403033131524</v>
      </c>
      <c r="E1125" s="13" t="n">
        <f aca="false">C1125-D1125</f>
        <v>2.1622408522226</v>
      </c>
    </row>
    <row r="1126" customFormat="false" ht="15" hidden="false" customHeight="false" outlineLevel="0" collapsed="false">
      <c r="A1126" s="2" t="n">
        <v>1115</v>
      </c>
      <c r="B1126" s="13" t="n">
        <f aca="true">OFFSET(Datos!$B$1,1+$B$4+1114,0)</f>
        <v>58.2270000000001</v>
      </c>
      <c r="C1126" s="13" t="n">
        <f aca="true">OFFSET(Datos!$D$1,1+$B$4+1114,0)</f>
        <v>159.891645329703</v>
      </c>
      <c r="D1126" s="13" t="n">
        <f aca="true">OFFSET(Datos!$D$1,1+1114,0)</f>
        <v>157.800765561712</v>
      </c>
      <c r="E1126" s="13" t="n">
        <f aca="false">C1126-D1126</f>
        <v>2.09087976799086</v>
      </c>
    </row>
    <row r="1127" customFormat="false" ht="15" hidden="false" customHeight="false" outlineLevel="0" collapsed="false">
      <c r="A1127" s="2" t="n">
        <v>1116</v>
      </c>
      <c r="B1127" s="13" t="n">
        <f aca="true">OFFSET(Datos!$B$1,1+$B$4+1115,0)</f>
        <v>58.2769999999998</v>
      </c>
      <c r="C1127" s="13" t="n">
        <f aca="true">OFFSET(Datos!$D$1,1+$B$4+1115,0)</f>
        <v>159.424230227984</v>
      </c>
      <c r="D1127" s="13" t="n">
        <f aca="true">OFFSET(Datos!$D$1,1+1115,0)</f>
        <v>151.249818029235</v>
      </c>
      <c r="E1127" s="13" t="n">
        <f aca="false">C1127-D1127</f>
        <v>8.1744121987492</v>
      </c>
    </row>
    <row r="1128" customFormat="false" ht="15" hidden="false" customHeight="false" outlineLevel="0" collapsed="false">
      <c r="A1128" s="2" t="n">
        <v>1117</v>
      </c>
      <c r="B1128" s="13" t="n">
        <f aca="true">OFFSET(Datos!$B$1,1+$B$4+1116,0)</f>
        <v>58.327</v>
      </c>
      <c r="C1128" s="13" t="n">
        <f aca="true">OFFSET(Datos!$D$1,1+$B$4+1116,0)</f>
        <v>155.338808155716</v>
      </c>
      <c r="D1128" s="13" t="n">
        <f aca="true">OFFSET(Datos!$D$1,1+1116,0)</f>
        <v>156.180868949651</v>
      </c>
      <c r="E1128" s="13" t="n">
        <f aca="false">C1128-D1128</f>
        <v>-0.842060793934877</v>
      </c>
    </row>
    <row r="1129" customFormat="false" ht="15" hidden="false" customHeight="false" outlineLevel="0" collapsed="false">
      <c r="A1129" s="2" t="n">
        <v>1118</v>
      </c>
      <c r="B1129" s="13" t="n">
        <f aca="true">OFFSET(Datos!$B$1,1+$B$4+1117,0)</f>
        <v>58.3769999999997</v>
      </c>
      <c r="C1129" s="13" t="n">
        <f aca="true">OFFSET(Datos!$D$1,1+$B$4+1117,0)</f>
        <v>160.259154913496</v>
      </c>
      <c r="D1129" s="13" t="n">
        <f aca="true">OFFSET(Datos!$D$1,1+1117,0)</f>
        <v>155.706317739509</v>
      </c>
      <c r="E1129" s="13" t="n">
        <f aca="false">C1129-D1129</f>
        <v>4.55283717398689</v>
      </c>
    </row>
    <row r="1130" customFormat="false" ht="15" hidden="false" customHeight="false" outlineLevel="0" collapsed="false">
      <c r="A1130" s="2" t="n">
        <v>1119</v>
      </c>
      <c r="B1130" s="13" t="n">
        <f aca="true">OFFSET(Datos!$B$1,1+$B$4+1118,0)</f>
        <v>58.4269999999999</v>
      </c>
      <c r="C1130" s="13" t="n">
        <f aca="true">OFFSET(Datos!$D$1,1+$B$4+1118,0)</f>
        <v>158.478695861914</v>
      </c>
      <c r="D1130" s="13" t="n">
        <f aca="true">OFFSET(Datos!$D$1,1+1118,0)</f>
        <v>160.62666449729</v>
      </c>
      <c r="E1130" s="13" t="n">
        <f aca="false">C1130-D1130</f>
        <v>-2.14796863537623</v>
      </c>
    </row>
    <row r="1131" customFormat="false" ht="15" hidden="false" customHeight="false" outlineLevel="0" collapsed="false">
      <c r="A1131" s="2" t="n">
        <v>1120</v>
      </c>
      <c r="B1131" s="13" t="n">
        <f aca="true">OFFSET(Datos!$B$1,1+$B$4+1119,0)</f>
        <v>58.4770000000001</v>
      </c>
      <c r="C1131" s="13" t="n">
        <f aca="true">OFFSET(Datos!$D$1,1+$B$4+1119,0)</f>
        <v>156.344999443384</v>
      </c>
      <c r="D1131" s="13" t="n">
        <f aca="true">OFFSET(Datos!$D$1,1+1119,0)</f>
        <v>156.205845329132</v>
      </c>
      <c r="E1131" s="13" t="n">
        <f aca="false">C1131-D1131</f>
        <v>0.139154114251937</v>
      </c>
    </row>
    <row r="1132" customFormat="false" ht="15" hidden="false" customHeight="false" outlineLevel="0" collapsed="false">
      <c r="A1132" s="2" t="n">
        <v>1121</v>
      </c>
      <c r="B1132" s="13" t="n">
        <f aca="true">OFFSET(Datos!$B$1,1+$B$4+1120,0)</f>
        <v>58.5269999999998</v>
      </c>
      <c r="C1132" s="13" t="n">
        <f aca="true">OFFSET(Datos!$D$1,1+$B$4+1120,0)</f>
        <v>158.753436036206</v>
      </c>
      <c r="D1132" s="13" t="n">
        <f aca="true">OFFSET(Datos!$D$1,1+1120,0)</f>
        <v>158.724891602513</v>
      </c>
      <c r="E1132" s="13" t="n">
        <f aca="false">C1132-D1132</f>
        <v>0.0285444336927014</v>
      </c>
    </row>
    <row r="1133" customFormat="false" ht="15" hidden="false" customHeight="false" outlineLevel="0" collapsed="false">
      <c r="A1133" s="2" t="n">
        <v>1122</v>
      </c>
      <c r="B1133" s="13" t="n">
        <f aca="true">OFFSET(Datos!$B$1,1+$B$4+1121,0)</f>
        <v>58.577</v>
      </c>
      <c r="C1133" s="13" t="n">
        <f aca="true">OFFSET(Datos!$D$1,1+$B$4+1121,0)</f>
        <v>154.250551621181</v>
      </c>
      <c r="D1133" s="13" t="n">
        <f aca="true">OFFSET(Datos!$D$1,1+1121,0)</f>
        <v>155.317399830446</v>
      </c>
      <c r="E1133" s="13" t="n">
        <f aca="false">C1133-D1133</f>
        <v>-1.06684820926495</v>
      </c>
    </row>
    <row r="1134" customFormat="false" ht="15" hidden="false" customHeight="false" outlineLevel="0" collapsed="false">
      <c r="A1134" s="2" t="n">
        <v>1123</v>
      </c>
      <c r="B1134" s="13" t="n">
        <f aca="true">OFFSET(Datos!$B$1,1+$B$4+1122,0)</f>
        <v>58.6269999999997</v>
      </c>
      <c r="C1134" s="13" t="n">
        <f aca="true">OFFSET(Datos!$D$1,1+$B$4+1122,0)</f>
        <v>157.754380856961</v>
      </c>
      <c r="D1134" s="13" t="n">
        <f aca="true">OFFSET(Datos!$D$1,1+1122,0)</f>
        <v>153.668958784692</v>
      </c>
      <c r="E1134" s="13" t="n">
        <f aca="false">C1134-D1134</f>
        <v>4.08542207226881</v>
      </c>
    </row>
    <row r="1135" customFormat="false" ht="15" hidden="false" customHeight="false" outlineLevel="0" collapsed="false">
      <c r="A1135" s="2" t="n">
        <v>1124</v>
      </c>
      <c r="B1135" s="13" t="n">
        <f aca="true">OFFSET(Datos!$B$1,1+$B$4+1123,0)</f>
        <v>58.6769999999999</v>
      </c>
      <c r="C1135" s="13" t="n">
        <f aca="true">OFFSET(Datos!$D$1,1+$B$4+1123,0)</f>
        <v>156.591195183983</v>
      </c>
      <c r="D1135" s="13" t="n">
        <f aca="true">OFFSET(Datos!$D$1,1+1123,0)</f>
        <v>157.386871273167</v>
      </c>
      <c r="E1135" s="13" t="n">
        <f aca="false">C1135-D1135</f>
        <v>-0.795676089184241</v>
      </c>
    </row>
    <row r="1136" customFormat="false" ht="15" hidden="false" customHeight="false" outlineLevel="0" collapsed="false">
      <c r="A1136" s="2" t="n">
        <v>1125</v>
      </c>
      <c r="B1136" s="13" t="n">
        <f aca="true">OFFSET(Datos!$B$1,1+$B$4+1124,0)</f>
        <v>58.7270000000001</v>
      </c>
      <c r="C1136" s="13" t="n">
        <f aca="true">OFFSET(Datos!$D$1,1+$B$4+1124,0)</f>
        <v>162.296513868313</v>
      </c>
      <c r="D1136" s="13" t="n">
        <f aca="true">OFFSET(Datos!$D$1,1+1124,0)</f>
        <v>156.609035455041</v>
      </c>
      <c r="E1136" s="13" t="n">
        <f aca="false">C1136-D1136</f>
        <v>5.68747841327203</v>
      </c>
    </row>
    <row r="1137" customFormat="false" ht="15" hidden="false" customHeight="false" outlineLevel="0" collapsed="false">
      <c r="A1137" s="2" t="n">
        <v>1126</v>
      </c>
      <c r="B1137" s="13" t="n">
        <f aca="true">OFFSET(Datos!$B$1,1+$B$4+1125,0)</f>
        <v>58.7769999999998</v>
      </c>
      <c r="C1137" s="13" t="n">
        <f aca="true">OFFSET(Datos!$D$1,1+$B$4+1125,0)</f>
        <v>155.206790149887</v>
      </c>
      <c r="D1137" s="13" t="n">
        <f aca="true">OFFSET(Datos!$D$1,1+1125,0)</f>
        <v>155.285287342542</v>
      </c>
      <c r="E1137" s="13" t="n">
        <f aca="false">C1137-D1137</f>
        <v>-0.078497192654936</v>
      </c>
    </row>
    <row r="1138" customFormat="false" ht="15" hidden="false" customHeight="false" outlineLevel="0" collapsed="false">
      <c r="A1138" s="2" t="n">
        <v>1127</v>
      </c>
      <c r="B1138" s="13" t="n">
        <f aca="true">OFFSET(Datos!$B$1,1+$B$4+1126,0)</f>
        <v>58.827</v>
      </c>
      <c r="C1138" s="13" t="n">
        <f aca="true">OFFSET(Datos!$D$1,1+$B$4+1126,0)</f>
        <v>158.418038940316</v>
      </c>
      <c r="D1138" s="13" t="n">
        <f aca="true">OFFSET(Datos!$D$1,1+1126,0)</f>
        <v>158.421606994528</v>
      </c>
      <c r="E1138" s="13" t="n">
        <f aca="false">C1138-D1138</f>
        <v>-0.00356805421159834</v>
      </c>
    </row>
    <row r="1139" customFormat="false" ht="15" hidden="false" customHeight="false" outlineLevel="0" collapsed="false">
      <c r="A1139" s="2" t="n">
        <v>1128</v>
      </c>
      <c r="B1139" s="13" t="n">
        <f aca="true">OFFSET(Datos!$B$1,1+$B$4+1127,0)</f>
        <v>58.8769999999997</v>
      </c>
      <c r="C1139" s="13" t="n">
        <f aca="true">OFFSET(Datos!$D$1,1+$B$4+1127,0)</f>
        <v>159.948734197088</v>
      </c>
      <c r="D1139" s="13" t="n">
        <f aca="true">OFFSET(Datos!$D$1,1+1127,0)</f>
        <v>156.027442618552</v>
      </c>
      <c r="E1139" s="13" t="n">
        <f aca="false">C1139-D1139</f>
        <v>3.92129157853572</v>
      </c>
    </row>
    <row r="1140" customFormat="false" ht="15" hidden="false" customHeight="false" outlineLevel="0" collapsed="false">
      <c r="A1140" s="2" t="n">
        <v>1129</v>
      </c>
      <c r="B1140" s="13" t="n">
        <f aca="true">OFFSET(Datos!$B$1,1+$B$4+1128,0)</f>
        <v>58.9269999999999</v>
      </c>
      <c r="C1140" s="13" t="n">
        <f aca="true">OFFSET(Datos!$D$1,1+$B$4+1128,0)</f>
        <v>160.159249395572</v>
      </c>
      <c r="D1140" s="13" t="n">
        <f aca="true">OFFSET(Datos!$D$1,1+1128,0)</f>
        <v>159.84169257074</v>
      </c>
      <c r="E1140" s="13" t="n">
        <f aca="false">C1140-D1140</f>
        <v>0.317556824831371</v>
      </c>
    </row>
    <row r="1141" customFormat="false" ht="15" hidden="false" customHeight="false" outlineLevel="0" collapsed="false">
      <c r="A1141" s="2" t="n">
        <v>1130</v>
      </c>
      <c r="B1141" s="13" t="n">
        <f aca="true">OFFSET(Datos!$B$1,1+$B$4+1129,0)</f>
        <v>58.9770000000001</v>
      </c>
      <c r="C1141" s="13" t="n">
        <f aca="true">OFFSET(Datos!$D$1,1+$B$4+1129,0)</f>
        <v>158.585737488261</v>
      </c>
      <c r="D1141" s="13" t="n">
        <f aca="true">OFFSET(Datos!$D$1,1+1129,0)</f>
        <v>157.34762267684</v>
      </c>
      <c r="E1141" s="13" t="n">
        <f aca="false">C1141-D1141</f>
        <v>1.23811481142121</v>
      </c>
    </row>
    <row r="1142" customFormat="false" ht="15" hidden="false" customHeight="false" outlineLevel="0" collapsed="false">
      <c r="A1142" s="2" t="n">
        <v>1131</v>
      </c>
      <c r="B1142" s="13" t="n">
        <f aca="true">OFFSET(Datos!$B$1,1+$B$4+1130,0)</f>
        <v>59.0269999999998</v>
      </c>
      <c r="C1142" s="13" t="n">
        <f aca="true">OFFSET(Datos!$D$1,1+$B$4+1130,0)</f>
        <v>162.196608350389</v>
      </c>
      <c r="D1142" s="13" t="n">
        <f aca="true">OFFSET(Datos!$D$1,1+1130,0)</f>
        <v>156.266502250729</v>
      </c>
      <c r="E1142" s="13" t="n">
        <f aca="false">C1142-D1142</f>
        <v>5.93010609966004</v>
      </c>
    </row>
    <row r="1143" customFormat="false" ht="15" hidden="false" customHeight="false" outlineLevel="0" collapsed="false">
      <c r="A1143" s="2" t="n">
        <v>1132</v>
      </c>
      <c r="B1143" s="13" t="n">
        <f aca="true">OFFSET(Datos!$B$1,1+$B$4+1131,0)</f>
        <v>59.077</v>
      </c>
      <c r="C1143" s="13" t="n">
        <f aca="true">OFFSET(Datos!$D$1,1+$B$4+1131,0)</f>
        <v>166.860055204935</v>
      </c>
      <c r="D1143" s="13" t="n">
        <f aca="true">OFFSET(Datos!$D$1,1+1131,0)</f>
        <v>150.707473789074</v>
      </c>
      <c r="E1143" s="13" t="n">
        <f aca="false">C1143-D1143</f>
        <v>16.152581415861</v>
      </c>
    </row>
    <row r="1144" customFormat="false" ht="15" hidden="false" customHeight="false" outlineLevel="0" collapsed="false">
      <c r="A1144" s="2" t="n">
        <v>1133</v>
      </c>
      <c r="B1144" s="13" t="n">
        <f aca="true">OFFSET(Datos!$B$1,1+$B$4+1132,0)</f>
        <v>59.1269999999997</v>
      </c>
      <c r="C1144" s="13" t="n">
        <f aca="true">OFFSET(Datos!$D$1,1+$B$4+1132,0)</f>
        <v>160.480374274615</v>
      </c>
      <c r="D1144" s="13" t="n">
        <f aca="true">OFFSET(Datos!$D$1,1+1132,0)</f>
        <v>155.378056752043</v>
      </c>
      <c r="E1144" s="13" t="n">
        <f aca="false">C1144-D1144</f>
        <v>5.1023175225715</v>
      </c>
    </row>
    <row r="1145" customFormat="false" ht="15" hidden="false" customHeight="false" outlineLevel="0" collapsed="false">
      <c r="A1145" s="2" t="n">
        <v>1134</v>
      </c>
      <c r="B1145" s="13" t="n">
        <f aca="true">OFFSET(Datos!$B$1,1+$B$4+1133,0)</f>
        <v>59.1769999999999</v>
      </c>
      <c r="C1145" s="13" t="n">
        <f aca="true">OFFSET(Datos!$D$1,1+$B$4+1133,0)</f>
        <v>161.807690441326</v>
      </c>
      <c r="D1145" s="13" t="n">
        <f aca="true">OFFSET(Datos!$D$1,1+1133,0)</f>
        <v>154.650173692879</v>
      </c>
      <c r="E1145" s="13" t="n">
        <f aca="false">C1145-D1145</f>
        <v>7.15751674844645</v>
      </c>
    </row>
    <row r="1146" customFormat="false" ht="15" hidden="false" customHeight="false" outlineLevel="0" collapsed="false">
      <c r="A1146" s="2" t="n">
        <v>1135</v>
      </c>
      <c r="B1146" s="13" t="n">
        <f aca="true">OFFSET(Datos!$B$1,1+$B$4+1134,0)</f>
        <v>59.2270000000001</v>
      </c>
      <c r="C1146" s="13" t="n">
        <f aca="true">OFFSET(Datos!$D$1,1+$B$4+1134,0)</f>
        <v>159.070992861037</v>
      </c>
      <c r="D1146" s="13" t="n">
        <f aca="true">OFFSET(Datos!$D$1,1+1134,0)</f>
        <v>157.757948911173</v>
      </c>
      <c r="E1146" s="13" t="n">
        <f aca="false">C1146-D1146</f>
        <v>1.31304394986455</v>
      </c>
    </row>
    <row r="1147" customFormat="false" ht="15" hidden="false" customHeight="false" outlineLevel="0" collapsed="false">
      <c r="A1147" s="2" t="n">
        <v>1136</v>
      </c>
      <c r="B1147" s="13" t="n">
        <f aca="true">OFFSET(Datos!$B$1,1+$B$4+1135,0)</f>
        <v>59.2769999999998</v>
      </c>
      <c r="C1147" s="13" t="n">
        <f aca="true">OFFSET(Datos!$D$1,1+$B$4+1135,0)</f>
        <v>163.556037005004</v>
      </c>
      <c r="D1147" s="13" t="n">
        <f aca="true">OFFSET(Datos!$D$1,1+1135,0)</f>
        <v>153.793840682098</v>
      </c>
      <c r="E1147" s="13" t="n">
        <f aca="false">C1147-D1147</f>
        <v>9.76219632290605</v>
      </c>
    </row>
    <row r="1148" customFormat="false" ht="15" hidden="false" customHeight="false" outlineLevel="0" collapsed="false">
      <c r="A1148" s="2" t="n">
        <v>1137</v>
      </c>
      <c r="B1148" s="13" t="n">
        <f aca="true">OFFSET(Datos!$B$1,1+$B$4+1136,0)</f>
        <v>59.327</v>
      </c>
      <c r="C1148" s="13" t="n">
        <f aca="true">OFFSET(Datos!$D$1,1+$B$4+1136,0)</f>
        <v>168.540608738593</v>
      </c>
      <c r="D1148" s="13" t="n">
        <f aca="true">OFFSET(Datos!$D$1,1+1136,0)</f>
        <v>155.014115222461</v>
      </c>
      <c r="E1148" s="13" t="n">
        <f aca="false">C1148-D1148</f>
        <v>13.5264935161319</v>
      </c>
    </row>
    <row r="1149" customFormat="false" ht="15" hidden="false" customHeight="false" outlineLevel="0" collapsed="false">
      <c r="A1149" s="2" t="n">
        <v>1138</v>
      </c>
      <c r="B1149" s="13" t="n">
        <f aca="true">OFFSET(Datos!$B$1,1+$B$4+1137,0)</f>
        <v>59.3769999999997</v>
      </c>
      <c r="C1149" s="13" t="n">
        <f aca="true">OFFSET(Datos!$D$1,1+$B$4+1137,0)</f>
        <v>161.836234875018</v>
      </c>
      <c r="D1149" s="13" t="n">
        <f aca="true">OFFSET(Datos!$D$1,1+1137,0)</f>
        <v>152.69844803914</v>
      </c>
      <c r="E1149" s="13" t="n">
        <f aca="false">C1149-D1149</f>
        <v>9.13778683587807</v>
      </c>
    </row>
    <row r="1150" customFormat="false" ht="15" hidden="false" customHeight="false" outlineLevel="0" collapsed="false">
      <c r="A1150" s="2" t="n">
        <v>1139</v>
      </c>
      <c r="B1150" s="13" t="n">
        <f aca="true">OFFSET(Datos!$B$1,1+$B$4+1138,0)</f>
        <v>59.4269999999999</v>
      </c>
      <c r="C1150" s="13" t="n">
        <f aca="true">OFFSET(Datos!$D$1,1+$B$4+1138,0)</f>
        <v>163.252752397019</v>
      </c>
      <c r="D1150" s="13" t="n">
        <f aca="true">OFFSET(Datos!$D$1,1+1138,0)</f>
        <v>155.035523547731</v>
      </c>
      <c r="E1150" s="13" t="n">
        <f aca="false">C1150-D1150</f>
        <v>8.21722884928826</v>
      </c>
    </row>
    <row r="1151" customFormat="false" ht="15" hidden="false" customHeight="false" outlineLevel="0" collapsed="false">
      <c r="A1151" s="2" t="n">
        <v>1140</v>
      </c>
      <c r="B1151" s="13" t="n">
        <f aca="true">OFFSET(Datos!$B$1,1+$B$4+1139,0)</f>
        <v>59.4770000000001</v>
      </c>
      <c r="C1151" s="13" t="n">
        <f aca="true">OFFSET(Datos!$D$1,1+$B$4+1139,0)</f>
        <v>163.192095475422</v>
      </c>
      <c r="D1151" s="13" t="n">
        <f aca="true">OFFSET(Datos!$D$1,1+1139,0)</f>
        <v>155.178245716194</v>
      </c>
      <c r="E1151" s="13" t="n">
        <f aca="false">C1151-D1151</f>
        <v>8.0138497592277</v>
      </c>
    </row>
    <row r="1152" customFormat="false" ht="15" hidden="false" customHeight="false" outlineLevel="0" collapsed="false">
      <c r="A1152" s="2" t="n">
        <v>1141</v>
      </c>
      <c r="B1152" s="13" t="n">
        <f aca="true">OFFSET(Datos!$B$1,1+$B$4+1140,0)</f>
        <v>59.5269999999998</v>
      </c>
      <c r="C1152" s="13" t="n">
        <f aca="true">OFFSET(Datos!$D$1,1+$B$4+1140,0)</f>
        <v>166.613859464335</v>
      </c>
      <c r="D1152" s="13" t="n">
        <f aca="true">OFFSET(Datos!$D$1,1+1140,0)</f>
        <v>156.883775629333</v>
      </c>
      <c r="E1152" s="13" t="n">
        <f aca="false">C1152-D1152</f>
        <v>9.73008383500175</v>
      </c>
    </row>
    <row r="1153" customFormat="false" ht="15" hidden="false" customHeight="false" outlineLevel="0" collapsed="false">
      <c r="A1153" s="2" t="n">
        <v>1142</v>
      </c>
      <c r="B1153" s="13" t="n">
        <f aca="true">OFFSET(Datos!$B$1,1+$B$4+1141,0)</f>
        <v>59.577</v>
      </c>
      <c r="C1153" s="13" t="n">
        <f aca="true">OFFSET(Datos!$D$1,1+$B$4+1141,0)</f>
        <v>158.286020934488</v>
      </c>
      <c r="D1153" s="13" t="n">
        <f aca="true">OFFSET(Datos!$D$1,1+1141,0)</f>
        <v>155.039091601942</v>
      </c>
      <c r="E1153" s="13" t="n">
        <f aca="false">C1153-D1153</f>
        <v>3.24692933254551</v>
      </c>
    </row>
    <row r="1154" customFormat="false" ht="15" hidden="false" customHeight="false" outlineLevel="0" collapsed="false">
      <c r="A1154" s="2" t="n">
        <v>1143</v>
      </c>
      <c r="B1154" s="13" t="n">
        <f aca="true">OFFSET(Datos!$B$1,1+$B$4+1142,0)</f>
        <v>59.6269999999997</v>
      </c>
      <c r="C1154" s="13" t="n">
        <f aca="true">OFFSET(Datos!$D$1,1+$B$4+1142,0)</f>
        <v>159.855964787587</v>
      </c>
      <c r="D1154" s="13" t="n">
        <f aca="true">OFFSET(Datos!$D$1,1+1142,0)</f>
        <v>157.179924128895</v>
      </c>
      <c r="E1154" s="13" t="n">
        <f aca="false">C1154-D1154</f>
        <v>2.67604065869136</v>
      </c>
    </row>
    <row r="1155" customFormat="false" ht="15" hidden="false" customHeight="false" outlineLevel="0" collapsed="false">
      <c r="A1155" s="2" t="n">
        <v>1144</v>
      </c>
      <c r="B1155" s="13" t="n">
        <f aca="true">OFFSET(Datos!$B$1,1+$B$4+1143,0)</f>
        <v>59.6769999999999</v>
      </c>
      <c r="C1155" s="13" t="n">
        <f aca="true">OFFSET(Datos!$D$1,1+$B$4+1143,0)</f>
        <v>158.557193054568</v>
      </c>
      <c r="D1155" s="13" t="n">
        <f aca="true">OFFSET(Datos!$D$1,1+1143,0)</f>
        <v>159.606200992775</v>
      </c>
      <c r="E1155" s="13" t="n">
        <f aca="false">C1155-D1155</f>
        <v>-1.04900793820701</v>
      </c>
    </row>
    <row r="1156" customFormat="false" ht="15" hidden="false" customHeight="false" outlineLevel="0" collapsed="false">
      <c r="A1156" s="2" t="n">
        <v>1145</v>
      </c>
      <c r="B1156" s="13" t="n">
        <f aca="true">OFFSET(Datos!$B$1,1+$B$4+1144,0)</f>
        <v>59.7270000000001</v>
      </c>
      <c r="C1156" s="13" t="n">
        <f aca="true">OFFSET(Datos!$D$1,1+$B$4+1144,0)</f>
        <v>162.6925678858</v>
      </c>
      <c r="D1156" s="13" t="n">
        <f aca="true">OFFSET(Datos!$D$1,1+1144,0)</f>
        <v>154.032900314274</v>
      </c>
      <c r="E1156" s="13" t="n">
        <f aca="false">C1156-D1156</f>
        <v>8.65966757152523</v>
      </c>
    </row>
    <row r="1157" customFormat="false" ht="15" hidden="false" customHeight="false" outlineLevel="0" collapsed="false">
      <c r="A1157" s="2" t="n">
        <v>1146</v>
      </c>
      <c r="B1157" s="13" t="n">
        <f aca="true">OFFSET(Datos!$B$1,1+$B$4+1145,0)</f>
        <v>59.7769999999998</v>
      </c>
      <c r="C1157" s="13" t="n">
        <f aca="true">OFFSET(Datos!$D$1,1+$B$4+1145,0)</f>
        <v>162.28937775989</v>
      </c>
      <c r="D1157" s="13" t="n">
        <f aca="true">OFFSET(Datos!$D$1,1+1145,0)</f>
        <v>154.00078782637</v>
      </c>
      <c r="E1157" s="13" t="n">
        <f aca="false">C1157-D1157</f>
        <v>8.28858993352</v>
      </c>
    </row>
    <row r="1158" customFormat="false" ht="15" hidden="false" customHeight="false" outlineLevel="0" collapsed="false">
      <c r="A1158" s="2" t="n">
        <v>1147</v>
      </c>
      <c r="B1158" s="13" t="n">
        <f aca="true">OFFSET(Datos!$B$1,1+$B$4+1146,0)</f>
        <v>59.827</v>
      </c>
      <c r="C1158" s="13" t="n">
        <f aca="true">OFFSET(Datos!$D$1,1+$B$4+1146,0)</f>
        <v>155.263879017272</v>
      </c>
      <c r="D1158" s="13" t="n">
        <f aca="true">OFFSET(Datos!$D$1,1+1146,0)</f>
        <v>157.097858882029</v>
      </c>
      <c r="E1158" s="13" t="n">
        <f aca="false">C1158-D1158</f>
        <v>-1.83397986475649</v>
      </c>
    </row>
    <row r="1159" customFormat="false" ht="15" hidden="false" customHeight="false" outlineLevel="0" collapsed="false">
      <c r="A1159" s="2" t="n">
        <v>1148</v>
      </c>
      <c r="B1159" s="13" t="n">
        <f aca="true">OFFSET(Datos!$B$1,1+$B$4+1147,0)</f>
        <v>59.8769999999997</v>
      </c>
      <c r="C1159" s="13" t="n">
        <f aca="true">OFFSET(Datos!$D$1,1+$B$4+1147,0)</f>
        <v>157.683019772729</v>
      </c>
      <c r="D1159" s="13" t="n">
        <f aca="true">OFFSET(Datos!$D$1,1+1147,0)</f>
        <v>160.037935552378</v>
      </c>
      <c r="E1159" s="13" t="n">
        <f aca="false">C1159-D1159</f>
        <v>-2.35491577964837</v>
      </c>
    </row>
    <row r="1160" customFormat="false" ht="15" hidden="false" customHeight="false" outlineLevel="0" collapsed="false">
      <c r="A1160" s="2" t="n">
        <v>1149</v>
      </c>
      <c r="B1160" s="13" t="n">
        <f aca="true">OFFSET(Datos!$B$1,1+$B$4+1148,0)</f>
        <v>59.9269999999999</v>
      </c>
      <c r="C1160" s="13" t="n">
        <f aca="true">OFFSET(Datos!$D$1,1+$B$4+1148,0)</f>
        <v>157.219172725223</v>
      </c>
      <c r="D1160" s="13" t="n">
        <f aca="true">OFFSET(Datos!$D$1,1+1148,0)</f>
        <v>156.548378533444</v>
      </c>
      <c r="E1160" s="13" t="n">
        <f aca="false">C1160-D1160</f>
        <v>0.67079419177864</v>
      </c>
    </row>
    <row r="1161" customFormat="false" ht="15" hidden="false" customHeight="false" outlineLevel="0" collapsed="false">
      <c r="A1161" s="2" t="n">
        <v>1150</v>
      </c>
      <c r="B1161" s="13" t="n">
        <f aca="true">OFFSET(Datos!$B$1,1+$B$4+1149,0)</f>
        <v>59.9770000000001</v>
      </c>
      <c r="C1161" s="13" t="n">
        <f aca="true">OFFSET(Datos!$D$1,1+$B$4+1149,0)</f>
        <v>159.577656559083</v>
      </c>
      <c r="D1161" s="13" t="n">
        <f aca="true">OFFSET(Datos!$D$1,1+1149,0)</f>
        <v>155.288855396753</v>
      </c>
      <c r="E1161" s="13" t="n">
        <f aca="false">C1161-D1161</f>
        <v>4.28880116232932</v>
      </c>
    </row>
    <row r="1162" customFormat="false" ht="15" hidden="false" customHeight="false" outlineLevel="0" collapsed="false">
      <c r="A1162" s="2" t="n">
        <v>1151</v>
      </c>
      <c r="B1162" s="13" t="n">
        <f aca="true">OFFSET(Datos!$B$1,1+$B$4+1150,0)</f>
        <v>60.0269999999998</v>
      </c>
      <c r="C1162" s="13" t="n">
        <f aca="true">OFFSET(Datos!$D$1,1+$B$4+1150,0)</f>
        <v>159.399253848503</v>
      </c>
      <c r="D1162" s="13" t="n">
        <f aca="true">OFFSET(Datos!$D$1,1+1150,0)</f>
        <v>155.902560721147</v>
      </c>
      <c r="E1162" s="13" t="n">
        <f aca="false">C1162-D1162</f>
        <v>3.49669312735671</v>
      </c>
    </row>
    <row r="1163" customFormat="false" ht="15" hidden="false" customHeight="false" outlineLevel="0" collapsed="false">
      <c r="A1163" s="2" t="n">
        <v>1152</v>
      </c>
      <c r="B1163" s="13" t="n">
        <f aca="true">OFFSET(Datos!$B$1,1+$B$4+1151,0)</f>
        <v>60.077</v>
      </c>
      <c r="C1163" s="13" t="n">
        <f aca="true">OFFSET(Datos!$D$1,1+$B$4+1151,0)</f>
        <v>162.967308060092</v>
      </c>
      <c r="D1163" s="13" t="n">
        <f aca="true">OFFSET(Datos!$D$1,1+1151,0)</f>
        <v>155.024819385096</v>
      </c>
      <c r="E1163" s="13" t="n">
        <f aca="false">C1163-D1163</f>
        <v>7.94248867499596</v>
      </c>
    </row>
    <row r="1164" customFormat="false" ht="15" hidden="false" customHeight="false" outlineLevel="0" collapsed="false">
      <c r="A1164" s="2" t="n">
        <v>1153</v>
      </c>
      <c r="B1164" s="13" t="n">
        <f aca="true">OFFSET(Datos!$B$1,1+$B$4+1152,0)</f>
        <v>60.1269999999997</v>
      </c>
      <c r="C1164" s="13" t="n">
        <f aca="true">OFFSET(Datos!$D$1,1+$B$4+1152,0)</f>
        <v>161.229665659048</v>
      </c>
      <c r="D1164" s="13" t="n">
        <f aca="true">OFFSET(Datos!$D$1,1+1152,0)</f>
        <v>156.58405907556</v>
      </c>
      <c r="E1164" s="13" t="n">
        <f aca="false">C1164-D1164</f>
        <v>4.64560658348819</v>
      </c>
    </row>
    <row r="1165" customFormat="false" ht="15" hidden="false" customHeight="false" outlineLevel="0" collapsed="false">
      <c r="A1165" s="2" t="n">
        <v>1154</v>
      </c>
      <c r="B1165" s="13" t="n">
        <f aca="true">OFFSET(Datos!$B$1,1+$B$4+1153,0)</f>
        <v>60.1780000000001</v>
      </c>
      <c r="C1165" s="13" t="n">
        <f aca="true">OFFSET(Datos!$D$1,1+$B$4+1153,0)</f>
        <v>158.803388795168</v>
      </c>
      <c r="D1165" s="13" t="n">
        <f aca="true">OFFSET(Datos!$D$1,1+1153,0)</f>
        <v>151.560238745643</v>
      </c>
      <c r="E1165" s="13" t="n">
        <f aca="false">C1165-D1165</f>
        <v>7.24315004952462</v>
      </c>
    </row>
    <row r="1166" customFormat="false" ht="15" hidden="false" customHeight="false" outlineLevel="0" collapsed="false">
      <c r="A1166" s="2" t="n">
        <v>1155</v>
      </c>
      <c r="B1166" s="13" t="n">
        <f aca="true">OFFSET(Datos!$B$1,1+$B$4+1154,0)</f>
        <v>60.2279999999998</v>
      </c>
      <c r="C1166" s="13" t="n">
        <f aca="true">OFFSET(Datos!$D$1,1+$B$4+1154,0)</f>
        <v>164.076972919896</v>
      </c>
      <c r="D1166" s="13" t="n">
        <f aca="true">OFFSET(Datos!$D$1,1+1154,0)</f>
        <v>154.992706897192</v>
      </c>
      <c r="E1166" s="13" t="n">
        <f aca="false">C1166-D1166</f>
        <v>9.08426602270427</v>
      </c>
    </row>
    <row r="1167" customFormat="false" ht="15" hidden="false" customHeight="false" outlineLevel="0" collapsed="false">
      <c r="A1167" s="2" t="n">
        <v>1156</v>
      </c>
      <c r="B1167" s="13" t="n">
        <f aca="true">OFFSET(Datos!$B$1,1+$B$4+1155,0)</f>
        <v>60.278</v>
      </c>
      <c r="C1167" s="13" t="n">
        <f aca="true">OFFSET(Datos!$D$1,1+$B$4+1155,0)</f>
        <v>156.708940972966</v>
      </c>
      <c r="D1167" s="13" t="n">
        <f aca="true">OFFSET(Datos!$D$1,1+1155,0)</f>
        <v>158.482263916125</v>
      </c>
      <c r="E1167" s="13" t="n">
        <f aca="false">C1167-D1167</f>
        <v>-1.77332294315949</v>
      </c>
    </row>
    <row r="1168" customFormat="false" ht="15" hidden="false" customHeight="false" outlineLevel="0" collapsed="false">
      <c r="A1168" s="2" t="n">
        <v>1157</v>
      </c>
      <c r="B1168" s="13" t="n">
        <f aca="true">OFFSET(Datos!$B$1,1+$B$4+1156,0)</f>
        <v>60.3279999999998</v>
      </c>
      <c r="C1168" s="13" t="n">
        <f aca="true">OFFSET(Datos!$D$1,1+$B$4+1156,0)</f>
        <v>165.843159754632</v>
      </c>
      <c r="D1168" s="13" t="n">
        <f aca="true">OFFSET(Datos!$D$1,1+1156,0)</f>
        <v>159.852396733375</v>
      </c>
      <c r="E1168" s="13" t="n">
        <f aca="false">C1168-D1168</f>
        <v>5.99076302125707</v>
      </c>
    </row>
    <row r="1169" customFormat="false" ht="15" hidden="false" customHeight="false" outlineLevel="0" collapsed="false">
      <c r="A1169" s="2" t="n">
        <v>1158</v>
      </c>
      <c r="B1169" s="13" t="n">
        <f aca="true">OFFSET(Datos!$B$1,1+$B$4+1157,0)</f>
        <v>60.3779999999999</v>
      </c>
      <c r="C1169" s="13" t="n">
        <f aca="true">OFFSET(Datos!$D$1,1+$B$4+1157,0)</f>
        <v>160.441125678287</v>
      </c>
      <c r="D1169" s="13" t="n">
        <f aca="true">OFFSET(Datos!$D$1,1+1157,0)</f>
        <v>159.313620547425</v>
      </c>
      <c r="E1169" s="13" t="n">
        <f aca="false">C1169-D1169</f>
        <v>1.12750513086198</v>
      </c>
    </row>
    <row r="1170" customFormat="false" ht="15" hidden="false" customHeight="false" outlineLevel="0" collapsed="false">
      <c r="A1170" s="2" t="n">
        <v>1159</v>
      </c>
      <c r="B1170" s="13" t="n">
        <f aca="true">OFFSET(Datos!$B$1,1+$B$4+1158,0)</f>
        <v>60.4280000000001</v>
      </c>
      <c r="C1170" s="13" t="n">
        <f aca="true">OFFSET(Datos!$D$1,1+$B$4+1158,0)</f>
        <v>158.746299927783</v>
      </c>
      <c r="D1170" s="13" t="n">
        <f aca="true">OFFSET(Datos!$D$1,1+1158,0)</f>
        <v>156.394952202346</v>
      </c>
      <c r="E1170" s="13" t="n">
        <f aca="false">C1170-D1170</f>
        <v>2.3513477254368</v>
      </c>
    </row>
    <row r="1171" customFormat="false" ht="15" hidden="false" customHeight="false" outlineLevel="0" collapsed="false">
      <c r="A1171" s="2" t="n">
        <v>1160</v>
      </c>
      <c r="B1171" s="13" t="n">
        <f aca="true">OFFSET(Datos!$B$1,1+$B$4+1159,0)</f>
        <v>60.4779999999998</v>
      </c>
      <c r="C1171" s="13" t="n">
        <f aca="true">OFFSET(Datos!$D$1,1+$B$4+1159,0)</f>
        <v>162.032477856656</v>
      </c>
      <c r="D1171" s="13" t="n">
        <f aca="true">OFFSET(Datos!$D$1,1+1159,0)</f>
        <v>158.457287536644</v>
      </c>
      <c r="E1171" s="13" t="n">
        <f aca="false">C1171-D1171</f>
        <v>3.57519032001161</v>
      </c>
    </row>
    <row r="1172" customFormat="false" ht="15" hidden="false" customHeight="false" outlineLevel="0" collapsed="false">
      <c r="A1172" s="2" t="n">
        <v>1161</v>
      </c>
      <c r="B1172" s="13" t="n">
        <f aca="true">OFFSET(Datos!$B$1,1+$B$4+1160,0)</f>
        <v>60.528</v>
      </c>
      <c r="C1172" s="13" t="n">
        <f aca="true">OFFSET(Datos!$D$1,1+$B$4+1160,0)</f>
        <v>161.272482309587</v>
      </c>
      <c r="D1172" s="13" t="n">
        <f aca="true">OFFSET(Datos!$D$1,1+1160,0)</f>
        <v>157.665179501671</v>
      </c>
      <c r="E1172" s="13" t="n">
        <f aca="false">C1172-D1172</f>
        <v>3.60730280791594</v>
      </c>
    </row>
    <row r="1173" customFormat="false" ht="15" hidden="false" customHeight="false" outlineLevel="0" collapsed="false">
      <c r="A1173" s="2" t="n">
        <v>1162</v>
      </c>
      <c r="B1173" s="13" t="n">
        <f aca="true">OFFSET(Datos!$B$1,1+$B$4+1161,0)</f>
        <v>60.5779999999998</v>
      </c>
      <c r="C1173" s="13" t="n">
        <f aca="true">OFFSET(Datos!$D$1,1+$B$4+1161,0)</f>
        <v>161.729193248671</v>
      </c>
      <c r="D1173" s="13" t="n">
        <f aca="true">OFFSET(Datos!$D$1,1+1161,0)</f>
        <v>157.219172725223</v>
      </c>
      <c r="E1173" s="13" t="n">
        <f aca="false">C1173-D1173</f>
        <v>4.51002052344782</v>
      </c>
    </row>
    <row r="1174" customFormat="false" ht="15" hidden="false" customHeight="false" outlineLevel="0" collapsed="false">
      <c r="A1174" s="2" t="n">
        <v>1163</v>
      </c>
      <c r="B1174" s="13" t="n">
        <f aca="true">OFFSET(Datos!$B$1,1+$B$4+1162,0)</f>
        <v>60.6279999999999</v>
      </c>
      <c r="C1174" s="13" t="n">
        <f aca="true">OFFSET(Datos!$D$1,1+$B$4+1162,0)</f>
        <v>166.674516385932</v>
      </c>
      <c r="D1174" s="13" t="n">
        <f aca="true">OFFSET(Datos!$D$1,1+1162,0)</f>
        <v>159.056720644191</v>
      </c>
      <c r="E1174" s="13" t="n">
        <f aca="false">C1174-D1174</f>
        <v>7.61779574174139</v>
      </c>
    </row>
    <row r="1175" customFormat="false" ht="15" hidden="false" customHeight="false" outlineLevel="0" collapsed="false">
      <c r="A1175" s="2" t="n">
        <v>1164</v>
      </c>
      <c r="B1175" s="13" t="n">
        <f aca="true">OFFSET(Datos!$B$1,1+$B$4+1163,0)</f>
        <v>60.6780000000001</v>
      </c>
      <c r="C1175" s="13" t="n">
        <f aca="true">OFFSET(Datos!$D$1,1+$B$4+1163,0)</f>
        <v>163.359794023367</v>
      </c>
      <c r="D1175" s="13" t="n">
        <f aca="true">OFFSET(Datos!$D$1,1+1163,0)</f>
        <v>157.565273983747</v>
      </c>
      <c r="E1175" s="13" t="n">
        <f aca="false">C1175-D1175</f>
        <v>5.79452003961967</v>
      </c>
    </row>
    <row r="1176" customFormat="false" ht="15" hidden="false" customHeight="false" outlineLevel="0" collapsed="false">
      <c r="A1176" s="2" t="n">
        <v>1165</v>
      </c>
      <c r="B1176" s="13" t="n">
        <f aca="true">OFFSET(Datos!$B$1,1+$B$4+1164,0)</f>
        <v>60.7279999999998</v>
      </c>
      <c r="C1176" s="13" t="n">
        <f aca="true">OFFSET(Datos!$D$1,1+$B$4+1164,0)</f>
        <v>156.166596732804</v>
      </c>
      <c r="D1176" s="13" t="n">
        <f aca="true">OFFSET(Datos!$D$1,1+1164,0)</f>
        <v>159.891645329703</v>
      </c>
      <c r="E1176" s="13" t="n">
        <f aca="false">C1176-D1176</f>
        <v>-3.72504859689838</v>
      </c>
    </row>
    <row r="1177" customFormat="false" ht="15" hidden="false" customHeight="false" outlineLevel="0" collapsed="false">
      <c r="A1177" s="2" t="n">
        <v>1166</v>
      </c>
      <c r="B1177" s="13" t="n">
        <f aca="true">OFFSET(Datos!$B$1,1+$B$4+1165,0)</f>
        <v>60.778</v>
      </c>
      <c r="C1177" s="13" t="n">
        <f aca="true">OFFSET(Datos!$D$1,1+$B$4+1165,0)</f>
        <v>157.872126645943</v>
      </c>
      <c r="D1177" s="13" t="n">
        <f aca="true">OFFSET(Datos!$D$1,1+1165,0)</f>
        <v>159.424230227984</v>
      </c>
      <c r="E1177" s="13" t="n">
        <f aca="false">C1177-D1177</f>
        <v>-1.55210358204099</v>
      </c>
    </row>
    <row r="1178" customFormat="false" ht="15" hidden="false" customHeight="false" outlineLevel="0" collapsed="false">
      <c r="A1178" s="2" t="n">
        <v>1167</v>
      </c>
      <c r="B1178" s="13" t="n">
        <f aca="true">OFFSET(Datos!$B$1,1+$B$4+1166,0)</f>
        <v>60.8279999999998</v>
      </c>
      <c r="C1178" s="13" t="n">
        <f aca="true">OFFSET(Datos!$D$1,1+$B$4+1166,0)</f>
        <v>162.257265271986</v>
      </c>
      <c r="D1178" s="13" t="n">
        <f aca="true">OFFSET(Datos!$D$1,1+1166,0)</f>
        <v>155.338808155716</v>
      </c>
      <c r="E1178" s="13" t="n">
        <f aca="false">C1178-D1178</f>
        <v>6.91845711627005</v>
      </c>
    </row>
    <row r="1179" customFormat="false" ht="15" hidden="false" customHeight="false" outlineLevel="0" collapsed="false">
      <c r="A1179" s="2" t="n">
        <v>1168</v>
      </c>
      <c r="B1179" s="13" t="n">
        <f aca="true">OFFSET(Datos!$B$1,1+$B$4+1167,0)</f>
        <v>60.8779999999999</v>
      </c>
      <c r="C1179" s="13" t="n">
        <f aca="true">OFFSET(Datos!$D$1,1+$B$4+1167,0)</f>
        <v>163.113598282767</v>
      </c>
      <c r="D1179" s="13" t="n">
        <f aca="true">OFFSET(Datos!$D$1,1+1167,0)</f>
        <v>160.259154913496</v>
      </c>
      <c r="E1179" s="13" t="n">
        <f aca="false">C1179-D1179</f>
        <v>2.85444336927077</v>
      </c>
    </row>
    <row r="1180" customFormat="false" ht="15" hidden="false" customHeight="false" outlineLevel="0" collapsed="false">
      <c r="A1180" s="2" t="n">
        <v>1169</v>
      </c>
      <c r="B1180" s="13" t="n">
        <f aca="true">OFFSET(Datos!$B$1,1+$B$4+1168,0)</f>
        <v>60.9280000000001</v>
      </c>
      <c r="C1180" s="13" t="n">
        <f aca="true">OFFSET(Datos!$D$1,1+$B$4+1168,0)</f>
        <v>163.605989763966</v>
      </c>
      <c r="D1180" s="13" t="n">
        <f aca="true">OFFSET(Datos!$D$1,1+1168,0)</f>
        <v>158.478695861914</v>
      </c>
      <c r="E1180" s="13" t="n">
        <f aca="false">C1180-D1180</f>
        <v>5.1272939020526</v>
      </c>
    </row>
    <row r="1181" customFormat="false" ht="15" hidden="false" customHeight="false" outlineLevel="0" collapsed="false">
      <c r="A1181" s="2" t="n">
        <v>1170</v>
      </c>
      <c r="B1181" s="13" t="n">
        <f aca="true">OFFSET(Datos!$B$1,1+$B$4+1169,0)</f>
        <v>60.9779999999998</v>
      </c>
      <c r="C1181" s="13" t="n">
        <f aca="true">OFFSET(Datos!$D$1,1+$B$4+1169,0)</f>
        <v>164.387393636304</v>
      </c>
      <c r="D1181" s="13" t="n">
        <f aca="true">OFFSET(Datos!$D$1,1+1169,0)</f>
        <v>156.344999443384</v>
      </c>
      <c r="E1181" s="13" t="n">
        <f aca="false">C1181-D1181</f>
        <v>8.04239419292043</v>
      </c>
    </row>
    <row r="1182" customFormat="false" ht="15" hidden="false" customHeight="false" outlineLevel="0" collapsed="false">
      <c r="A1182" s="2" t="n">
        <v>1171</v>
      </c>
      <c r="B1182" s="13" t="n">
        <f aca="true">OFFSET(Datos!$B$1,1+$B$4+1170,0)</f>
        <v>61.028</v>
      </c>
      <c r="C1182" s="13" t="n">
        <f aca="true">OFFSET(Datos!$D$1,1+$B$4+1170,0)</f>
        <v>162.631910964202</v>
      </c>
      <c r="D1182" s="13" t="n">
        <f aca="true">OFFSET(Datos!$D$1,1+1170,0)</f>
        <v>158.753436036206</v>
      </c>
      <c r="E1182" s="13" t="n">
        <f aca="false">C1182-D1182</f>
        <v>3.87847492799665</v>
      </c>
    </row>
    <row r="1183" customFormat="false" ht="15" hidden="false" customHeight="false" outlineLevel="0" collapsed="false">
      <c r="A1183" s="2" t="n">
        <v>1172</v>
      </c>
      <c r="B1183" s="13" t="n">
        <f aca="true">OFFSET(Datos!$B$1,1+$B$4+1171,0)</f>
        <v>61.0779999999998</v>
      </c>
      <c r="C1183" s="13" t="n">
        <f aca="true">OFFSET(Datos!$D$1,1+$B$4+1171,0)</f>
        <v>161.383091990147</v>
      </c>
      <c r="D1183" s="13" t="n">
        <f aca="true">OFFSET(Datos!$D$1,1+1171,0)</f>
        <v>154.250551621181</v>
      </c>
      <c r="E1183" s="13" t="n">
        <f aca="false">C1183-D1183</f>
        <v>7.13254036896535</v>
      </c>
    </row>
    <row r="1184" customFormat="false" ht="15" hidden="false" customHeight="false" outlineLevel="0" collapsed="false">
      <c r="A1184" s="2" t="n">
        <v>1173</v>
      </c>
      <c r="B1184" s="13" t="n">
        <f aca="true">OFFSET(Datos!$B$1,1+$B$4+1172,0)</f>
        <v>61.1279999999999</v>
      </c>
      <c r="C1184" s="13" t="n">
        <f aca="true">OFFSET(Datos!$D$1,1+$B$4+1172,0)</f>
        <v>163.909274371951</v>
      </c>
      <c r="D1184" s="13" t="n">
        <f aca="true">OFFSET(Datos!$D$1,1+1172,0)</f>
        <v>157.754380856961</v>
      </c>
      <c r="E1184" s="13" t="n">
        <f aca="false">C1184-D1184</f>
        <v>6.15489351499011</v>
      </c>
    </row>
    <row r="1185" customFormat="false" ht="15" hidden="false" customHeight="false" outlineLevel="0" collapsed="false">
      <c r="A1185" s="2" t="n">
        <v>1174</v>
      </c>
      <c r="B1185" s="13" t="n">
        <f aca="true">OFFSET(Datos!$B$1,1+$B$4+1173,0)</f>
        <v>61.1780000000001</v>
      </c>
      <c r="C1185" s="13" t="n">
        <f aca="true">OFFSET(Datos!$D$1,1+$B$4+1173,0)</f>
        <v>163.049373306958</v>
      </c>
      <c r="D1185" s="13" t="n">
        <f aca="true">OFFSET(Datos!$D$1,1+1173,0)</f>
        <v>156.591195183983</v>
      </c>
      <c r="E1185" s="13" t="n">
        <f aca="false">C1185-D1185</f>
        <v>6.45817812297514</v>
      </c>
    </row>
    <row r="1186" customFormat="false" ht="15" hidden="false" customHeight="false" outlineLevel="0" collapsed="false">
      <c r="A1186" s="2" t="n">
        <v>1175</v>
      </c>
      <c r="B1186" s="13" t="n">
        <f aca="true">OFFSET(Datos!$B$1,1+$B$4+1174,0)</f>
        <v>61.2279999999998</v>
      </c>
      <c r="C1186" s="13" t="n">
        <f aca="true">OFFSET(Datos!$D$1,1+$B$4+1174,0)</f>
        <v>168.051785311605</v>
      </c>
      <c r="D1186" s="13" t="n">
        <f aca="true">OFFSET(Datos!$D$1,1+1174,0)</f>
        <v>162.296513868313</v>
      </c>
      <c r="E1186" s="13" t="n">
        <f aca="false">C1186-D1186</f>
        <v>5.7552714432922</v>
      </c>
    </row>
    <row r="1187" customFormat="false" ht="15" hidden="false" customHeight="false" outlineLevel="0" collapsed="false">
      <c r="A1187" s="2" t="n">
        <v>1176</v>
      </c>
      <c r="B1187" s="13" t="n">
        <f aca="true">OFFSET(Datos!$B$1,1+$B$4+1175,0)</f>
        <v>61.278</v>
      </c>
      <c r="C1187" s="13" t="n">
        <f aca="true">OFFSET(Datos!$D$1,1+$B$4+1175,0)</f>
        <v>169.3434209362</v>
      </c>
      <c r="D1187" s="13" t="n">
        <f aca="true">OFFSET(Datos!$D$1,1+1175,0)</f>
        <v>155.206790149887</v>
      </c>
      <c r="E1187" s="13" t="n">
        <f aca="false">C1187-D1187</f>
        <v>14.1366307863135</v>
      </c>
    </row>
    <row r="1188" customFormat="false" ht="15" hidden="false" customHeight="false" outlineLevel="0" collapsed="false">
      <c r="A1188" s="2" t="n">
        <v>1177</v>
      </c>
      <c r="B1188" s="13" t="n">
        <f aca="true">OFFSET(Datos!$B$1,1+$B$4+1176,0)</f>
        <v>61.3279999999998</v>
      </c>
      <c r="C1188" s="13" t="n">
        <f aca="true">OFFSET(Datos!$D$1,1+$B$4+1176,0)</f>
        <v>164.137629841493</v>
      </c>
      <c r="D1188" s="13" t="n">
        <f aca="true">OFFSET(Datos!$D$1,1+1176,0)</f>
        <v>158.418038940316</v>
      </c>
      <c r="E1188" s="13" t="n">
        <f aca="false">C1188-D1188</f>
        <v>5.7195909011763</v>
      </c>
    </row>
    <row r="1189" customFormat="false" ht="15" hidden="false" customHeight="false" outlineLevel="0" collapsed="false">
      <c r="A1189" s="2" t="n">
        <v>1178</v>
      </c>
      <c r="B1189" s="13" t="n">
        <f aca="true">OFFSET(Datos!$B$1,1+$B$4+1177,0)</f>
        <v>61.3779999999999</v>
      </c>
      <c r="C1189" s="13" t="n">
        <f aca="true">OFFSET(Datos!$D$1,1+$B$4+1177,0)</f>
        <v>164.790583762214</v>
      </c>
      <c r="D1189" s="13" t="n">
        <f aca="true">OFFSET(Datos!$D$1,1+1177,0)</f>
        <v>159.948734197088</v>
      </c>
      <c r="E1189" s="13" t="n">
        <f aca="false">C1189-D1189</f>
        <v>4.84184956512556</v>
      </c>
    </row>
    <row r="1190" customFormat="false" ht="15" hidden="false" customHeight="false" outlineLevel="0" collapsed="false">
      <c r="A1190" s="2" t="n">
        <v>1179</v>
      </c>
      <c r="B1190" s="13" t="n">
        <f aca="true">OFFSET(Datos!$B$1,1+$B$4+1178,0)</f>
        <v>61.4280000000001</v>
      </c>
      <c r="C1190" s="13" t="n">
        <f aca="true">OFFSET(Datos!$D$1,1+$B$4+1178,0)</f>
        <v>161.422340586474</v>
      </c>
      <c r="D1190" s="13" t="n">
        <f aca="true">OFFSET(Datos!$D$1,1+1178,0)</f>
        <v>160.159249395572</v>
      </c>
      <c r="E1190" s="13" t="n">
        <f aca="false">C1190-D1190</f>
        <v>1.26309119090232</v>
      </c>
    </row>
    <row r="1191" customFormat="false" ht="15" hidden="false" customHeight="false" outlineLevel="0" collapsed="false">
      <c r="A1191" s="2" t="n">
        <v>1180</v>
      </c>
      <c r="B1191" s="13" t="n">
        <f aca="true">OFFSET(Datos!$B$1,1+$B$4+1179,0)</f>
        <v>61.4779999999998</v>
      </c>
      <c r="C1191" s="13" t="n">
        <f aca="true">OFFSET(Datos!$D$1,1+$B$4+1179,0)</f>
        <v>156.023874564341</v>
      </c>
      <c r="D1191" s="13" t="n">
        <f aca="true">OFFSET(Datos!$D$1,1+1179,0)</f>
        <v>158.585737488261</v>
      </c>
      <c r="E1191" s="13" t="n">
        <f aca="false">C1191-D1191</f>
        <v>-2.56186292392053</v>
      </c>
    </row>
    <row r="1192" customFormat="false" ht="15" hidden="false" customHeight="false" outlineLevel="0" collapsed="false">
      <c r="A1192" s="2" t="n">
        <v>1181</v>
      </c>
      <c r="B1192" s="13" t="n">
        <f aca="true">OFFSET(Datos!$B$1,1+$B$4+1180,0)</f>
        <v>61.528</v>
      </c>
      <c r="C1192" s="13" t="n">
        <f aca="true">OFFSET(Datos!$D$1,1+$B$4+1180,0)</f>
        <v>169.807267983707</v>
      </c>
      <c r="D1192" s="13" t="n">
        <f aca="true">OFFSET(Datos!$D$1,1+1180,0)</f>
        <v>162.196608350389</v>
      </c>
      <c r="E1192" s="13" t="n">
        <f aca="false">C1192-D1192</f>
        <v>7.61065963331822</v>
      </c>
    </row>
    <row r="1193" customFormat="false" ht="15" hidden="false" customHeight="false" outlineLevel="0" collapsed="false">
      <c r="A1193" s="2" t="n">
        <v>1182</v>
      </c>
      <c r="B1193" s="13" t="n">
        <f aca="true">OFFSET(Datos!$B$1,1+$B$4+1181,0)</f>
        <v>61.5779999999998</v>
      </c>
      <c r="C1193" s="13" t="n">
        <f aca="true">OFFSET(Datos!$D$1,1+$B$4+1181,0)</f>
        <v>163.024396927477</v>
      </c>
      <c r="D1193" s="13" t="n">
        <f aca="true">OFFSET(Datos!$D$1,1+1181,0)</f>
        <v>166.860055204935</v>
      </c>
      <c r="E1193" s="13" t="n">
        <f aca="false">C1193-D1193</f>
        <v>-3.83565827745758</v>
      </c>
    </row>
    <row r="1194" customFormat="false" ht="15" hidden="false" customHeight="false" outlineLevel="0" collapsed="false">
      <c r="A1194" s="2" t="n">
        <v>1183</v>
      </c>
      <c r="B1194" s="13" t="n">
        <f aca="true">OFFSET(Datos!$B$1,1+$B$4+1182,0)</f>
        <v>61.6290000000001</v>
      </c>
      <c r="C1194" s="13" t="n">
        <f aca="true">OFFSET(Datos!$D$1,1+$B$4+1182,0)</f>
        <v>161.964684826635</v>
      </c>
      <c r="D1194" s="13" t="n">
        <f aca="true">OFFSET(Datos!$D$1,1+1182,0)</f>
        <v>160.480374274615</v>
      </c>
      <c r="E1194" s="13" t="n">
        <f aca="false">C1194-D1194</f>
        <v>1.48431055202082</v>
      </c>
    </row>
    <row r="1195" customFormat="false" ht="15" hidden="false" customHeight="false" outlineLevel="0" collapsed="false">
      <c r="A1195" s="2" t="n">
        <v>1184</v>
      </c>
      <c r="B1195" s="13" t="n">
        <f aca="true">OFFSET(Datos!$B$1,1+$B$4+1183,0)</f>
        <v>61.6789999999999</v>
      </c>
      <c r="C1195" s="13" t="n">
        <f aca="true">OFFSET(Datos!$D$1,1+$B$4+1183,0)</f>
        <v>162.389283277814</v>
      </c>
      <c r="D1195" s="13" t="n">
        <f aca="true">OFFSET(Datos!$D$1,1+1183,0)</f>
        <v>161.807690441326</v>
      </c>
      <c r="E1195" s="13" t="n">
        <f aca="false">C1195-D1195</f>
        <v>0.581592836488937</v>
      </c>
    </row>
    <row r="1196" customFormat="false" ht="15" hidden="false" customHeight="false" outlineLevel="0" collapsed="false">
      <c r="A1196" s="2" t="n">
        <v>1185</v>
      </c>
      <c r="B1196" s="13" t="n">
        <f aca="true">OFFSET(Datos!$B$1,1+$B$4+1184,0)</f>
        <v>61.729</v>
      </c>
      <c r="C1196" s="13" t="n">
        <f aca="true">OFFSET(Datos!$D$1,1+$B$4+1184,0)</f>
        <v>160.319811835093</v>
      </c>
      <c r="D1196" s="13" t="n">
        <f aca="true">OFFSET(Datos!$D$1,1+1184,0)</f>
        <v>159.070992861037</v>
      </c>
      <c r="E1196" s="13" t="n">
        <f aca="false">C1196-D1196</f>
        <v>1.24881897405598</v>
      </c>
    </row>
    <row r="1197" customFormat="false" ht="15" hidden="false" customHeight="false" outlineLevel="0" collapsed="false">
      <c r="A1197" s="2" t="n">
        <v>1186</v>
      </c>
      <c r="B1197" s="13" t="n">
        <f aca="true">OFFSET(Datos!$B$1,1+$B$4+1185,0)</f>
        <v>61.7789999999998</v>
      </c>
      <c r="C1197" s="13" t="n">
        <f aca="true">OFFSET(Datos!$D$1,1+$B$4+1185,0)</f>
        <v>159.534839908544</v>
      </c>
      <c r="D1197" s="13" t="n">
        <f aca="true">OFFSET(Datos!$D$1,1+1185,0)</f>
        <v>163.556037005004</v>
      </c>
      <c r="E1197" s="13" t="n">
        <f aca="false">C1197-D1197</f>
        <v>-4.02119709646021</v>
      </c>
    </row>
    <row r="1198" customFormat="false" ht="15" hidden="false" customHeight="false" outlineLevel="0" collapsed="false">
      <c r="A1198" s="2" t="n">
        <v>1187</v>
      </c>
      <c r="B1198" s="13" t="n">
        <f aca="true">OFFSET(Datos!$B$1,1+$B$4+1186,0)</f>
        <v>61.829</v>
      </c>
      <c r="C1198" s="13" t="n">
        <f aca="true">OFFSET(Datos!$D$1,1+$B$4+1186,0)</f>
        <v>161.036990731622</v>
      </c>
      <c r="D1198" s="13" t="n">
        <f aca="true">OFFSET(Datos!$D$1,1+1186,0)</f>
        <v>168.540608738593</v>
      </c>
      <c r="E1198" s="13" t="n">
        <f aca="false">C1198-D1198</f>
        <v>-7.50361800697056</v>
      </c>
    </row>
    <row r="1199" customFormat="false" ht="15" hidden="false" customHeight="false" outlineLevel="0" collapsed="false">
      <c r="A1199" s="2" t="n">
        <v>1188</v>
      </c>
      <c r="B1199" s="13" t="n">
        <f aca="true">OFFSET(Datos!$B$1,1+$B$4+1187,0)</f>
        <v>61.8790000000001</v>
      </c>
      <c r="C1199" s="13" t="n">
        <f aca="true">OFFSET(Datos!$D$1,1+$B$4+1187,0)</f>
        <v>164.184014546243</v>
      </c>
      <c r="D1199" s="13" t="n">
        <f aca="true">OFFSET(Datos!$D$1,1+1187,0)</f>
        <v>161.836234875018</v>
      </c>
      <c r="E1199" s="13" t="n">
        <f aca="false">C1199-D1199</f>
        <v>2.34777967122523</v>
      </c>
    </row>
    <row r="1200" customFormat="false" ht="15" hidden="false" customHeight="false" outlineLevel="0" collapsed="false">
      <c r="A1200" s="2" t="n">
        <v>1189</v>
      </c>
      <c r="B1200" s="13" t="n">
        <f aca="true">OFFSET(Datos!$B$1,1+$B$4+1188,0)</f>
        <v>61.9289999999999</v>
      </c>
      <c r="C1200" s="13" t="n">
        <f aca="true">OFFSET(Datos!$D$1,1+$B$4+1188,0)</f>
        <v>159.984414739204</v>
      </c>
      <c r="D1200" s="13" t="n">
        <f aca="true">OFFSET(Datos!$D$1,1+1188,0)</f>
        <v>163.252752397019</v>
      </c>
      <c r="E1200" s="13" t="n">
        <f aca="false">C1200-D1200</f>
        <v>-3.26833765781504</v>
      </c>
    </row>
    <row r="1201" customFormat="false" ht="15" hidden="false" customHeight="false" outlineLevel="0" collapsed="false">
      <c r="A1201" s="2" t="n">
        <v>1190</v>
      </c>
      <c r="B1201" s="13" t="n">
        <f aca="true">OFFSET(Datos!$B$1,1+$B$4+1189,0)</f>
        <v>61.979</v>
      </c>
      <c r="C1201" s="13" t="n">
        <f aca="true">OFFSET(Datos!$D$1,1+$B$4+1189,0)</f>
        <v>160.24488269665</v>
      </c>
      <c r="D1201" s="13" t="n">
        <f aca="true">OFFSET(Datos!$D$1,1+1189,0)</f>
        <v>163.192095475422</v>
      </c>
      <c r="E1201" s="13" t="n">
        <f aca="false">C1201-D1201</f>
        <v>-2.94721277877207</v>
      </c>
    </row>
    <row r="1202" customFormat="false" ht="15" hidden="false" customHeight="false" outlineLevel="0" collapsed="false">
      <c r="A1202" s="2" t="n">
        <v>1191</v>
      </c>
      <c r="B1202" s="13" t="n">
        <f aca="true">OFFSET(Datos!$B$1,1+$B$4+1190,0)</f>
        <v>62.0289999999998</v>
      </c>
      <c r="C1202" s="13" t="n">
        <f aca="true">OFFSET(Datos!$D$1,1+$B$4+1190,0)</f>
        <v>163.81650496245</v>
      </c>
      <c r="D1202" s="13" t="n">
        <f aca="true">OFFSET(Datos!$D$1,1+1190,0)</f>
        <v>166.613859464335</v>
      </c>
      <c r="E1202" s="13" t="n">
        <f aca="false">C1202-D1202</f>
        <v>-2.79735450188534</v>
      </c>
    </row>
    <row r="1203" customFormat="false" ht="15" hidden="false" customHeight="false" outlineLevel="0" collapsed="false">
      <c r="A1203" s="2" t="n">
        <v>1192</v>
      </c>
      <c r="B1203" s="13" t="n">
        <f aca="true">OFFSET(Datos!$B$1,1+$B$4+1191,0)</f>
        <v>62.079</v>
      </c>
      <c r="C1203" s="13" t="n">
        <f aca="true">OFFSET(Datos!$D$1,1+$B$4+1191,0)</f>
        <v>161.936140392943</v>
      </c>
      <c r="D1203" s="13" t="n">
        <f aca="true">OFFSET(Datos!$D$1,1+1191,0)</f>
        <v>158.286020934488</v>
      </c>
      <c r="E1203" s="13" t="n">
        <f aca="false">C1203-D1203</f>
        <v>3.65011945845501</v>
      </c>
    </row>
    <row r="1204" customFormat="false" ht="15" hidden="false" customHeight="false" outlineLevel="0" collapsed="false">
      <c r="A1204" s="2" t="n">
        <v>1193</v>
      </c>
      <c r="B1204" s="13" t="n">
        <f aca="true">OFFSET(Datos!$B$1,1+$B$4+1192,0)</f>
        <v>62.1290000000001</v>
      </c>
      <c r="C1204" s="13" t="n">
        <f aca="true">OFFSET(Datos!$D$1,1+$B$4+1192,0)</f>
        <v>165.79320699567</v>
      </c>
      <c r="D1204" s="13" t="n">
        <f aca="true">OFFSET(Datos!$D$1,1+1192,0)</f>
        <v>159.855964787587</v>
      </c>
      <c r="E1204" s="13" t="n">
        <f aca="false">C1204-D1204</f>
        <v>5.93724220808323</v>
      </c>
    </row>
    <row r="1205" customFormat="false" ht="15" hidden="false" customHeight="false" outlineLevel="0" collapsed="false">
      <c r="A1205" s="2" t="n">
        <v>1194</v>
      </c>
      <c r="B1205" s="13" t="n">
        <f aca="true">OFFSET(Datos!$B$1,1+$B$4+1193,0)</f>
        <v>62.1789999999999</v>
      </c>
      <c r="C1205" s="13" t="n">
        <f aca="true">OFFSET(Datos!$D$1,1+$B$4+1193,0)</f>
        <v>171.355803511536</v>
      </c>
      <c r="D1205" s="13" t="n">
        <f aca="true">OFFSET(Datos!$D$1,1+1193,0)</f>
        <v>158.557193054568</v>
      </c>
      <c r="E1205" s="13" t="n">
        <f aca="false">C1205-D1205</f>
        <v>12.7986104569679</v>
      </c>
    </row>
    <row r="1206" customFormat="false" ht="15" hidden="false" customHeight="false" outlineLevel="0" collapsed="false">
      <c r="A1206" s="2" t="n">
        <v>1195</v>
      </c>
      <c r="B1206" s="13" t="n">
        <f aca="true">OFFSET(Datos!$B$1,1+$B$4+1194,0)</f>
        <v>62.229</v>
      </c>
      <c r="C1206" s="13" t="n">
        <f aca="true">OFFSET(Datos!$D$1,1+$B$4+1194,0)</f>
        <v>160.573143684116</v>
      </c>
      <c r="D1206" s="13" t="n">
        <f aca="true">OFFSET(Datos!$D$1,1+1194,0)</f>
        <v>162.6925678858</v>
      </c>
      <c r="E1206" s="13" t="n">
        <f aca="false">C1206-D1206</f>
        <v>-2.11942420168359</v>
      </c>
    </row>
    <row r="1207" customFormat="false" ht="15" hidden="false" customHeight="false" outlineLevel="0" collapsed="false">
      <c r="A1207" s="2" t="n">
        <v>1196</v>
      </c>
      <c r="B1207" s="13" t="n">
        <f aca="true">OFFSET(Datos!$B$1,1+$B$4+1195,0)</f>
        <v>62.2789999999998</v>
      </c>
      <c r="C1207" s="13" t="n">
        <f aca="true">OFFSET(Datos!$D$1,1+$B$4+1195,0)</f>
        <v>165.582691797186</v>
      </c>
      <c r="D1207" s="13" t="n">
        <f aca="true">OFFSET(Datos!$D$1,1+1195,0)</f>
        <v>162.28937775989</v>
      </c>
      <c r="E1207" s="13" t="n">
        <f aca="false">C1207-D1207</f>
        <v>3.29331403729617</v>
      </c>
    </row>
    <row r="1208" customFormat="false" ht="15" hidden="false" customHeight="false" outlineLevel="0" collapsed="false">
      <c r="A1208" s="2" t="n">
        <v>1197</v>
      </c>
      <c r="B1208" s="13" t="n">
        <f aca="true">OFFSET(Datos!$B$1,1+$B$4+1196,0)</f>
        <v>62.329</v>
      </c>
      <c r="C1208" s="13" t="n">
        <f aca="true">OFFSET(Datos!$D$1,1+$B$4+1196,0)</f>
        <v>167.020617644456</v>
      </c>
      <c r="D1208" s="13" t="n">
        <f aca="true">OFFSET(Datos!$D$1,1+1196,0)</f>
        <v>155.263879017272</v>
      </c>
      <c r="E1208" s="13" t="n">
        <f aca="false">C1208-D1208</f>
        <v>11.756738627184</v>
      </c>
    </row>
    <row r="1209" customFormat="false" ht="15" hidden="false" customHeight="false" outlineLevel="0" collapsed="false">
      <c r="A1209" s="2" t="n">
        <v>1198</v>
      </c>
      <c r="B1209" s="13" t="n">
        <f aca="true">OFFSET(Datos!$B$1,1+$B$4+1197,0)</f>
        <v>62.3790000000001</v>
      </c>
      <c r="C1209" s="13" t="n">
        <f aca="true">OFFSET(Datos!$D$1,1+$B$4+1197,0)</f>
        <v>168.504928196477</v>
      </c>
      <c r="D1209" s="13" t="n">
        <f aca="true">OFFSET(Datos!$D$1,1+1197,0)</f>
        <v>157.683019772729</v>
      </c>
      <c r="E1209" s="13" t="n">
        <f aca="false">C1209-D1209</f>
        <v>10.8219084237478</v>
      </c>
    </row>
    <row r="1210" customFormat="false" ht="15" hidden="false" customHeight="false" outlineLevel="0" collapsed="false">
      <c r="A1210" s="2" t="n">
        <v>1199</v>
      </c>
      <c r="B1210" s="13" t="n">
        <f aca="true">OFFSET(Datos!$B$1,1+$B$4+1198,0)</f>
        <v>62.4289999999999</v>
      </c>
      <c r="C1210" s="13" t="n">
        <f aca="true">OFFSET(Datos!$D$1,1+$B$4+1198,0)</f>
        <v>163.90570631774</v>
      </c>
      <c r="D1210" s="13" t="n">
        <f aca="true">OFFSET(Datos!$D$1,1+1198,0)</f>
        <v>157.219172725223</v>
      </c>
      <c r="E1210" s="13" t="n">
        <f aca="false">C1210-D1210</f>
        <v>6.68653359251678</v>
      </c>
    </row>
    <row r="1211" customFormat="false" ht="15" hidden="false" customHeight="false" outlineLevel="0" collapsed="false">
      <c r="A1211" s="2" t="n">
        <v>1200</v>
      </c>
      <c r="B1211" s="13" t="n">
        <f aca="true">OFFSET(Datos!$B$1,1+$B$4+1199,0)</f>
        <v>62.479</v>
      </c>
      <c r="C1211" s="13" t="n">
        <f aca="true">OFFSET(Datos!$D$1,1+$B$4+1199,0)</f>
        <v>166.756581632799</v>
      </c>
      <c r="D1211" s="13" t="n">
        <f aca="true">OFFSET(Datos!$D$1,1+1199,0)</f>
        <v>159.577656559083</v>
      </c>
      <c r="E1211" s="13" t="n">
        <f aca="false">C1211-D1211</f>
        <v>7.17892507371602</v>
      </c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4" t="s">
        <v>78</v>
      </c>
      <c r="B1" s="4"/>
      <c r="C1" s="4"/>
      <c r="D1" s="4"/>
    </row>
    <row r="2" customFormat="false" ht="15" hidden="false" customHeight="false" outlineLevel="0" collapsed="false">
      <c r="A2" s="19" t="s">
        <v>79</v>
      </c>
      <c r="B2" s="19"/>
      <c r="C2" s="19"/>
      <c r="D2" s="19"/>
      <c r="E2" s="19"/>
      <c r="F2" s="19"/>
    </row>
    <row r="4" customFormat="false" ht="15" hidden="false" customHeight="false" outlineLevel="0" collapsed="false">
      <c r="A4" s="5" t="s">
        <v>80</v>
      </c>
      <c r="B4" s="5" t="s">
        <v>81</v>
      </c>
      <c r="C4" s="5" t="s">
        <v>82</v>
      </c>
      <c r="D4" s="5" t="s">
        <v>83</v>
      </c>
    </row>
    <row r="5" customFormat="false" ht="15" hidden="false" customHeight="false" outlineLevel="0" collapsed="false">
      <c r="A5" s="2" t="n">
        <v>1</v>
      </c>
      <c r="B5" s="20" t="n">
        <f aca="false">A5*Config!$B$9</f>
        <v>0.05</v>
      </c>
      <c r="C5" s="18" t="n">
        <f aca="true" t="array" ref="C5:C5">SKEW(OFFSET(Datos!$D$1,1+A5,0,Config!$B$12,1)-OFFSET(Datos!$D$1,1,0,Config!$B$12,1))</f>
        <v>-0.225221261995863</v>
      </c>
      <c r="D5" s="18" t="n">
        <f aca="true" t="array" ref="D5:D5">KURT(OFFSET(Datos!$D$1,1+A5,0,Config!$B$12,1)-OFFSET(Datos!$D$1,1,0,Config!$B$12,1))</f>
        <v>1.37480265904172</v>
      </c>
    </row>
    <row r="6" customFormat="false" ht="15" hidden="false" customHeight="false" outlineLevel="0" collapsed="false">
      <c r="A6" s="2" t="n">
        <v>2</v>
      </c>
      <c r="B6" s="20" t="n">
        <f aca="false">A6*Config!$B$9</f>
        <v>0.1</v>
      </c>
      <c r="C6" s="18" t="n">
        <f aca="true" t="array" ref="C6:C6">SKEW(OFFSET(Datos!$D$1,1+A6,0,Config!$B$12,1)-OFFSET(Datos!$D$1,1,0,Config!$B$12,1))</f>
        <v>-0.0373584171098022</v>
      </c>
      <c r="D6" s="18" t="n">
        <f aca="true" t="array" ref="D6:D6">KURT(OFFSET(Datos!$D$1,1+A6,0,Config!$B$12,1)-OFFSET(Datos!$D$1,1,0,Config!$B$12,1))</f>
        <v>1.04364222718274</v>
      </c>
    </row>
    <row r="7" customFormat="false" ht="15" hidden="false" customHeight="false" outlineLevel="0" collapsed="false">
      <c r="A7" s="2" t="n">
        <v>3</v>
      </c>
      <c r="B7" s="20" t="n">
        <f aca="false">A7*Config!$B$9</f>
        <v>0.15</v>
      </c>
      <c r="C7" s="18" t="n">
        <f aca="true" t="array" ref="C7:C7">SKEW(OFFSET(Datos!$D$1,1+A7,0,Config!$B$12,1)-OFFSET(Datos!$D$1,1,0,Config!$B$12,1))</f>
        <v>0.05847540249735</v>
      </c>
      <c r="D7" s="18" t="n">
        <f aca="true" t="array" ref="D7:D7">KURT(OFFSET(Datos!$D$1,1+A7,0,Config!$B$12,1)-OFFSET(Datos!$D$1,1,0,Config!$B$12,1))</f>
        <v>0.786359344387385</v>
      </c>
    </row>
    <row r="8" customFormat="false" ht="15" hidden="false" customHeight="false" outlineLevel="0" collapsed="false">
      <c r="A8" s="2" t="n">
        <v>4</v>
      </c>
      <c r="B8" s="20" t="n">
        <f aca="false">A8*Config!$B$9</f>
        <v>0.2</v>
      </c>
      <c r="C8" s="18" t="n">
        <f aca="true" t="array" ref="C8:C8">SKEW(OFFSET(Datos!$D$1,1+A8,0,Config!$B$12,1)-OFFSET(Datos!$D$1,1,0,Config!$B$12,1))</f>
        <v>-0.136484789420532</v>
      </c>
      <c r="D8" s="18" t="n">
        <f aca="true" t="array" ref="D8:D8">KURT(OFFSET(Datos!$D$1,1+A8,0,Config!$B$12,1)-OFFSET(Datos!$D$1,1,0,Config!$B$12,1))</f>
        <v>1.07943765343119</v>
      </c>
    </row>
    <row r="9" customFormat="false" ht="15" hidden="false" customHeight="false" outlineLevel="0" collapsed="false">
      <c r="A9" s="2" t="n">
        <v>5</v>
      </c>
      <c r="B9" s="20" t="n">
        <f aca="false">A9*Config!$B$9</f>
        <v>0.25</v>
      </c>
      <c r="C9" s="18" t="n">
        <f aca="true" t="array" ref="C9:C9">SKEW(OFFSET(Datos!$D$1,1+A9,0,Config!$B$12,1)-OFFSET(Datos!$D$1,1,0,Config!$B$12,1))</f>
        <v>-0.0032788324561879</v>
      </c>
      <c r="D9" s="18" t="n">
        <f aca="true" t="array" ref="D9:D9">KURT(OFFSET(Datos!$D$1,1+A9,0,Config!$B$12,1)-OFFSET(Datos!$D$1,1,0,Config!$B$12,1))</f>
        <v>0.81257890135954</v>
      </c>
    </row>
    <row r="10" customFormat="false" ht="15" hidden="false" customHeight="false" outlineLevel="0" collapsed="false">
      <c r="A10" s="2" t="n">
        <v>6</v>
      </c>
      <c r="B10" s="20" t="n">
        <f aca="false">A10*Config!$B$9</f>
        <v>0.3</v>
      </c>
      <c r="C10" s="18" t="n">
        <f aca="true" t="array" ref="C10:C10">SKEW(OFFSET(Datos!$D$1,1+A10,0,Config!$B$12,1)-OFFSET(Datos!$D$1,1,0,Config!$B$12,1))</f>
        <v>-0.0476342388717855</v>
      </c>
      <c r="D10" s="18" t="n">
        <f aca="true" t="array" ref="D10:D10">KURT(OFFSET(Datos!$D$1,1+A10,0,Config!$B$12,1)-OFFSET(Datos!$D$1,1,0,Config!$B$12,1))</f>
        <v>1.26664388324956</v>
      </c>
    </row>
    <row r="11" customFormat="false" ht="15" hidden="false" customHeight="false" outlineLevel="0" collapsed="false">
      <c r="A11" s="2" t="n">
        <v>7</v>
      </c>
      <c r="B11" s="20" t="n">
        <f aca="false">A11*Config!$B$9</f>
        <v>0.35</v>
      </c>
      <c r="C11" s="18" t="n">
        <f aca="true" t="array" ref="C11:C11">SKEW(OFFSET(Datos!$D$1,1+A11,0,Config!$B$12,1)-OFFSET(Datos!$D$1,1,0,Config!$B$12,1))</f>
        <v>-0.0751571411233504</v>
      </c>
      <c r="D11" s="18" t="n">
        <f aca="true" t="array" ref="D11:D11">KURT(OFFSET(Datos!$D$1,1+A11,0,Config!$B$12,1)-OFFSET(Datos!$D$1,1,0,Config!$B$12,1))</f>
        <v>0.69957647615551</v>
      </c>
    </row>
    <row r="12" customFormat="false" ht="15" hidden="false" customHeight="false" outlineLevel="0" collapsed="false">
      <c r="A12" s="2" t="n">
        <v>8</v>
      </c>
      <c r="B12" s="20" t="n">
        <f aca="false">A12*Config!$B$9</f>
        <v>0.4</v>
      </c>
      <c r="C12" s="18" t="n">
        <f aca="true" t="array" ref="C12:C12">SKEW(OFFSET(Datos!$D$1,1+A12,0,Config!$B$12,1)-OFFSET(Datos!$D$1,1,0,Config!$B$12,1))</f>
        <v>0.0949311417329026</v>
      </c>
      <c r="D12" s="18" t="n">
        <f aca="true" t="array" ref="D12:D12">KURT(OFFSET(Datos!$D$1,1+A12,0,Config!$B$12,1)-OFFSET(Datos!$D$1,1,0,Config!$B$12,1))</f>
        <v>0.545808650244197</v>
      </c>
    </row>
    <row r="13" customFormat="false" ht="15" hidden="false" customHeight="false" outlineLevel="0" collapsed="false">
      <c r="A13" s="2" t="n">
        <v>9</v>
      </c>
      <c r="B13" s="20" t="n">
        <f aca="false">A13*Config!$B$9</f>
        <v>0.45</v>
      </c>
      <c r="C13" s="18" t="n">
        <f aca="true" t="array" ref="C13:C13">SKEW(OFFSET(Datos!$D$1,1+A13,0,Config!$B$12,1)-OFFSET(Datos!$D$1,1,0,Config!$B$12,1))</f>
        <v>0.0967614024453536</v>
      </c>
      <c r="D13" s="18" t="n">
        <f aca="true" t="array" ref="D13:D13">KURT(OFFSET(Datos!$D$1,1+A13,0,Config!$B$12,1)-OFFSET(Datos!$D$1,1,0,Config!$B$12,1))</f>
        <v>0.777319181002281</v>
      </c>
    </row>
    <row r="14" customFormat="false" ht="15" hidden="false" customHeight="false" outlineLevel="0" collapsed="false">
      <c r="A14" s="2" t="n">
        <v>10</v>
      </c>
      <c r="B14" s="20" t="n">
        <f aca="false">A14*Config!$B$9</f>
        <v>0.5</v>
      </c>
      <c r="C14" s="18" t="n">
        <f aca="true" t="array" ref="C14:C14">SKEW(OFFSET(Datos!$D$1,1+A14,0,Config!$B$12,1)-OFFSET(Datos!$D$1,1,0,Config!$B$12,1))</f>
        <v>0.00240208195964785</v>
      </c>
      <c r="D14" s="18" t="n">
        <f aca="true" t="array" ref="D14:D14">KURT(OFFSET(Datos!$D$1,1+A14,0,Config!$B$12,1)-OFFSET(Datos!$D$1,1,0,Config!$B$12,1))</f>
        <v>1.14553685429666</v>
      </c>
    </row>
    <row r="15" customFormat="false" ht="15" hidden="false" customHeight="false" outlineLevel="0" collapsed="false">
      <c r="A15" s="2" t="n">
        <v>11</v>
      </c>
      <c r="B15" s="20" t="n">
        <f aca="false">A15*Config!$B$9</f>
        <v>0.55</v>
      </c>
      <c r="C15" s="18" t="n">
        <f aca="true" t="array" ref="C15:C15">SKEW(OFFSET(Datos!$D$1,1+A15,0,Config!$B$12,1)-OFFSET(Datos!$D$1,1,0,Config!$B$12,1))</f>
        <v>0.0839305552359688</v>
      </c>
      <c r="D15" s="18" t="n">
        <f aca="true" t="array" ref="D15:D15">KURT(OFFSET(Datos!$D$1,1+A15,0,Config!$B$12,1)-OFFSET(Datos!$D$1,1,0,Config!$B$12,1))</f>
        <v>0.922740047328647</v>
      </c>
    </row>
    <row r="16" customFormat="false" ht="15" hidden="false" customHeight="false" outlineLevel="0" collapsed="false">
      <c r="A16" s="2" t="n">
        <v>12</v>
      </c>
      <c r="B16" s="20" t="n">
        <f aca="false">A16*Config!$B$9</f>
        <v>0.6</v>
      </c>
      <c r="C16" s="18" t="n">
        <f aca="true" t="array" ref="C16:C16">SKEW(OFFSET(Datos!$D$1,1+A16,0,Config!$B$12,1)-OFFSET(Datos!$D$1,1,0,Config!$B$12,1))</f>
        <v>0.118325944661654</v>
      </c>
      <c r="D16" s="18" t="n">
        <f aca="true" t="array" ref="D16:D16">KURT(OFFSET(Datos!$D$1,1+A16,0,Config!$B$12,1)-OFFSET(Datos!$D$1,1,0,Config!$B$12,1))</f>
        <v>0.942709580136093</v>
      </c>
    </row>
    <row r="17" customFormat="false" ht="15" hidden="false" customHeight="false" outlineLevel="0" collapsed="false">
      <c r="A17" s="2" t="n">
        <v>13</v>
      </c>
      <c r="B17" s="20" t="n">
        <f aca="false">A17*Config!$B$9</f>
        <v>0.65</v>
      </c>
      <c r="C17" s="18" t="n">
        <f aca="true" t="array" ref="C17:C17">SKEW(OFFSET(Datos!$D$1,1+A17,0,Config!$B$12,1)-OFFSET(Datos!$D$1,1,0,Config!$B$12,1))</f>
        <v>-0.0620898328055381</v>
      </c>
      <c r="D17" s="18" t="n">
        <f aca="true" t="array" ref="D17:D17">KURT(OFFSET(Datos!$D$1,1+A17,0,Config!$B$12,1)-OFFSET(Datos!$D$1,1,0,Config!$B$12,1))</f>
        <v>0.990956006651635</v>
      </c>
    </row>
    <row r="18" customFormat="false" ht="15" hidden="false" customHeight="false" outlineLevel="0" collapsed="false">
      <c r="A18" s="2" t="n">
        <v>14</v>
      </c>
      <c r="B18" s="20" t="n">
        <f aca="false">A18*Config!$B$9</f>
        <v>0.7</v>
      </c>
      <c r="C18" s="18" t="n">
        <f aca="true" t="array" ref="C18:C18">SKEW(OFFSET(Datos!$D$1,1+A18,0,Config!$B$12,1)-OFFSET(Datos!$D$1,1,0,Config!$B$12,1))</f>
        <v>0.0444420109183612</v>
      </c>
      <c r="D18" s="18" t="n">
        <f aca="true" t="array" ref="D18:D18">KURT(OFFSET(Datos!$D$1,1+A18,0,Config!$B$12,1)-OFFSET(Datos!$D$1,1,0,Config!$B$12,1))</f>
        <v>0.716772514305953</v>
      </c>
    </row>
    <row r="19" customFormat="false" ht="15" hidden="false" customHeight="false" outlineLevel="0" collapsed="false">
      <c r="A19" s="2" t="n">
        <v>15</v>
      </c>
      <c r="B19" s="20" t="n">
        <f aca="false">A19*Config!$B$9</f>
        <v>0.75</v>
      </c>
      <c r="C19" s="18" t="n">
        <f aca="true" t="array" ref="C19:C19">SKEW(OFFSET(Datos!$D$1,1+A19,0,Config!$B$12,1)-OFFSET(Datos!$D$1,1,0,Config!$B$12,1))</f>
        <v>0.0250819907929559</v>
      </c>
      <c r="D19" s="18" t="n">
        <f aca="true" t="array" ref="D19:D19">KURT(OFFSET(Datos!$D$1,1+A19,0,Config!$B$12,1)-OFFSET(Datos!$D$1,1,0,Config!$B$12,1))</f>
        <v>1.14282697079431</v>
      </c>
    </row>
    <row r="20" customFormat="false" ht="15" hidden="false" customHeight="false" outlineLevel="0" collapsed="false">
      <c r="A20" s="2" t="n">
        <v>16</v>
      </c>
      <c r="B20" s="20" t="n">
        <f aca="false">A20*Config!$B$9</f>
        <v>0.8</v>
      </c>
      <c r="C20" s="18" t="n">
        <f aca="true" t="array" ref="C20:C20">SKEW(OFFSET(Datos!$D$1,1+A20,0,Config!$B$12,1)-OFFSET(Datos!$D$1,1,0,Config!$B$12,1))</f>
        <v>0.0946432135417489</v>
      </c>
      <c r="D20" s="18" t="n">
        <f aca="true" t="array" ref="D20:D20">KURT(OFFSET(Datos!$D$1,1+A20,0,Config!$B$12,1)-OFFSET(Datos!$D$1,1,0,Config!$B$12,1))</f>
        <v>1.03149883603347</v>
      </c>
    </row>
    <row r="21" customFormat="false" ht="15" hidden="false" customHeight="false" outlineLevel="0" collapsed="false">
      <c r="A21" s="2" t="n">
        <v>17</v>
      </c>
      <c r="B21" s="20" t="n">
        <f aca="false">A21*Config!$B$9</f>
        <v>0.85</v>
      </c>
      <c r="C21" s="18" t="n">
        <f aca="true" t="array" ref="C21:C21">SKEW(OFFSET(Datos!$D$1,1+A21,0,Config!$B$12,1)-OFFSET(Datos!$D$1,1,0,Config!$B$12,1))</f>
        <v>0.0621772882183717</v>
      </c>
      <c r="D21" s="18" t="n">
        <f aca="true" t="array" ref="D21:D21">KURT(OFFSET(Datos!$D$1,1+A21,0,Config!$B$12,1)-OFFSET(Datos!$D$1,1,0,Config!$B$12,1))</f>
        <v>0.796839059177031</v>
      </c>
    </row>
    <row r="22" customFormat="false" ht="15" hidden="false" customHeight="false" outlineLevel="0" collapsed="false">
      <c r="A22" s="2" t="n">
        <v>18</v>
      </c>
      <c r="B22" s="20" t="n">
        <f aca="false">A22*Config!$B$9</f>
        <v>0.9</v>
      </c>
      <c r="C22" s="18" t="n">
        <f aca="true" t="array" ref="C22:C22">SKEW(OFFSET(Datos!$D$1,1+A22,0,Config!$B$12,1)-OFFSET(Datos!$D$1,1,0,Config!$B$12,1))</f>
        <v>0.0735084821848743</v>
      </c>
      <c r="D22" s="18" t="n">
        <f aca="true" t="array" ref="D22:D22">KURT(OFFSET(Datos!$D$1,1+A22,0,Config!$B$12,1)-OFFSET(Datos!$D$1,1,0,Config!$B$12,1))</f>
        <v>0.90750065741336</v>
      </c>
    </row>
    <row r="23" customFormat="false" ht="15" hidden="false" customHeight="false" outlineLevel="0" collapsed="false">
      <c r="A23" s="2" t="n">
        <v>19</v>
      </c>
      <c r="B23" s="20" t="n">
        <f aca="false">A23*Config!$B$9</f>
        <v>0.95</v>
      </c>
      <c r="C23" s="18" t="n">
        <f aca="true" t="array" ref="C23:C23">SKEW(OFFSET(Datos!$D$1,1+A23,0,Config!$B$12,1)-OFFSET(Datos!$D$1,1,0,Config!$B$12,1))</f>
        <v>0.0072167109035087</v>
      </c>
      <c r="D23" s="18" t="n">
        <f aca="true" t="array" ref="D23:D23">KURT(OFFSET(Datos!$D$1,1+A23,0,Config!$B$12,1)-OFFSET(Datos!$D$1,1,0,Config!$B$12,1))</f>
        <v>0.734915155381844</v>
      </c>
    </row>
    <row r="24" customFormat="false" ht="15" hidden="false" customHeight="false" outlineLevel="0" collapsed="false">
      <c r="A24" s="2" t="n">
        <v>20</v>
      </c>
      <c r="B24" s="20" t="n">
        <f aca="false">A24*Config!$B$9</f>
        <v>1</v>
      </c>
      <c r="C24" s="18" t="n">
        <f aca="true" t="array" ref="C24:C24">SKEW(OFFSET(Datos!$D$1,1+A24,0,Config!$B$12,1)-OFFSET(Datos!$D$1,1,0,Config!$B$12,1))</f>
        <v>0.0790055164054775</v>
      </c>
      <c r="D24" s="18" t="n">
        <f aca="true" t="array" ref="D24:D24">KURT(OFFSET(Datos!$D$1,1+A24,0,Config!$B$12,1)-OFFSET(Datos!$D$1,1,0,Config!$B$12,1))</f>
        <v>0.653190747536179</v>
      </c>
    </row>
    <row r="25" customFormat="false" ht="15" hidden="false" customHeight="false" outlineLevel="0" collapsed="false">
      <c r="A25" s="2" t="n">
        <v>21</v>
      </c>
      <c r="B25" s="20" t="n">
        <f aca="false">A25*Config!$B$9</f>
        <v>1.05</v>
      </c>
      <c r="C25" s="18" t="n">
        <f aca="true" t="array" ref="C25:C25">SKEW(OFFSET(Datos!$D$1,1+A25,0,Config!$B$12,1)-OFFSET(Datos!$D$1,1,0,Config!$B$12,1))</f>
        <v>0.202127097059242</v>
      </c>
      <c r="D25" s="18" t="n">
        <f aca="true" t="array" ref="D25:D25">KURT(OFFSET(Datos!$D$1,1+A25,0,Config!$B$12,1)-OFFSET(Datos!$D$1,1,0,Config!$B$12,1))</f>
        <v>0.747772298058892</v>
      </c>
    </row>
    <row r="26" customFormat="false" ht="15" hidden="false" customHeight="false" outlineLevel="0" collapsed="false">
      <c r="A26" s="2" t="n">
        <v>22</v>
      </c>
      <c r="B26" s="20" t="n">
        <f aca="false">A26*Config!$B$9</f>
        <v>1.1</v>
      </c>
      <c r="C26" s="18" t="n">
        <f aca="true" t="array" ref="C26:C26">SKEW(OFFSET(Datos!$D$1,1+A26,0,Config!$B$12,1)-OFFSET(Datos!$D$1,1,0,Config!$B$12,1))</f>
        <v>0.0629787189352284</v>
      </c>
      <c r="D26" s="18" t="n">
        <f aca="true" t="array" ref="D26:D26">KURT(OFFSET(Datos!$D$1,1+A26,0,Config!$B$12,1)-OFFSET(Datos!$D$1,1,0,Config!$B$12,1))</f>
        <v>0.881413184913421</v>
      </c>
    </row>
    <row r="27" customFormat="false" ht="15" hidden="false" customHeight="false" outlineLevel="0" collapsed="false">
      <c r="A27" s="2" t="n">
        <v>23</v>
      </c>
      <c r="B27" s="20" t="n">
        <f aca="false">A27*Config!$B$9</f>
        <v>1.15</v>
      </c>
      <c r="C27" s="18" t="n">
        <f aca="true" t="array" ref="C27:C27">SKEW(OFFSET(Datos!$D$1,1+A27,0,Config!$B$12,1)-OFFSET(Datos!$D$1,1,0,Config!$B$12,1))</f>
        <v>0.18364403447408</v>
      </c>
      <c r="D27" s="18" t="n">
        <f aca="true" t="array" ref="D27:D27">KURT(OFFSET(Datos!$D$1,1+A27,0,Config!$B$12,1)-OFFSET(Datos!$D$1,1,0,Config!$B$12,1))</f>
        <v>0.811207487115981</v>
      </c>
    </row>
    <row r="28" customFormat="false" ht="15" hidden="false" customHeight="false" outlineLevel="0" collapsed="false">
      <c r="A28" s="2" t="n">
        <v>24</v>
      </c>
      <c r="B28" s="20" t="n">
        <f aca="false">A28*Config!$B$9</f>
        <v>1.2</v>
      </c>
      <c r="C28" s="18" t="n">
        <f aca="true" t="array" ref="C28:C28">SKEW(OFFSET(Datos!$D$1,1+A28,0,Config!$B$12,1)-OFFSET(Datos!$D$1,1,0,Config!$B$12,1))</f>
        <v>0.179987011165974</v>
      </c>
      <c r="D28" s="18" t="n">
        <f aca="true" t="array" ref="D28:D28">KURT(OFFSET(Datos!$D$1,1+A28,0,Config!$B$12,1)-OFFSET(Datos!$D$1,1,0,Config!$B$12,1))</f>
        <v>0.836328934439194</v>
      </c>
    </row>
    <row r="29" customFormat="false" ht="15" hidden="false" customHeight="false" outlineLevel="0" collapsed="false">
      <c r="A29" s="2" t="n">
        <v>25</v>
      </c>
      <c r="B29" s="20" t="n">
        <f aca="false">A29*Config!$B$9</f>
        <v>1.25</v>
      </c>
      <c r="C29" s="18" t="n">
        <f aca="true" t="array" ref="C29:C29">SKEW(OFFSET(Datos!$D$1,1+A29,0,Config!$B$12,1)-OFFSET(Datos!$D$1,1,0,Config!$B$12,1))</f>
        <v>0.16265385774859</v>
      </c>
      <c r="D29" s="18" t="n">
        <f aca="true" t="array" ref="D29:D29">KURT(OFFSET(Datos!$D$1,1+A29,0,Config!$B$12,1)-OFFSET(Datos!$D$1,1,0,Config!$B$12,1))</f>
        <v>0.809709934917626</v>
      </c>
    </row>
    <row r="30" customFormat="false" ht="15" hidden="false" customHeight="false" outlineLevel="0" collapsed="false">
      <c r="A30" s="2" t="n">
        <v>26</v>
      </c>
      <c r="B30" s="20" t="n">
        <f aca="false">A30*Config!$B$9</f>
        <v>1.3</v>
      </c>
      <c r="C30" s="18" t="n">
        <f aca="true" t="array" ref="C30:C30">SKEW(OFFSET(Datos!$D$1,1+A30,0,Config!$B$12,1)-OFFSET(Datos!$D$1,1,0,Config!$B$12,1))</f>
        <v>0.191620567579518</v>
      </c>
      <c r="D30" s="18" t="n">
        <f aca="true" t="array" ref="D30:D30">KURT(OFFSET(Datos!$D$1,1+A30,0,Config!$B$12,1)-OFFSET(Datos!$D$1,1,0,Config!$B$12,1))</f>
        <v>0.546932535206516</v>
      </c>
    </row>
    <row r="31" customFormat="false" ht="15" hidden="false" customHeight="false" outlineLevel="0" collapsed="false">
      <c r="A31" s="2" t="n">
        <v>27</v>
      </c>
      <c r="B31" s="20" t="n">
        <f aca="false">A31*Config!$B$9</f>
        <v>1.35</v>
      </c>
      <c r="C31" s="18" t="n">
        <f aca="true" t="array" ref="C31:C31">SKEW(OFFSET(Datos!$D$1,1+A31,0,Config!$B$12,1)-OFFSET(Datos!$D$1,1,0,Config!$B$12,1))</f>
        <v>0.155002074756955</v>
      </c>
      <c r="D31" s="18" t="n">
        <f aca="true" t="array" ref="D31:D31">KURT(OFFSET(Datos!$D$1,1+A31,0,Config!$B$12,1)-OFFSET(Datos!$D$1,1,0,Config!$B$12,1))</f>
        <v>0.742756838415921</v>
      </c>
    </row>
    <row r="32" customFormat="false" ht="15" hidden="false" customHeight="false" outlineLevel="0" collapsed="false">
      <c r="A32" s="2" t="n">
        <v>28</v>
      </c>
      <c r="B32" s="20" t="n">
        <f aca="false">A32*Config!$B$9</f>
        <v>1.4</v>
      </c>
      <c r="C32" s="18" t="n">
        <f aca="true" t="array" ref="C32:C32">SKEW(OFFSET(Datos!$D$1,1+A32,0,Config!$B$12,1)-OFFSET(Datos!$D$1,1,0,Config!$B$12,1))</f>
        <v>0.214882169382908</v>
      </c>
      <c r="D32" s="18" t="n">
        <f aca="true" t="array" ref="D32:D32">KURT(OFFSET(Datos!$D$1,1+A32,0,Config!$B$12,1)-OFFSET(Datos!$D$1,1,0,Config!$B$12,1))</f>
        <v>0.6884833939394</v>
      </c>
    </row>
    <row r="33" customFormat="false" ht="15" hidden="false" customHeight="false" outlineLevel="0" collapsed="false">
      <c r="A33" s="2" t="n">
        <v>29</v>
      </c>
      <c r="B33" s="20" t="n">
        <f aca="false">A33*Config!$B$9</f>
        <v>1.45</v>
      </c>
      <c r="C33" s="18" t="n">
        <f aca="true" t="array" ref="C33:C33">SKEW(OFFSET(Datos!$D$1,1+A33,0,Config!$B$12,1)-OFFSET(Datos!$D$1,1,0,Config!$B$12,1))</f>
        <v>0.130857536800362</v>
      </c>
      <c r="D33" s="18" t="n">
        <f aca="true" t="array" ref="D33:D33">KURT(OFFSET(Datos!$D$1,1+A33,0,Config!$B$12,1)-OFFSET(Datos!$D$1,1,0,Config!$B$12,1))</f>
        <v>0.627229222569856</v>
      </c>
    </row>
    <row r="34" customFormat="false" ht="15" hidden="false" customHeight="false" outlineLevel="0" collapsed="false">
      <c r="A34" s="2" t="n">
        <v>30</v>
      </c>
      <c r="B34" s="20" t="n">
        <f aca="false">A34*Config!$B$9</f>
        <v>1.5</v>
      </c>
      <c r="C34" s="18" t="n">
        <f aca="true" t="array" ref="C34:C34">SKEW(OFFSET(Datos!$D$1,1+A34,0,Config!$B$12,1)-OFFSET(Datos!$D$1,1,0,Config!$B$12,1))</f>
        <v>0.227090152625378</v>
      </c>
      <c r="D34" s="18" t="n">
        <f aca="true" t="array" ref="D34:D34">KURT(OFFSET(Datos!$D$1,1+A34,0,Config!$B$12,1)-OFFSET(Datos!$D$1,1,0,Config!$B$12,1))</f>
        <v>0.61644501524454</v>
      </c>
    </row>
    <row r="35" customFormat="false" ht="15" hidden="false" customHeight="false" outlineLevel="0" collapsed="false">
      <c r="A35" s="2" t="n">
        <v>31</v>
      </c>
      <c r="B35" s="20" t="n">
        <f aca="false">A35*Config!$B$9</f>
        <v>1.55</v>
      </c>
      <c r="C35" s="18" t="n">
        <f aca="true" t="array" ref="C35:C35">SKEW(OFFSET(Datos!$D$1,1+A35,0,Config!$B$12,1)-OFFSET(Datos!$D$1,1,0,Config!$B$12,1))</f>
        <v>0.185341056436058</v>
      </c>
      <c r="D35" s="18" t="n">
        <f aca="true" t="array" ref="D35:D35">KURT(OFFSET(Datos!$D$1,1+A35,0,Config!$B$12,1)-OFFSET(Datos!$D$1,1,0,Config!$B$12,1))</f>
        <v>0.431007859085343</v>
      </c>
    </row>
    <row r="36" customFormat="false" ht="15" hidden="false" customHeight="false" outlineLevel="0" collapsed="false">
      <c r="A36" s="2" t="n">
        <v>32</v>
      </c>
      <c r="B36" s="20" t="n">
        <f aca="false">A36*Config!$B$9</f>
        <v>1.6</v>
      </c>
      <c r="C36" s="18" t="n">
        <f aca="true" t="array" ref="C36:C36">SKEW(OFFSET(Datos!$D$1,1+A36,0,Config!$B$12,1)-OFFSET(Datos!$D$1,1,0,Config!$B$12,1))</f>
        <v>0.228859575152538</v>
      </c>
      <c r="D36" s="18" t="n">
        <f aca="true" t="array" ref="D36:D36">KURT(OFFSET(Datos!$D$1,1+A36,0,Config!$B$12,1)-OFFSET(Datos!$D$1,1,0,Config!$B$12,1))</f>
        <v>0.492268474245005</v>
      </c>
    </row>
    <row r="37" customFormat="false" ht="15" hidden="false" customHeight="false" outlineLevel="0" collapsed="false">
      <c r="A37" s="2" t="n">
        <v>33</v>
      </c>
      <c r="B37" s="20" t="n">
        <f aca="false">A37*Config!$B$9</f>
        <v>1.65</v>
      </c>
      <c r="C37" s="18" t="n">
        <f aca="true" t="array" ref="C37:C37">SKEW(OFFSET(Datos!$D$1,1+A37,0,Config!$B$12,1)-OFFSET(Datos!$D$1,1,0,Config!$B$12,1))</f>
        <v>0.249537654175311</v>
      </c>
      <c r="D37" s="18" t="n">
        <f aca="true" t="array" ref="D37:D37">KURT(OFFSET(Datos!$D$1,1+A37,0,Config!$B$12,1)-OFFSET(Datos!$D$1,1,0,Config!$B$12,1))</f>
        <v>0.386797002412453</v>
      </c>
    </row>
    <row r="38" customFormat="false" ht="15" hidden="false" customHeight="false" outlineLevel="0" collapsed="false">
      <c r="A38" s="2" t="n">
        <v>34</v>
      </c>
      <c r="B38" s="20" t="n">
        <f aca="false">A38*Config!$B$9</f>
        <v>1.7</v>
      </c>
      <c r="C38" s="18" t="n">
        <f aca="true" t="array" ref="C38:C38">SKEW(OFFSET(Datos!$D$1,1+A38,0,Config!$B$12,1)-OFFSET(Datos!$D$1,1,0,Config!$B$12,1))</f>
        <v>0.222873012971767</v>
      </c>
      <c r="D38" s="18" t="n">
        <f aca="true" t="array" ref="D38:D38">KURT(OFFSET(Datos!$D$1,1+A38,0,Config!$B$12,1)-OFFSET(Datos!$D$1,1,0,Config!$B$12,1))</f>
        <v>0.61089489823907</v>
      </c>
    </row>
    <row r="39" customFormat="false" ht="15" hidden="false" customHeight="false" outlineLevel="0" collapsed="false">
      <c r="A39" s="2" t="n">
        <v>35</v>
      </c>
      <c r="B39" s="20" t="n">
        <f aca="false">A39*Config!$B$9</f>
        <v>1.75</v>
      </c>
      <c r="C39" s="18" t="n">
        <f aca="true" t="array" ref="C39:C39">SKEW(OFFSET(Datos!$D$1,1+A39,0,Config!$B$12,1)-OFFSET(Datos!$D$1,1,0,Config!$B$12,1))</f>
        <v>0.159223236590246</v>
      </c>
      <c r="D39" s="18" t="n">
        <f aca="true" t="array" ref="D39:D39">KURT(OFFSET(Datos!$D$1,1+A39,0,Config!$B$12,1)-OFFSET(Datos!$D$1,1,0,Config!$B$12,1))</f>
        <v>0.392920587443732</v>
      </c>
    </row>
    <row r="40" customFormat="false" ht="15" hidden="false" customHeight="false" outlineLevel="0" collapsed="false">
      <c r="A40" s="2" t="n">
        <v>36</v>
      </c>
      <c r="B40" s="20" t="n">
        <f aca="false">A40*Config!$B$9</f>
        <v>1.8</v>
      </c>
      <c r="C40" s="18" t="n">
        <f aca="true" t="array" ref="C40:C40">SKEW(OFFSET(Datos!$D$1,1+A40,0,Config!$B$12,1)-OFFSET(Datos!$D$1,1,0,Config!$B$12,1))</f>
        <v>0.259642248954897</v>
      </c>
      <c r="D40" s="18" t="n">
        <f aca="true" t="array" ref="D40:D40">KURT(OFFSET(Datos!$D$1,1+A40,0,Config!$B$12,1)-OFFSET(Datos!$D$1,1,0,Config!$B$12,1))</f>
        <v>0.301700111965771</v>
      </c>
    </row>
    <row r="41" customFormat="false" ht="15" hidden="false" customHeight="false" outlineLevel="0" collapsed="false">
      <c r="A41" s="2" t="n">
        <v>37</v>
      </c>
      <c r="B41" s="20" t="n">
        <f aca="false">A41*Config!$B$9</f>
        <v>1.85</v>
      </c>
      <c r="C41" s="18" t="n">
        <f aca="true" t="array" ref="C41:C41">SKEW(OFFSET(Datos!$D$1,1+A41,0,Config!$B$12,1)-OFFSET(Datos!$D$1,1,0,Config!$B$12,1))</f>
        <v>0.252826098537431</v>
      </c>
      <c r="D41" s="18" t="n">
        <f aca="true" t="array" ref="D41:D41">KURT(OFFSET(Datos!$D$1,1+A41,0,Config!$B$12,1)-OFFSET(Datos!$D$1,1,0,Config!$B$12,1))</f>
        <v>0.319817301023396</v>
      </c>
    </row>
    <row r="42" customFormat="false" ht="15" hidden="false" customHeight="false" outlineLevel="0" collapsed="false">
      <c r="A42" s="2" t="n">
        <v>38</v>
      </c>
      <c r="B42" s="20" t="n">
        <f aca="false">A42*Config!$B$9</f>
        <v>1.9</v>
      </c>
      <c r="C42" s="18" t="n">
        <f aca="true" t="array" ref="C42:C42">SKEW(OFFSET(Datos!$D$1,1+A42,0,Config!$B$12,1)-OFFSET(Datos!$D$1,1,0,Config!$B$12,1))</f>
        <v>0.25625455875886</v>
      </c>
      <c r="D42" s="18" t="n">
        <f aca="true" t="array" ref="D42:D42">KURT(OFFSET(Datos!$D$1,1+A42,0,Config!$B$12,1)-OFFSET(Datos!$D$1,1,0,Config!$B$12,1))</f>
        <v>0.406562808709245</v>
      </c>
    </row>
    <row r="43" customFormat="false" ht="15" hidden="false" customHeight="false" outlineLevel="0" collapsed="false">
      <c r="A43" s="2" t="n">
        <v>39</v>
      </c>
      <c r="B43" s="20" t="n">
        <f aca="false">A43*Config!$B$9</f>
        <v>1.95</v>
      </c>
      <c r="C43" s="18" t="n">
        <f aca="true" t="array" ref="C43:C43">SKEW(OFFSET(Datos!$D$1,1+A43,0,Config!$B$12,1)-OFFSET(Datos!$D$1,1,0,Config!$B$12,1))</f>
        <v>0.248077623112175</v>
      </c>
      <c r="D43" s="18" t="n">
        <f aca="true" t="array" ref="D43:D43">KURT(OFFSET(Datos!$D$1,1+A43,0,Config!$B$12,1)-OFFSET(Datos!$D$1,1,0,Config!$B$12,1))</f>
        <v>0.567911540884115</v>
      </c>
    </row>
    <row r="44" customFormat="false" ht="15" hidden="false" customHeight="false" outlineLevel="0" collapsed="false">
      <c r="A44" s="2" t="n">
        <v>40</v>
      </c>
      <c r="B44" s="20" t="n">
        <f aca="false">A44*Config!$B$9</f>
        <v>2</v>
      </c>
      <c r="C44" s="18" t="n">
        <f aca="true" t="array" ref="C44:C44">SKEW(OFFSET(Datos!$D$1,1+A44,0,Config!$B$12,1)-OFFSET(Datos!$D$1,1,0,Config!$B$12,1))</f>
        <v>0.178767714752338</v>
      </c>
      <c r="D44" s="18" t="n">
        <f aca="true" t="array" ref="D44:D44">KURT(OFFSET(Datos!$D$1,1+A44,0,Config!$B$12,1)-OFFSET(Datos!$D$1,1,0,Config!$B$12,1))</f>
        <v>0.335800947046419</v>
      </c>
    </row>
    <row r="45" customFormat="false" ht="15" hidden="false" customHeight="false" outlineLevel="0" collapsed="false">
      <c r="A45" s="2" t="n">
        <v>41</v>
      </c>
      <c r="B45" s="20" t="n">
        <f aca="false">A45*Config!$B$9</f>
        <v>2.05</v>
      </c>
      <c r="C45" s="18" t="n">
        <f aca="true" t="array" ref="C45:C45">SKEW(OFFSET(Datos!$D$1,1+A45,0,Config!$B$12,1)-OFFSET(Datos!$D$1,1,0,Config!$B$12,1))</f>
        <v>0.239207497726052</v>
      </c>
      <c r="D45" s="18" t="n">
        <f aca="true" t="array" ref="D45:D45">KURT(OFFSET(Datos!$D$1,1+A45,0,Config!$B$12,1)-OFFSET(Datos!$D$1,1,0,Config!$B$12,1))</f>
        <v>0.388917280411293</v>
      </c>
    </row>
    <row r="46" customFormat="false" ht="15" hidden="false" customHeight="false" outlineLevel="0" collapsed="false">
      <c r="A46" s="2" t="n">
        <v>42</v>
      </c>
      <c r="B46" s="20" t="n">
        <f aca="false">A46*Config!$B$9</f>
        <v>2.1</v>
      </c>
      <c r="C46" s="18" t="n">
        <f aca="true" t="array" ref="C46:C46">SKEW(OFFSET(Datos!$D$1,1+A46,0,Config!$B$12,1)-OFFSET(Datos!$D$1,1,0,Config!$B$12,1))</f>
        <v>0.237174082569478</v>
      </c>
      <c r="D46" s="18" t="n">
        <f aca="true" t="array" ref="D46:D46">KURT(OFFSET(Datos!$D$1,1+A46,0,Config!$B$12,1)-OFFSET(Datos!$D$1,1,0,Config!$B$12,1))</f>
        <v>0.235771765112045</v>
      </c>
    </row>
    <row r="47" customFormat="false" ht="15" hidden="false" customHeight="false" outlineLevel="0" collapsed="false">
      <c r="A47" s="2" t="n">
        <v>43</v>
      </c>
      <c r="B47" s="20" t="n">
        <f aca="false">A47*Config!$B$9</f>
        <v>2.15</v>
      </c>
      <c r="C47" s="18" t="n">
        <f aca="true" t="array" ref="C47:C47">SKEW(OFFSET(Datos!$D$1,1+A47,0,Config!$B$12,1)-OFFSET(Datos!$D$1,1,0,Config!$B$12,1))</f>
        <v>0.208653613424902</v>
      </c>
      <c r="D47" s="18" t="n">
        <f aca="true" t="array" ref="D47:D47">KURT(OFFSET(Datos!$D$1,1+A47,0,Config!$B$12,1)-OFFSET(Datos!$D$1,1,0,Config!$B$12,1))</f>
        <v>0.32135849156445</v>
      </c>
    </row>
    <row r="48" customFormat="false" ht="15" hidden="false" customHeight="false" outlineLevel="0" collapsed="false">
      <c r="A48" s="2" t="n">
        <v>44</v>
      </c>
      <c r="B48" s="20" t="n">
        <f aca="false">A48*Config!$B$9</f>
        <v>2.2</v>
      </c>
      <c r="C48" s="18" t="n">
        <f aca="true" t="array" ref="C48:C48">SKEW(OFFSET(Datos!$D$1,1+A48,0,Config!$B$12,1)-OFFSET(Datos!$D$1,1,0,Config!$B$12,1))</f>
        <v>0.156890899526125</v>
      </c>
      <c r="D48" s="18" t="n">
        <f aca="true" t="array" ref="D48:D48">KURT(OFFSET(Datos!$D$1,1+A48,0,Config!$B$12,1)-OFFSET(Datos!$D$1,1,0,Config!$B$12,1))</f>
        <v>0.148527568870601</v>
      </c>
    </row>
    <row r="49" customFormat="false" ht="15" hidden="false" customHeight="false" outlineLevel="0" collapsed="false">
      <c r="A49" s="2" t="n">
        <v>45</v>
      </c>
      <c r="B49" s="20" t="n">
        <f aca="false">A49*Config!$B$9</f>
        <v>2.25</v>
      </c>
      <c r="C49" s="18" t="n">
        <f aca="true" t="array" ref="C49:C49">SKEW(OFFSET(Datos!$D$1,1+A49,0,Config!$B$12,1)-OFFSET(Datos!$D$1,1,0,Config!$B$12,1))</f>
        <v>0.222391003874595</v>
      </c>
      <c r="D49" s="18" t="n">
        <f aca="true" t="array" ref="D49:D49">KURT(OFFSET(Datos!$D$1,1+A49,0,Config!$B$12,1)-OFFSET(Datos!$D$1,1,0,Config!$B$12,1))</f>
        <v>0.183526441410823</v>
      </c>
    </row>
    <row r="50" customFormat="false" ht="15" hidden="false" customHeight="false" outlineLevel="0" collapsed="false">
      <c r="A50" s="2" t="n">
        <v>46</v>
      </c>
      <c r="B50" s="20" t="n">
        <f aca="false">A50*Config!$B$9</f>
        <v>2.3</v>
      </c>
      <c r="C50" s="18" t="n">
        <f aca="true" t="array" ref="C50:C50">SKEW(OFFSET(Datos!$D$1,1+A50,0,Config!$B$12,1)-OFFSET(Datos!$D$1,1,0,Config!$B$12,1))</f>
        <v>0.189485879079245</v>
      </c>
      <c r="D50" s="18" t="n">
        <f aca="true" t="array" ref="D50:D50">KURT(OFFSET(Datos!$D$1,1+A50,0,Config!$B$12,1)-OFFSET(Datos!$D$1,1,0,Config!$B$12,1))</f>
        <v>0.185536989768668</v>
      </c>
    </row>
    <row r="51" customFormat="false" ht="15" hidden="false" customHeight="false" outlineLevel="0" collapsed="false">
      <c r="A51" s="2" t="n">
        <v>47</v>
      </c>
      <c r="B51" s="20" t="n">
        <f aca="false">A51*Config!$B$9</f>
        <v>2.35</v>
      </c>
      <c r="C51" s="18" t="n">
        <f aca="true" t="array" ref="C51:C51">SKEW(OFFSET(Datos!$D$1,1+A51,0,Config!$B$12,1)-OFFSET(Datos!$D$1,1,0,Config!$B$12,1))</f>
        <v>0.191952115559423</v>
      </c>
      <c r="D51" s="18" t="n">
        <f aca="true" t="array" ref="D51:D51">KURT(OFFSET(Datos!$D$1,1+A51,0,Config!$B$12,1)-OFFSET(Datos!$D$1,1,0,Config!$B$12,1))</f>
        <v>0.166715144060295</v>
      </c>
    </row>
    <row r="52" customFormat="false" ht="15" hidden="false" customHeight="false" outlineLevel="0" collapsed="false">
      <c r="A52" s="2" t="n">
        <v>48</v>
      </c>
      <c r="B52" s="20" t="n">
        <f aca="false">A52*Config!$B$9</f>
        <v>2.4</v>
      </c>
      <c r="C52" s="18" t="n">
        <f aca="true" t="array" ref="C52:C52">SKEW(OFFSET(Datos!$D$1,1+A52,0,Config!$B$12,1)-OFFSET(Datos!$D$1,1,0,Config!$B$12,1))</f>
        <v>0.235914978779703</v>
      </c>
      <c r="D52" s="18" t="n">
        <f aca="true" t="array" ref="D52:D52">KURT(OFFSET(Datos!$D$1,1+A52,0,Config!$B$12,1)-OFFSET(Datos!$D$1,1,0,Config!$B$12,1))</f>
        <v>0.126766312731418</v>
      </c>
    </row>
    <row r="53" customFormat="false" ht="15" hidden="false" customHeight="false" outlineLevel="0" collapsed="false">
      <c r="A53" s="2" t="n">
        <v>49</v>
      </c>
      <c r="B53" s="20" t="n">
        <f aca="false">A53*Config!$B$9</f>
        <v>2.45</v>
      </c>
      <c r="C53" s="18" t="n">
        <f aca="true" t="array" ref="C53:C53">SKEW(OFFSET(Datos!$D$1,1+A53,0,Config!$B$12,1)-OFFSET(Datos!$D$1,1,0,Config!$B$12,1))</f>
        <v>0.255089814989044</v>
      </c>
      <c r="D53" s="18" t="n">
        <f aca="true" t="array" ref="D53:D53">KURT(OFFSET(Datos!$D$1,1+A53,0,Config!$B$12,1)-OFFSET(Datos!$D$1,1,0,Config!$B$12,1))</f>
        <v>0.192620725036981</v>
      </c>
    </row>
    <row r="54" customFormat="false" ht="15" hidden="false" customHeight="false" outlineLevel="0" collapsed="false">
      <c r="A54" s="2" t="n">
        <v>50</v>
      </c>
      <c r="B54" s="20" t="n">
        <f aca="false">A54*Config!$B$9</f>
        <v>2.5</v>
      </c>
      <c r="C54" s="18" t="n">
        <f aca="true" t="array" ref="C54:C54">SKEW(OFFSET(Datos!$D$1,1+A54,0,Config!$B$12,1)-OFFSET(Datos!$D$1,1,0,Config!$B$12,1))</f>
        <v>0.286266942290905</v>
      </c>
      <c r="D54" s="18" t="n">
        <f aca="true" t="array" ref="D54:D54">KURT(OFFSET(Datos!$D$1,1+A54,0,Config!$B$12,1)-OFFSET(Datos!$D$1,1,0,Config!$B$12,1))</f>
        <v>0.197587204026557</v>
      </c>
    </row>
    <row r="55" customFormat="false" ht="15" hidden="false" customHeight="false" outlineLevel="0" collapsed="false">
      <c r="A55" s="2" t="n">
        <v>51</v>
      </c>
      <c r="B55" s="20" t="n">
        <f aca="false">A55*Config!$B$9</f>
        <v>2.55</v>
      </c>
      <c r="C55" s="18" t="n">
        <f aca="true" t="array" ref="C55:C55">SKEW(OFFSET(Datos!$D$1,1+A55,0,Config!$B$12,1)-OFFSET(Datos!$D$1,1,0,Config!$B$12,1))</f>
        <v>0.262486210577485</v>
      </c>
      <c r="D55" s="18" t="n">
        <f aca="true" t="array" ref="D55:D55">KURT(OFFSET(Datos!$D$1,1+A55,0,Config!$B$12,1)-OFFSET(Datos!$D$1,1,0,Config!$B$12,1))</f>
        <v>-0.00810533505978217</v>
      </c>
    </row>
    <row r="56" customFormat="false" ht="15" hidden="false" customHeight="false" outlineLevel="0" collapsed="false">
      <c r="A56" s="2" t="n">
        <v>52</v>
      </c>
      <c r="B56" s="20" t="n">
        <f aca="false">A56*Config!$B$9</f>
        <v>2.6</v>
      </c>
      <c r="C56" s="18" t="n">
        <f aca="true" t="array" ref="C56:C56">SKEW(OFFSET(Datos!$D$1,1+A56,0,Config!$B$12,1)-OFFSET(Datos!$D$1,1,0,Config!$B$12,1))</f>
        <v>0.241604281701263</v>
      </c>
      <c r="D56" s="18" t="n">
        <f aca="true" t="array" ref="D56:D56">KURT(OFFSET(Datos!$D$1,1+A56,0,Config!$B$12,1)-OFFSET(Datos!$D$1,1,0,Config!$B$12,1))</f>
        <v>0.169228209769146</v>
      </c>
    </row>
    <row r="57" customFormat="false" ht="15" hidden="false" customHeight="false" outlineLevel="0" collapsed="false">
      <c r="A57" s="2" t="n">
        <v>53</v>
      </c>
      <c r="B57" s="20" t="n">
        <f aca="false">A57*Config!$B$9</f>
        <v>2.65</v>
      </c>
      <c r="C57" s="18" t="n">
        <f aca="true" t="array" ref="C57:C57">SKEW(OFFSET(Datos!$D$1,1+A57,0,Config!$B$12,1)-OFFSET(Datos!$D$1,1,0,Config!$B$12,1))</f>
        <v>0.177800443907729</v>
      </c>
      <c r="D57" s="18" t="n">
        <f aca="true" t="array" ref="D57:D57">KURT(OFFSET(Datos!$D$1,1+A57,0,Config!$B$12,1)-OFFSET(Datos!$D$1,1,0,Config!$B$12,1))</f>
        <v>0.0298493176950498</v>
      </c>
    </row>
    <row r="58" customFormat="false" ht="15" hidden="false" customHeight="false" outlineLevel="0" collapsed="false">
      <c r="A58" s="2" t="n">
        <v>54</v>
      </c>
      <c r="B58" s="20" t="n">
        <f aca="false">A58*Config!$B$9</f>
        <v>2.7</v>
      </c>
      <c r="C58" s="18" t="n">
        <f aca="true" t="array" ref="C58:C58">SKEW(OFFSET(Datos!$D$1,1+A58,0,Config!$B$12,1)-OFFSET(Datos!$D$1,1,0,Config!$B$12,1))</f>
        <v>0.201051232835496</v>
      </c>
      <c r="D58" s="18" t="n">
        <f aca="true" t="array" ref="D58:D58">KURT(OFFSET(Datos!$D$1,1+A58,0,Config!$B$12,1)-OFFSET(Datos!$D$1,1,0,Config!$B$12,1))</f>
        <v>0.0558090054977254</v>
      </c>
    </row>
    <row r="59" customFormat="false" ht="15" hidden="false" customHeight="false" outlineLevel="0" collapsed="false">
      <c r="A59" s="2" t="n">
        <v>55</v>
      </c>
      <c r="B59" s="20" t="n">
        <f aca="false">A59*Config!$B$9</f>
        <v>2.75</v>
      </c>
      <c r="C59" s="18" t="n">
        <f aca="true" t="array" ref="C59:C59">SKEW(OFFSET(Datos!$D$1,1+A59,0,Config!$B$12,1)-OFFSET(Datos!$D$1,1,0,Config!$B$12,1))</f>
        <v>0.241947005282601</v>
      </c>
      <c r="D59" s="18" t="n">
        <f aca="true" t="array" ref="D59:D59">KURT(OFFSET(Datos!$D$1,1+A59,0,Config!$B$12,1)-OFFSET(Datos!$D$1,1,0,Config!$B$12,1))</f>
        <v>0.0117546811962188</v>
      </c>
    </row>
    <row r="60" customFormat="false" ht="15" hidden="false" customHeight="false" outlineLevel="0" collapsed="false">
      <c r="A60" s="2" t="n">
        <v>56</v>
      </c>
      <c r="B60" s="20" t="n">
        <f aca="false">A60*Config!$B$9</f>
        <v>2.8</v>
      </c>
      <c r="C60" s="18" t="n">
        <f aca="true" t="array" ref="C60:C60">SKEW(OFFSET(Datos!$D$1,1+A60,0,Config!$B$12,1)-OFFSET(Datos!$D$1,1,0,Config!$B$12,1))</f>
        <v>0.187362819996414</v>
      </c>
      <c r="D60" s="18" t="n">
        <f aca="true" t="array" ref="D60:D60">KURT(OFFSET(Datos!$D$1,1+A60,0,Config!$B$12,1)-OFFSET(Datos!$D$1,1,0,Config!$B$12,1))</f>
        <v>-0.0311155699283856</v>
      </c>
    </row>
    <row r="61" customFormat="false" ht="15" hidden="false" customHeight="false" outlineLevel="0" collapsed="false">
      <c r="A61" s="2" t="n">
        <v>57</v>
      </c>
      <c r="B61" s="20" t="n">
        <f aca="false">A61*Config!$B$9</f>
        <v>2.85</v>
      </c>
      <c r="C61" s="18" t="n">
        <f aca="true" t="array" ref="C61:C61">SKEW(OFFSET(Datos!$D$1,1+A61,0,Config!$B$12,1)-OFFSET(Datos!$D$1,1,0,Config!$B$12,1))</f>
        <v>0.199177215769623</v>
      </c>
      <c r="D61" s="18" t="n">
        <f aca="true" t="array" ref="D61:D61">KURT(OFFSET(Datos!$D$1,1+A61,0,Config!$B$12,1)-OFFSET(Datos!$D$1,1,0,Config!$B$12,1))</f>
        <v>0.0239625303352877</v>
      </c>
    </row>
    <row r="62" customFormat="false" ht="15" hidden="false" customHeight="false" outlineLevel="0" collapsed="false">
      <c r="A62" s="2" t="n">
        <v>58</v>
      </c>
      <c r="B62" s="20" t="n">
        <f aca="false">A62*Config!$B$9</f>
        <v>2.9</v>
      </c>
      <c r="C62" s="18" t="n">
        <f aca="true" t="array" ref="C62:C62">SKEW(OFFSET(Datos!$D$1,1+A62,0,Config!$B$12,1)-OFFSET(Datos!$D$1,1,0,Config!$B$12,1))</f>
        <v>0.188416166968864</v>
      </c>
      <c r="D62" s="18" t="n">
        <f aca="true" t="array" ref="D62:D62">KURT(OFFSET(Datos!$D$1,1+A62,0,Config!$B$12,1)-OFFSET(Datos!$D$1,1,0,Config!$B$12,1))</f>
        <v>-0.12433128385988</v>
      </c>
    </row>
    <row r="63" customFormat="false" ht="15" hidden="false" customHeight="false" outlineLevel="0" collapsed="false">
      <c r="A63" s="2" t="n">
        <v>59</v>
      </c>
      <c r="B63" s="20" t="n">
        <f aca="false">A63*Config!$B$9</f>
        <v>2.95</v>
      </c>
      <c r="C63" s="18" t="n">
        <f aca="true" t="array" ref="C63:C63">SKEW(OFFSET(Datos!$D$1,1+A63,0,Config!$B$12,1)-OFFSET(Datos!$D$1,1,0,Config!$B$12,1))</f>
        <v>0.231571476917024</v>
      </c>
      <c r="D63" s="18" t="n">
        <f aca="true" t="array" ref="D63:D63">KURT(OFFSET(Datos!$D$1,1+A63,0,Config!$B$12,1)-OFFSET(Datos!$D$1,1,0,Config!$B$12,1))</f>
        <v>0.0135913347615002</v>
      </c>
    </row>
    <row r="64" customFormat="false" ht="15" hidden="false" customHeight="false" outlineLevel="0" collapsed="false">
      <c r="A64" s="2" t="n">
        <v>60</v>
      </c>
      <c r="B64" s="20" t="n">
        <f aca="false">A64*Config!$B$9</f>
        <v>3</v>
      </c>
      <c r="C64" s="18" t="n">
        <f aca="true" t="array" ref="C64:C64">SKEW(OFFSET(Datos!$D$1,1+A64,0,Config!$B$12,1)-OFFSET(Datos!$D$1,1,0,Config!$B$12,1))</f>
        <v>0.22640730933109</v>
      </c>
      <c r="D64" s="18" t="n">
        <f aca="true" t="array" ref="D64:D64">KURT(OFFSET(Datos!$D$1,1+A64,0,Config!$B$12,1)-OFFSET(Datos!$D$1,1,0,Config!$B$12,1))</f>
        <v>-0.148522242292027</v>
      </c>
    </row>
    <row r="65" customFormat="false" ht="15" hidden="false" customHeight="false" outlineLevel="0" collapsed="false">
      <c r="A65" s="2" t="n">
        <v>61</v>
      </c>
      <c r="B65" s="20" t="n">
        <f aca="false">A65*Config!$B$9</f>
        <v>3.05</v>
      </c>
      <c r="C65" s="18" t="n">
        <f aca="true" t="array" ref="C65:C65">SKEW(OFFSET(Datos!$D$1,1+A65,0,Config!$B$12,1)-OFFSET(Datos!$D$1,1,0,Config!$B$12,1))</f>
        <v>0.173331780012688</v>
      </c>
      <c r="D65" s="18" t="n">
        <f aca="true" t="array" ref="D65:D65">KURT(OFFSET(Datos!$D$1,1+A65,0,Config!$B$12,1)-OFFSET(Datos!$D$1,1,0,Config!$B$12,1))</f>
        <v>-0.106477667462014</v>
      </c>
    </row>
    <row r="66" customFormat="false" ht="15" hidden="false" customHeight="false" outlineLevel="0" collapsed="false">
      <c r="A66" s="2" t="n">
        <v>62</v>
      </c>
      <c r="B66" s="20" t="n">
        <f aca="false">A66*Config!$B$9</f>
        <v>3.1</v>
      </c>
      <c r="C66" s="18" t="n">
        <f aca="true" t="array" ref="C66:C66">SKEW(OFFSET(Datos!$D$1,1+A66,0,Config!$B$12,1)-OFFSET(Datos!$D$1,1,0,Config!$B$12,1))</f>
        <v>0.172481587659491</v>
      </c>
      <c r="D66" s="18" t="n">
        <f aca="true" t="array" ref="D66:D66">KURT(OFFSET(Datos!$D$1,1+A66,0,Config!$B$12,1)-OFFSET(Datos!$D$1,1,0,Config!$B$12,1))</f>
        <v>-0.124949633003118</v>
      </c>
    </row>
    <row r="67" customFormat="false" ht="15" hidden="false" customHeight="false" outlineLevel="0" collapsed="false">
      <c r="A67" s="2" t="n">
        <v>63</v>
      </c>
      <c r="B67" s="20" t="n">
        <f aca="false">A67*Config!$B$9</f>
        <v>3.15</v>
      </c>
      <c r="C67" s="18" t="n">
        <f aca="true" t="array" ref="C67:C67">SKEW(OFFSET(Datos!$D$1,1+A67,0,Config!$B$12,1)-OFFSET(Datos!$D$1,1,0,Config!$B$12,1))</f>
        <v>0.18029388832701</v>
      </c>
      <c r="D67" s="18" t="n">
        <f aca="true" t="array" ref="D67:D67">KURT(OFFSET(Datos!$D$1,1+A67,0,Config!$B$12,1)-OFFSET(Datos!$D$1,1,0,Config!$B$12,1))</f>
        <v>-0.042546372566695</v>
      </c>
    </row>
    <row r="68" customFormat="false" ht="15" hidden="false" customHeight="false" outlineLevel="0" collapsed="false">
      <c r="A68" s="2" t="n">
        <v>64</v>
      </c>
      <c r="B68" s="20" t="n">
        <f aca="false">A68*Config!$B$9</f>
        <v>3.2</v>
      </c>
      <c r="C68" s="18" t="n">
        <f aca="true" t="array" ref="C68:C68">SKEW(OFFSET(Datos!$D$1,1+A68,0,Config!$B$12,1)-OFFSET(Datos!$D$1,1,0,Config!$B$12,1))</f>
        <v>0.197521420144076</v>
      </c>
      <c r="D68" s="18" t="n">
        <f aca="true" t="array" ref="D68:D68">KURT(OFFSET(Datos!$D$1,1+A68,0,Config!$B$12,1)-OFFSET(Datos!$D$1,1,0,Config!$B$12,1))</f>
        <v>-0.0252623017375053</v>
      </c>
    </row>
    <row r="69" customFormat="false" ht="15" hidden="false" customHeight="false" outlineLevel="0" collapsed="false">
      <c r="A69" s="2" t="n">
        <v>65</v>
      </c>
      <c r="B69" s="20" t="n">
        <f aca="false">A69*Config!$B$9</f>
        <v>3.25</v>
      </c>
      <c r="C69" s="18" t="n">
        <f aca="true" t="array" ref="C69:C69">SKEW(OFFSET(Datos!$D$1,1+A69,0,Config!$B$12,1)-OFFSET(Datos!$D$1,1,0,Config!$B$12,1))</f>
        <v>0.154488162982858</v>
      </c>
      <c r="D69" s="18" t="n">
        <f aca="true" t="array" ref="D69:D69">KURT(OFFSET(Datos!$D$1,1+A69,0,Config!$B$12,1)-OFFSET(Datos!$D$1,1,0,Config!$B$12,1))</f>
        <v>-0.134546228876032</v>
      </c>
    </row>
    <row r="70" customFormat="false" ht="15" hidden="false" customHeight="false" outlineLevel="0" collapsed="false">
      <c r="A70" s="2" t="n">
        <v>66</v>
      </c>
      <c r="B70" s="20" t="n">
        <f aca="false">A70*Config!$B$9</f>
        <v>3.3</v>
      </c>
      <c r="C70" s="18" t="n">
        <f aca="true" t="array" ref="C70:C70">SKEW(OFFSET(Datos!$D$1,1+A70,0,Config!$B$12,1)-OFFSET(Datos!$D$1,1,0,Config!$B$12,1))</f>
        <v>0.18439295147266</v>
      </c>
      <c r="D70" s="18" t="n">
        <f aca="true" t="array" ref="D70:D70">KURT(OFFSET(Datos!$D$1,1+A70,0,Config!$B$12,1)-OFFSET(Datos!$D$1,1,0,Config!$B$12,1))</f>
        <v>-0.248119546383391</v>
      </c>
    </row>
    <row r="71" customFormat="false" ht="15" hidden="false" customHeight="false" outlineLevel="0" collapsed="false">
      <c r="A71" s="2" t="n">
        <v>67</v>
      </c>
      <c r="B71" s="20" t="n">
        <f aca="false">A71*Config!$B$9</f>
        <v>3.35</v>
      </c>
      <c r="C71" s="18" t="n">
        <f aca="true" t="array" ref="C71:C71">SKEW(OFFSET(Datos!$D$1,1+A71,0,Config!$B$12,1)-OFFSET(Datos!$D$1,1,0,Config!$B$12,1))</f>
        <v>0.183963273674446</v>
      </c>
      <c r="D71" s="18" t="n">
        <f aca="true" t="array" ref="D71:D71">KURT(OFFSET(Datos!$D$1,1+A71,0,Config!$B$12,1)-OFFSET(Datos!$D$1,1,0,Config!$B$12,1))</f>
        <v>-0.19751175873057</v>
      </c>
    </row>
    <row r="72" customFormat="false" ht="15" hidden="false" customHeight="false" outlineLevel="0" collapsed="false">
      <c r="A72" s="2" t="n">
        <v>68</v>
      </c>
      <c r="B72" s="20" t="n">
        <f aca="false">A72*Config!$B$9</f>
        <v>3.4</v>
      </c>
      <c r="C72" s="18" t="n">
        <f aca="true" t="array" ref="C72:C72">SKEW(OFFSET(Datos!$D$1,1+A72,0,Config!$B$12,1)-OFFSET(Datos!$D$1,1,0,Config!$B$12,1))</f>
        <v>0.191696406112149</v>
      </c>
      <c r="D72" s="18" t="n">
        <f aca="true" t="array" ref="D72:D72">KURT(OFFSET(Datos!$D$1,1+A72,0,Config!$B$12,1)-OFFSET(Datos!$D$1,1,0,Config!$B$12,1))</f>
        <v>-0.110605465808292</v>
      </c>
    </row>
    <row r="73" customFormat="false" ht="15" hidden="false" customHeight="false" outlineLevel="0" collapsed="false">
      <c r="A73" s="2" t="n">
        <v>69</v>
      </c>
      <c r="B73" s="20" t="n">
        <f aca="false">A73*Config!$B$9</f>
        <v>3.45</v>
      </c>
      <c r="C73" s="18" t="n">
        <f aca="true" t="array" ref="C73:C73">SKEW(OFFSET(Datos!$D$1,1+A73,0,Config!$B$12,1)-OFFSET(Datos!$D$1,1,0,Config!$B$12,1))</f>
        <v>0.178117740186891</v>
      </c>
      <c r="D73" s="18" t="n">
        <f aca="true" t="array" ref="D73:D73">KURT(OFFSET(Datos!$D$1,1+A73,0,Config!$B$12,1)-OFFSET(Datos!$D$1,1,0,Config!$B$12,1))</f>
        <v>-0.194649091661721</v>
      </c>
    </row>
    <row r="74" customFormat="false" ht="15" hidden="false" customHeight="false" outlineLevel="0" collapsed="false">
      <c r="A74" s="2" t="n">
        <v>70</v>
      </c>
      <c r="B74" s="20" t="n">
        <f aca="false">A74*Config!$B$9</f>
        <v>3.5</v>
      </c>
      <c r="C74" s="18" t="n">
        <f aca="true" t="array" ref="C74:C74">SKEW(OFFSET(Datos!$D$1,1+A74,0,Config!$B$12,1)-OFFSET(Datos!$D$1,1,0,Config!$B$12,1))</f>
        <v>0.14551129717072</v>
      </c>
      <c r="D74" s="18" t="n">
        <f aca="true" t="array" ref="D74:D74">KURT(OFFSET(Datos!$D$1,1+A74,0,Config!$B$12,1)-OFFSET(Datos!$D$1,1,0,Config!$B$12,1))</f>
        <v>-0.214650343945766</v>
      </c>
    </row>
    <row r="75" customFormat="false" ht="15" hidden="false" customHeight="false" outlineLevel="0" collapsed="false">
      <c r="A75" s="2" t="n">
        <v>71</v>
      </c>
      <c r="B75" s="20" t="n">
        <f aca="false">A75*Config!$B$9</f>
        <v>3.55</v>
      </c>
      <c r="C75" s="18" t="n">
        <f aca="true" t="array" ref="C75:C75">SKEW(OFFSET(Datos!$D$1,1+A75,0,Config!$B$12,1)-OFFSET(Datos!$D$1,1,0,Config!$B$12,1))</f>
        <v>0.207658581578419</v>
      </c>
      <c r="D75" s="18" t="n">
        <f aca="true" t="array" ref="D75:D75">KURT(OFFSET(Datos!$D$1,1+A75,0,Config!$B$12,1)-OFFSET(Datos!$D$1,1,0,Config!$B$12,1))</f>
        <v>-0.135672528006771</v>
      </c>
    </row>
    <row r="76" customFormat="false" ht="15" hidden="false" customHeight="false" outlineLevel="0" collapsed="false">
      <c r="A76" s="2" t="n">
        <v>72</v>
      </c>
      <c r="B76" s="20" t="n">
        <f aca="false">A76*Config!$B$9</f>
        <v>3.6</v>
      </c>
      <c r="C76" s="18" t="n">
        <f aca="true" t="array" ref="C76:C76">SKEW(OFFSET(Datos!$D$1,1+A76,0,Config!$B$12,1)-OFFSET(Datos!$D$1,1,0,Config!$B$12,1))</f>
        <v>0.215465851244584</v>
      </c>
      <c r="D76" s="18" t="n">
        <f aca="true" t="array" ref="D76:D76">KURT(OFFSET(Datos!$D$1,1+A76,0,Config!$B$12,1)-OFFSET(Datos!$D$1,1,0,Config!$B$12,1))</f>
        <v>-0.149736323609489</v>
      </c>
    </row>
    <row r="77" customFormat="false" ht="15" hidden="false" customHeight="false" outlineLevel="0" collapsed="false">
      <c r="A77" s="2" t="n">
        <v>73</v>
      </c>
      <c r="B77" s="20" t="n">
        <f aca="false">A77*Config!$B$9</f>
        <v>3.65</v>
      </c>
      <c r="C77" s="18" t="n">
        <f aca="true" t="array" ref="C77:C77">SKEW(OFFSET(Datos!$D$1,1+A77,0,Config!$B$12,1)-OFFSET(Datos!$D$1,1,0,Config!$B$12,1))</f>
        <v>0.213909718300987</v>
      </c>
      <c r="D77" s="18" t="n">
        <f aca="true" t="array" ref="D77:D77">KURT(OFFSET(Datos!$D$1,1+A77,0,Config!$B$12,1)-OFFSET(Datos!$D$1,1,0,Config!$B$12,1))</f>
        <v>-0.113796424149518</v>
      </c>
    </row>
    <row r="78" customFormat="false" ht="15" hidden="false" customHeight="false" outlineLevel="0" collapsed="false">
      <c r="A78" s="2" t="n">
        <v>74</v>
      </c>
      <c r="B78" s="20" t="n">
        <f aca="false">A78*Config!$B$9</f>
        <v>3.7</v>
      </c>
      <c r="C78" s="18" t="n">
        <f aca="true" t="array" ref="C78:C78">SKEW(OFFSET(Datos!$D$1,1+A78,0,Config!$B$12,1)-OFFSET(Datos!$D$1,1,0,Config!$B$12,1))</f>
        <v>0.130787654722019</v>
      </c>
      <c r="D78" s="18" t="n">
        <f aca="true" t="array" ref="D78:D78">KURT(OFFSET(Datos!$D$1,1+A78,0,Config!$B$12,1)-OFFSET(Datos!$D$1,1,0,Config!$B$12,1))</f>
        <v>-0.205062340339255</v>
      </c>
    </row>
    <row r="79" customFormat="false" ht="15" hidden="false" customHeight="false" outlineLevel="0" collapsed="false">
      <c r="A79" s="2" t="n">
        <v>75</v>
      </c>
      <c r="B79" s="20" t="n">
        <f aca="false">A79*Config!$B$9</f>
        <v>3.75</v>
      </c>
      <c r="C79" s="18" t="n">
        <f aca="true" t="array" ref="C79:C79">SKEW(OFFSET(Datos!$D$1,1+A79,0,Config!$B$12,1)-OFFSET(Datos!$D$1,1,0,Config!$B$12,1))</f>
        <v>0.163928306954118</v>
      </c>
      <c r="D79" s="18" t="n">
        <f aca="true" t="array" ref="D79:D79">KURT(OFFSET(Datos!$D$1,1+A79,0,Config!$B$12,1)-OFFSET(Datos!$D$1,1,0,Config!$B$12,1))</f>
        <v>-0.170239352884953</v>
      </c>
    </row>
    <row r="80" customFormat="false" ht="15" hidden="false" customHeight="false" outlineLevel="0" collapsed="false">
      <c r="A80" s="2" t="n">
        <v>76</v>
      </c>
      <c r="B80" s="20" t="n">
        <f aca="false">A80*Config!$B$9</f>
        <v>3.8</v>
      </c>
      <c r="C80" s="18" t="n">
        <f aca="true" t="array" ref="C80:C80">SKEW(OFFSET(Datos!$D$1,1+A80,0,Config!$B$12,1)-OFFSET(Datos!$D$1,1,0,Config!$B$12,1))</f>
        <v>0.17664911859589</v>
      </c>
      <c r="D80" s="18" t="n">
        <f aca="true" t="array" ref="D80:D80">KURT(OFFSET(Datos!$D$1,1+A80,0,Config!$B$12,1)-OFFSET(Datos!$D$1,1,0,Config!$B$12,1))</f>
        <v>-0.27125464067757</v>
      </c>
    </row>
    <row r="81" customFormat="false" ht="15" hidden="false" customHeight="false" outlineLevel="0" collapsed="false">
      <c r="A81" s="2" t="n">
        <v>77</v>
      </c>
      <c r="B81" s="20" t="n">
        <f aca="false">A81*Config!$B$9</f>
        <v>3.85</v>
      </c>
      <c r="C81" s="18" t="n">
        <f aca="true" t="array" ref="C81:C81">SKEW(OFFSET(Datos!$D$1,1+A81,0,Config!$B$12,1)-OFFSET(Datos!$D$1,1,0,Config!$B$12,1))</f>
        <v>0.16582522344624</v>
      </c>
      <c r="D81" s="18" t="n">
        <f aca="true" t="array" ref="D81:D81">KURT(OFFSET(Datos!$D$1,1+A81,0,Config!$B$12,1)-OFFSET(Datos!$D$1,1,0,Config!$B$12,1))</f>
        <v>-0.209875315477099</v>
      </c>
    </row>
    <row r="82" customFormat="false" ht="15" hidden="false" customHeight="false" outlineLevel="0" collapsed="false">
      <c r="A82" s="2" t="n">
        <v>78</v>
      </c>
      <c r="B82" s="20" t="n">
        <f aca="false">A82*Config!$B$9</f>
        <v>3.9</v>
      </c>
      <c r="C82" s="18" t="n">
        <f aca="true" t="array" ref="C82:C82">SKEW(OFFSET(Datos!$D$1,1+A82,0,Config!$B$12,1)-OFFSET(Datos!$D$1,1,0,Config!$B$12,1))</f>
        <v>0.223425602335464</v>
      </c>
      <c r="D82" s="18" t="n">
        <f aca="true" t="array" ref="D82:D82">KURT(OFFSET(Datos!$D$1,1+A82,0,Config!$B$12,1)-OFFSET(Datos!$D$1,1,0,Config!$B$12,1))</f>
        <v>-0.189208073346736</v>
      </c>
    </row>
    <row r="83" customFormat="false" ht="15" hidden="false" customHeight="false" outlineLevel="0" collapsed="false">
      <c r="A83" s="2" t="n">
        <v>79</v>
      </c>
      <c r="B83" s="20" t="n">
        <f aca="false">A83*Config!$B$9</f>
        <v>3.95</v>
      </c>
      <c r="C83" s="18" t="n">
        <f aca="true" t="array" ref="C83:C83">SKEW(OFFSET(Datos!$D$1,1+A83,0,Config!$B$12,1)-OFFSET(Datos!$D$1,1,0,Config!$B$12,1))</f>
        <v>0.132305431764729</v>
      </c>
      <c r="D83" s="18" t="n">
        <f aca="true" t="array" ref="D83:D83">KURT(OFFSET(Datos!$D$1,1+A83,0,Config!$B$12,1)-OFFSET(Datos!$D$1,1,0,Config!$B$12,1))</f>
        <v>-0.236708367123549</v>
      </c>
    </row>
    <row r="84" customFormat="false" ht="15" hidden="false" customHeight="false" outlineLevel="0" collapsed="false">
      <c r="A84" s="2" t="n">
        <v>80</v>
      </c>
      <c r="B84" s="20" t="n">
        <f aca="false">A84*Config!$B$9</f>
        <v>4</v>
      </c>
      <c r="C84" s="18" t="n">
        <f aca="true" t="array" ref="C84:C84">SKEW(OFFSET(Datos!$D$1,1+A84,0,Config!$B$12,1)-OFFSET(Datos!$D$1,1,0,Config!$B$12,1))</f>
        <v>0.148146703357296</v>
      </c>
      <c r="D84" s="18" t="n">
        <f aca="true" t="array" ref="D84:D84">KURT(OFFSET(Datos!$D$1,1+A84,0,Config!$B$12,1)-OFFSET(Datos!$D$1,1,0,Config!$B$12,1))</f>
        <v>-0.148120357868664</v>
      </c>
    </row>
    <row r="85" customFormat="false" ht="15" hidden="false" customHeight="false" outlineLevel="0" collapsed="false">
      <c r="A85" s="2" t="n">
        <v>81</v>
      </c>
      <c r="B85" s="20" t="n">
        <f aca="false">A85*Config!$B$9</f>
        <v>4.05</v>
      </c>
      <c r="C85" s="18" t="n">
        <f aca="true" t="array" ref="C85:C85">SKEW(OFFSET(Datos!$D$1,1+A85,0,Config!$B$12,1)-OFFSET(Datos!$D$1,1,0,Config!$B$12,1))</f>
        <v>0.153389919937485</v>
      </c>
      <c r="D85" s="18" t="n">
        <f aca="true" t="array" ref="D85:D85">KURT(OFFSET(Datos!$D$1,1+A85,0,Config!$B$12,1)-OFFSET(Datos!$D$1,1,0,Config!$B$12,1))</f>
        <v>-0.0774000734019946</v>
      </c>
    </row>
    <row r="86" customFormat="false" ht="15" hidden="false" customHeight="false" outlineLevel="0" collapsed="false">
      <c r="A86" s="2" t="n">
        <v>82</v>
      </c>
      <c r="B86" s="20" t="n">
        <f aca="false">A86*Config!$B$9</f>
        <v>4.1</v>
      </c>
      <c r="C86" s="18" t="n">
        <f aca="true" t="array" ref="C86:C86">SKEW(OFFSET(Datos!$D$1,1+A86,0,Config!$B$12,1)-OFFSET(Datos!$D$1,1,0,Config!$B$12,1))</f>
        <v>0.113260450645565</v>
      </c>
      <c r="D86" s="18" t="n">
        <f aca="true" t="array" ref="D86:D86">KURT(OFFSET(Datos!$D$1,1+A86,0,Config!$B$12,1)-OFFSET(Datos!$D$1,1,0,Config!$B$12,1))</f>
        <v>-0.105269117842126</v>
      </c>
    </row>
    <row r="87" customFormat="false" ht="15" hidden="false" customHeight="false" outlineLevel="0" collapsed="false">
      <c r="A87" s="2" t="n">
        <v>83</v>
      </c>
      <c r="B87" s="20" t="n">
        <f aca="false">A87*Config!$B$9</f>
        <v>4.15</v>
      </c>
      <c r="C87" s="18" t="n">
        <f aca="true" t="array" ref="C87:C87">SKEW(OFFSET(Datos!$D$1,1+A87,0,Config!$B$12,1)-OFFSET(Datos!$D$1,1,0,Config!$B$12,1))</f>
        <v>0.0870627718843412</v>
      </c>
      <c r="D87" s="18" t="n">
        <f aca="true" t="array" ref="D87:D87">KURT(OFFSET(Datos!$D$1,1+A87,0,Config!$B$12,1)-OFFSET(Datos!$D$1,1,0,Config!$B$12,1))</f>
        <v>-0.162718116809395</v>
      </c>
    </row>
    <row r="88" customFormat="false" ht="15" hidden="false" customHeight="false" outlineLevel="0" collapsed="false">
      <c r="A88" s="2" t="n">
        <v>84</v>
      </c>
      <c r="B88" s="20" t="n">
        <f aca="false">A88*Config!$B$9</f>
        <v>4.2</v>
      </c>
      <c r="C88" s="18" t="n">
        <f aca="true" t="array" ref="C88:C88">SKEW(OFFSET(Datos!$D$1,1+A88,0,Config!$B$12,1)-OFFSET(Datos!$D$1,1,0,Config!$B$12,1))</f>
        <v>0.104283897271834</v>
      </c>
      <c r="D88" s="18" t="n">
        <f aca="true" t="array" ref="D88:D88">KURT(OFFSET(Datos!$D$1,1+A88,0,Config!$B$12,1)-OFFSET(Datos!$D$1,1,0,Config!$B$12,1))</f>
        <v>-0.2923584869631</v>
      </c>
    </row>
    <row r="89" customFormat="false" ht="15" hidden="false" customHeight="false" outlineLevel="0" collapsed="false">
      <c r="A89" s="2" t="n">
        <v>85</v>
      </c>
      <c r="B89" s="20" t="n">
        <f aca="false">A89*Config!$B$9</f>
        <v>4.25</v>
      </c>
      <c r="C89" s="18" t="n">
        <f aca="true" t="array" ref="C89:C89">SKEW(OFFSET(Datos!$D$1,1+A89,0,Config!$B$12,1)-OFFSET(Datos!$D$1,1,0,Config!$B$12,1))</f>
        <v>0.122090102685232</v>
      </c>
      <c r="D89" s="18" t="n">
        <f aca="true" t="array" ref="D89:D89">KURT(OFFSET(Datos!$D$1,1+A89,0,Config!$B$12,1)-OFFSET(Datos!$D$1,1,0,Config!$B$12,1))</f>
        <v>-0.160841378817001</v>
      </c>
    </row>
    <row r="90" customFormat="false" ht="15" hidden="false" customHeight="false" outlineLevel="0" collapsed="false">
      <c r="A90" s="2" t="n">
        <v>86</v>
      </c>
      <c r="B90" s="20" t="n">
        <f aca="false">A90*Config!$B$9</f>
        <v>4.3</v>
      </c>
      <c r="C90" s="18" t="n">
        <f aca="true" t="array" ref="C90:C90">SKEW(OFFSET(Datos!$D$1,1+A90,0,Config!$B$12,1)-OFFSET(Datos!$D$1,1,0,Config!$B$12,1))</f>
        <v>0.085241743100864</v>
      </c>
      <c r="D90" s="18" t="n">
        <f aca="true" t="array" ref="D90:D90">KURT(OFFSET(Datos!$D$1,1+A90,0,Config!$B$12,1)-OFFSET(Datos!$D$1,1,0,Config!$B$12,1))</f>
        <v>-0.0430183079618178</v>
      </c>
    </row>
    <row r="91" customFormat="false" ht="15" hidden="false" customHeight="false" outlineLevel="0" collapsed="false">
      <c r="A91" s="2" t="n">
        <v>87</v>
      </c>
      <c r="B91" s="20" t="n">
        <f aca="false">A91*Config!$B$9</f>
        <v>4.35</v>
      </c>
      <c r="C91" s="18" t="n">
        <f aca="true" t="array" ref="C91:C91">SKEW(OFFSET(Datos!$D$1,1+A91,0,Config!$B$12,1)-OFFSET(Datos!$D$1,1,0,Config!$B$12,1))</f>
        <v>0.0680952550812079</v>
      </c>
      <c r="D91" s="18" t="n">
        <f aca="true" t="array" ref="D91:D91">KURT(OFFSET(Datos!$D$1,1+A91,0,Config!$B$12,1)-OFFSET(Datos!$D$1,1,0,Config!$B$12,1))</f>
        <v>-0.184174876453772</v>
      </c>
    </row>
    <row r="92" customFormat="false" ht="15" hidden="false" customHeight="false" outlineLevel="0" collapsed="false">
      <c r="A92" s="2" t="n">
        <v>88</v>
      </c>
      <c r="B92" s="20" t="n">
        <f aca="false">A92*Config!$B$9</f>
        <v>4.4</v>
      </c>
      <c r="C92" s="18" t="n">
        <f aca="true" t="array" ref="C92:C92">SKEW(OFFSET(Datos!$D$1,1+A92,0,Config!$B$12,1)-OFFSET(Datos!$D$1,1,0,Config!$B$12,1))</f>
        <v>0.0583063684663313</v>
      </c>
      <c r="D92" s="18" t="n">
        <f aca="true" t="array" ref="D92:D92">KURT(OFFSET(Datos!$D$1,1+A92,0,Config!$B$12,1)-OFFSET(Datos!$D$1,1,0,Config!$B$12,1))</f>
        <v>-0.247187863092722</v>
      </c>
    </row>
    <row r="93" customFormat="false" ht="15" hidden="false" customHeight="false" outlineLevel="0" collapsed="false">
      <c r="A93" s="2" t="n">
        <v>89</v>
      </c>
      <c r="B93" s="20" t="n">
        <f aca="false">A93*Config!$B$9</f>
        <v>4.45</v>
      </c>
      <c r="C93" s="18" t="n">
        <f aca="true" t="array" ref="C93:C93">SKEW(OFFSET(Datos!$D$1,1+A93,0,Config!$B$12,1)-OFFSET(Datos!$D$1,1,0,Config!$B$12,1))</f>
        <v>0.0852066036587407</v>
      </c>
      <c r="D93" s="18" t="n">
        <f aca="true" t="array" ref="D93:D93">KURT(OFFSET(Datos!$D$1,1+A93,0,Config!$B$12,1)-OFFSET(Datos!$D$1,1,0,Config!$B$12,1))</f>
        <v>-0.166042426342681</v>
      </c>
    </row>
    <row r="94" customFormat="false" ht="15" hidden="false" customHeight="false" outlineLevel="0" collapsed="false">
      <c r="A94" s="2" t="n">
        <v>90</v>
      </c>
      <c r="B94" s="20" t="n">
        <f aca="false">A94*Config!$B$9</f>
        <v>4.5</v>
      </c>
      <c r="C94" s="18" t="n">
        <f aca="true" t="array" ref="C94:C94">SKEW(OFFSET(Datos!$D$1,1+A94,0,Config!$B$12,1)-OFFSET(Datos!$D$1,1,0,Config!$B$12,1))</f>
        <v>0.0566463156836092</v>
      </c>
      <c r="D94" s="18" t="n">
        <f aca="true" t="array" ref="D94:D94">KURT(OFFSET(Datos!$D$1,1+A94,0,Config!$B$12,1)-OFFSET(Datos!$D$1,1,0,Config!$B$12,1))</f>
        <v>-0.143834495553683</v>
      </c>
    </row>
    <row r="95" customFormat="false" ht="15" hidden="false" customHeight="false" outlineLevel="0" collapsed="false">
      <c r="A95" s="2" t="n">
        <v>91</v>
      </c>
      <c r="B95" s="20" t="n">
        <f aca="false">A95*Config!$B$9</f>
        <v>4.55</v>
      </c>
      <c r="C95" s="18" t="n">
        <f aca="true" t="array" ref="C95:C95">SKEW(OFFSET(Datos!$D$1,1+A95,0,Config!$B$12,1)-OFFSET(Datos!$D$1,1,0,Config!$B$12,1))</f>
        <v>0.0416598576614533</v>
      </c>
      <c r="D95" s="18" t="n">
        <f aca="true" t="array" ref="D95:D95">KURT(OFFSET(Datos!$D$1,1+A95,0,Config!$B$12,1)-OFFSET(Datos!$D$1,1,0,Config!$B$12,1))</f>
        <v>-0.121613170888011</v>
      </c>
    </row>
    <row r="96" customFormat="false" ht="15" hidden="false" customHeight="false" outlineLevel="0" collapsed="false">
      <c r="A96" s="2" t="n">
        <v>92</v>
      </c>
      <c r="B96" s="20" t="n">
        <f aca="false">A96*Config!$B$9</f>
        <v>4.6</v>
      </c>
      <c r="C96" s="18" t="n">
        <f aca="true" t="array" ref="C96:C96">SKEW(OFFSET(Datos!$D$1,1+A96,0,Config!$B$12,1)-OFFSET(Datos!$D$1,1,0,Config!$B$12,1))</f>
        <v>0.0705753549089297</v>
      </c>
      <c r="D96" s="18" t="n">
        <f aca="true" t="array" ref="D96:D96">KURT(OFFSET(Datos!$D$1,1+A96,0,Config!$B$12,1)-OFFSET(Datos!$D$1,1,0,Config!$B$12,1))</f>
        <v>-0.147778635845467</v>
      </c>
    </row>
    <row r="97" customFormat="false" ht="15" hidden="false" customHeight="false" outlineLevel="0" collapsed="false">
      <c r="A97" s="2" t="n">
        <v>93</v>
      </c>
      <c r="B97" s="20" t="n">
        <f aca="false">A97*Config!$B$9</f>
        <v>4.65</v>
      </c>
      <c r="C97" s="18" t="n">
        <f aca="true" t="array" ref="C97:C97">SKEW(OFFSET(Datos!$D$1,1+A97,0,Config!$B$12,1)-OFFSET(Datos!$D$1,1,0,Config!$B$12,1))</f>
        <v>0.0652139446185529</v>
      </c>
      <c r="D97" s="18" t="n">
        <f aca="true" t="array" ref="D97:D97">KURT(OFFSET(Datos!$D$1,1+A97,0,Config!$B$12,1)-OFFSET(Datos!$D$1,1,0,Config!$B$12,1))</f>
        <v>-0.086795808038171</v>
      </c>
    </row>
    <row r="98" customFormat="false" ht="15" hidden="false" customHeight="false" outlineLevel="0" collapsed="false">
      <c r="A98" s="2" t="n">
        <v>94</v>
      </c>
      <c r="B98" s="20" t="n">
        <f aca="false">A98*Config!$B$9</f>
        <v>4.7</v>
      </c>
      <c r="C98" s="18" t="n">
        <f aca="true" t="array" ref="C98:C98">SKEW(OFFSET(Datos!$D$1,1+A98,0,Config!$B$12,1)-OFFSET(Datos!$D$1,1,0,Config!$B$12,1))</f>
        <v>0.0893982745748761</v>
      </c>
      <c r="D98" s="18" t="n">
        <f aca="true" t="array" ref="D98:D98">KURT(OFFSET(Datos!$D$1,1+A98,0,Config!$B$12,1)-OFFSET(Datos!$D$1,1,0,Config!$B$12,1))</f>
        <v>-0.0736320902881684</v>
      </c>
    </row>
    <row r="99" customFormat="false" ht="15" hidden="false" customHeight="false" outlineLevel="0" collapsed="false">
      <c r="A99" s="2" t="n">
        <v>95</v>
      </c>
      <c r="B99" s="20" t="n">
        <f aca="false">A99*Config!$B$9</f>
        <v>4.75</v>
      </c>
      <c r="C99" s="18" t="n">
        <f aca="true" t="array" ref="C99:C99">SKEW(OFFSET(Datos!$D$1,1+A99,0,Config!$B$12,1)-OFFSET(Datos!$D$1,1,0,Config!$B$12,1))</f>
        <v>0.0186367104685477</v>
      </c>
      <c r="D99" s="18" t="n">
        <f aca="true" t="array" ref="D99:D99">KURT(OFFSET(Datos!$D$1,1+A99,0,Config!$B$12,1)-OFFSET(Datos!$D$1,1,0,Config!$B$12,1))</f>
        <v>-0.0968340016129803</v>
      </c>
    </row>
    <row r="100" customFormat="false" ht="15" hidden="false" customHeight="false" outlineLevel="0" collapsed="false">
      <c r="A100" s="2" t="n">
        <v>96</v>
      </c>
      <c r="B100" s="20" t="n">
        <f aca="false">A100*Config!$B$9</f>
        <v>4.8</v>
      </c>
      <c r="C100" s="18" t="n">
        <f aca="true" t="array" ref="C100:C100">SKEW(OFFSET(Datos!$D$1,1+A100,0,Config!$B$12,1)-OFFSET(Datos!$D$1,1,0,Config!$B$12,1))</f>
        <v>0.0371889710829002</v>
      </c>
      <c r="D100" s="18" t="n">
        <f aca="true" t="array" ref="D100:D100">KURT(OFFSET(Datos!$D$1,1+A100,0,Config!$B$12,1)-OFFSET(Datos!$D$1,1,0,Config!$B$12,1))</f>
        <v>-0.0987503845627091</v>
      </c>
    </row>
    <row r="101" customFormat="false" ht="15" hidden="false" customHeight="false" outlineLevel="0" collapsed="false">
      <c r="A101" s="2" t="n">
        <v>97</v>
      </c>
      <c r="B101" s="20" t="n">
        <f aca="false">A101*Config!$B$9</f>
        <v>4.85</v>
      </c>
      <c r="C101" s="18" t="n">
        <f aca="true" t="array" ref="C101:C101">SKEW(OFFSET(Datos!$D$1,1+A101,0,Config!$B$12,1)-OFFSET(Datos!$D$1,1,0,Config!$B$12,1))</f>
        <v>0.030766069368896</v>
      </c>
      <c r="D101" s="18" t="n">
        <f aca="true" t="array" ref="D101:D101">KURT(OFFSET(Datos!$D$1,1+A101,0,Config!$B$12,1)-OFFSET(Datos!$D$1,1,0,Config!$B$12,1))</f>
        <v>-0.130860297583947</v>
      </c>
    </row>
    <row r="102" customFormat="false" ht="15" hidden="false" customHeight="false" outlineLevel="0" collapsed="false">
      <c r="A102" s="2" t="n">
        <v>98</v>
      </c>
      <c r="B102" s="20" t="n">
        <f aca="false">A102*Config!$B$9</f>
        <v>4.9</v>
      </c>
      <c r="C102" s="18" t="n">
        <f aca="true" t="array" ref="C102:C102">SKEW(OFFSET(Datos!$D$1,1+A102,0,Config!$B$12,1)-OFFSET(Datos!$D$1,1,0,Config!$B$12,1))</f>
        <v>0.074535607676976</v>
      </c>
      <c r="D102" s="18" t="n">
        <f aca="true" t="array" ref="D102:D102">KURT(OFFSET(Datos!$D$1,1+A102,0,Config!$B$12,1)-OFFSET(Datos!$D$1,1,0,Config!$B$12,1))</f>
        <v>-0.0837936347444761</v>
      </c>
    </row>
    <row r="103" customFormat="false" ht="15" hidden="false" customHeight="false" outlineLevel="0" collapsed="false">
      <c r="A103" s="2" t="n">
        <v>99</v>
      </c>
      <c r="B103" s="20" t="n">
        <f aca="false">A103*Config!$B$9</f>
        <v>4.95</v>
      </c>
      <c r="C103" s="18" t="n">
        <f aca="true" t="array" ref="C103:C103">SKEW(OFFSET(Datos!$D$1,1+A103,0,Config!$B$12,1)-OFFSET(Datos!$D$1,1,0,Config!$B$12,1))</f>
        <v>0.0489983345471785</v>
      </c>
      <c r="D103" s="18" t="n">
        <f aca="true" t="array" ref="D103:D103">KURT(OFFSET(Datos!$D$1,1+A103,0,Config!$B$12,1)-OFFSET(Datos!$D$1,1,0,Config!$B$12,1))</f>
        <v>-0.12899340657909</v>
      </c>
    </row>
    <row r="104" customFormat="false" ht="15" hidden="false" customHeight="false" outlineLevel="0" collapsed="false">
      <c r="A104" s="2" t="n">
        <v>100</v>
      </c>
      <c r="B104" s="20" t="n">
        <f aca="false">A104*Config!$B$9</f>
        <v>5</v>
      </c>
      <c r="C104" s="18" t="n">
        <f aca="true" t="array" ref="C104:C104">SKEW(OFFSET(Datos!$D$1,1+A104,0,Config!$B$12,1)-OFFSET(Datos!$D$1,1,0,Config!$B$12,1))</f>
        <v>0.0215653220929295</v>
      </c>
      <c r="D104" s="18" t="n">
        <f aca="true" t="array" ref="D104:D104">KURT(OFFSET(Datos!$D$1,1+A104,0,Config!$B$12,1)-OFFSET(Datos!$D$1,1,0,Config!$B$12,1))</f>
        <v>-0.131464888852096</v>
      </c>
    </row>
    <row r="105" customFormat="false" ht="15" hidden="false" customHeight="false" outlineLevel="0" collapsed="false">
      <c r="A105" s="2" t="n">
        <v>101</v>
      </c>
      <c r="B105" s="20" t="n">
        <f aca="false">A105*Config!$B$9</f>
        <v>5.05</v>
      </c>
      <c r="C105" s="18" t="n">
        <f aca="true" t="array" ref="C105:C105">SKEW(OFFSET(Datos!$D$1,1+A105,0,Config!$B$12,1)-OFFSET(Datos!$D$1,1,0,Config!$B$12,1))</f>
        <v>0.0569642964210303</v>
      </c>
      <c r="D105" s="18" t="n">
        <f aca="true" t="array" ref="D105:D105">KURT(OFFSET(Datos!$D$1,1+A105,0,Config!$B$12,1)-OFFSET(Datos!$D$1,1,0,Config!$B$12,1))</f>
        <v>-0.186331896276728</v>
      </c>
    </row>
    <row r="106" customFormat="false" ht="15" hidden="false" customHeight="false" outlineLevel="0" collapsed="false">
      <c r="A106" s="2" t="n">
        <v>102</v>
      </c>
      <c r="B106" s="20" t="n">
        <f aca="false">A106*Config!$B$9</f>
        <v>5.1</v>
      </c>
      <c r="C106" s="18" t="n">
        <f aca="true" t="array" ref="C106:C106">SKEW(OFFSET(Datos!$D$1,1+A106,0,Config!$B$12,1)-OFFSET(Datos!$D$1,1,0,Config!$B$12,1))</f>
        <v>0.0274784306402909</v>
      </c>
      <c r="D106" s="18" t="n">
        <f aca="true" t="array" ref="D106:D106">KURT(OFFSET(Datos!$D$1,1+A106,0,Config!$B$12,1)-OFFSET(Datos!$D$1,1,0,Config!$B$12,1))</f>
        <v>-0.0734009846780572</v>
      </c>
    </row>
    <row r="107" customFormat="false" ht="15" hidden="false" customHeight="false" outlineLevel="0" collapsed="false">
      <c r="A107" s="2" t="n">
        <v>103</v>
      </c>
      <c r="B107" s="20" t="n">
        <f aca="false">A107*Config!$B$9</f>
        <v>5.15</v>
      </c>
      <c r="C107" s="18" t="n">
        <f aca="true" t="array" ref="C107:C107">SKEW(OFFSET(Datos!$D$1,1+A107,0,Config!$B$12,1)-OFFSET(Datos!$D$1,1,0,Config!$B$12,1))</f>
        <v>0.0383806711402994</v>
      </c>
      <c r="D107" s="18" t="n">
        <f aca="true" t="array" ref="D107:D107">KURT(OFFSET(Datos!$D$1,1+A107,0,Config!$B$12,1)-OFFSET(Datos!$D$1,1,0,Config!$B$12,1))</f>
        <v>-0.12018631121606</v>
      </c>
    </row>
    <row r="108" customFormat="false" ht="15" hidden="false" customHeight="false" outlineLevel="0" collapsed="false">
      <c r="A108" s="2" t="n">
        <v>104</v>
      </c>
      <c r="B108" s="20" t="n">
        <f aca="false">A108*Config!$B$9</f>
        <v>5.2</v>
      </c>
      <c r="C108" s="18" t="n">
        <f aca="true" t="array" ref="C108:C108">SKEW(OFFSET(Datos!$D$1,1+A108,0,Config!$B$12,1)-OFFSET(Datos!$D$1,1,0,Config!$B$12,1))</f>
        <v>0.0241272860502335</v>
      </c>
      <c r="D108" s="18" t="n">
        <f aca="true" t="array" ref="D108:D108">KURT(OFFSET(Datos!$D$1,1+A108,0,Config!$B$12,1)-OFFSET(Datos!$D$1,1,0,Config!$B$12,1))</f>
        <v>-0.210050994470385</v>
      </c>
    </row>
    <row r="109" customFormat="false" ht="15" hidden="false" customHeight="false" outlineLevel="0" collapsed="false">
      <c r="A109" s="2" t="n">
        <v>105</v>
      </c>
      <c r="B109" s="20" t="n">
        <f aca="false">A109*Config!$B$9</f>
        <v>5.25</v>
      </c>
      <c r="C109" s="18" t="n">
        <f aca="true" t="array" ref="C109:C109">SKEW(OFFSET(Datos!$D$1,1+A109,0,Config!$B$12,1)-OFFSET(Datos!$D$1,1,0,Config!$B$12,1))</f>
        <v>0.0833287930250272</v>
      </c>
      <c r="D109" s="18" t="n">
        <f aca="true" t="array" ref="D109:D109">KURT(OFFSET(Datos!$D$1,1+A109,0,Config!$B$12,1)-OFFSET(Datos!$D$1,1,0,Config!$B$12,1))</f>
        <v>-0.196303079550805</v>
      </c>
    </row>
    <row r="110" customFormat="false" ht="15" hidden="false" customHeight="false" outlineLevel="0" collapsed="false">
      <c r="A110" s="2" t="n">
        <v>106</v>
      </c>
      <c r="B110" s="20" t="n">
        <f aca="false">A110*Config!$B$9</f>
        <v>5.3</v>
      </c>
      <c r="C110" s="18" t="n">
        <f aca="true" t="array" ref="C110:C110">SKEW(OFFSET(Datos!$D$1,1+A110,0,Config!$B$12,1)-OFFSET(Datos!$D$1,1,0,Config!$B$12,1))</f>
        <v>0.0790910699514479</v>
      </c>
      <c r="D110" s="18" t="n">
        <f aca="true" t="array" ref="D110:D110">KURT(OFFSET(Datos!$D$1,1+A110,0,Config!$B$12,1)-OFFSET(Datos!$D$1,1,0,Config!$B$12,1))</f>
        <v>-0.200251071118748</v>
      </c>
    </row>
    <row r="111" customFormat="false" ht="15" hidden="false" customHeight="false" outlineLevel="0" collapsed="false">
      <c r="A111" s="2" t="n">
        <v>107</v>
      </c>
      <c r="B111" s="20" t="n">
        <f aca="false">A111*Config!$B$9</f>
        <v>5.35</v>
      </c>
      <c r="C111" s="18" t="n">
        <f aca="true" t="array" ref="C111:C111">SKEW(OFFSET(Datos!$D$1,1+A111,0,Config!$B$12,1)-OFFSET(Datos!$D$1,1,0,Config!$B$12,1))</f>
        <v>0.0594379644450284</v>
      </c>
      <c r="D111" s="18" t="n">
        <f aca="true" t="array" ref="D111:D111">KURT(OFFSET(Datos!$D$1,1+A111,0,Config!$B$12,1)-OFFSET(Datos!$D$1,1,0,Config!$B$12,1))</f>
        <v>-0.0380527835099498</v>
      </c>
    </row>
    <row r="112" customFormat="false" ht="15" hidden="false" customHeight="false" outlineLevel="0" collapsed="false">
      <c r="A112" s="2" t="n">
        <v>108</v>
      </c>
      <c r="B112" s="20" t="n">
        <f aca="false">A112*Config!$B$9</f>
        <v>5.4</v>
      </c>
      <c r="C112" s="18" t="n">
        <f aca="true" t="array" ref="C112:C112">SKEW(OFFSET(Datos!$D$1,1+A112,0,Config!$B$12,1)-OFFSET(Datos!$D$1,1,0,Config!$B$12,1))</f>
        <v>0.0466813033097644</v>
      </c>
      <c r="D112" s="18" t="n">
        <f aca="true" t="array" ref="D112:D112">KURT(OFFSET(Datos!$D$1,1+A112,0,Config!$B$12,1)-OFFSET(Datos!$D$1,1,0,Config!$B$12,1))</f>
        <v>-0.0948637736511468</v>
      </c>
    </row>
    <row r="113" customFormat="false" ht="15" hidden="false" customHeight="false" outlineLevel="0" collapsed="false">
      <c r="A113" s="2" t="n">
        <v>109</v>
      </c>
      <c r="B113" s="20" t="n">
        <f aca="false">A113*Config!$B$9</f>
        <v>5.45</v>
      </c>
      <c r="C113" s="18" t="n">
        <f aca="true" t="array" ref="C113:C113">SKEW(OFFSET(Datos!$D$1,1+A113,0,Config!$B$12,1)-OFFSET(Datos!$D$1,1,0,Config!$B$12,1))</f>
        <v>0.0173284074122874</v>
      </c>
      <c r="D113" s="18" t="n">
        <f aca="true" t="array" ref="D113:D113">KURT(OFFSET(Datos!$D$1,1+A113,0,Config!$B$12,1)-OFFSET(Datos!$D$1,1,0,Config!$B$12,1))</f>
        <v>-0.102101735717837</v>
      </c>
    </row>
    <row r="114" customFormat="false" ht="15" hidden="false" customHeight="false" outlineLevel="0" collapsed="false">
      <c r="A114" s="2" t="n">
        <v>110</v>
      </c>
      <c r="B114" s="20" t="n">
        <f aca="false">A114*Config!$B$9</f>
        <v>5.5</v>
      </c>
      <c r="C114" s="18" t="n">
        <f aca="true" t="array" ref="C114:C114">SKEW(OFFSET(Datos!$D$1,1+A114,0,Config!$B$12,1)-OFFSET(Datos!$D$1,1,0,Config!$B$12,1))</f>
        <v>0.068924974392452</v>
      </c>
      <c r="D114" s="18" t="n">
        <f aca="true" t="array" ref="D114:D114">KURT(OFFSET(Datos!$D$1,1+A114,0,Config!$B$12,1)-OFFSET(Datos!$D$1,1,0,Config!$B$12,1))</f>
        <v>-0.133159066719669</v>
      </c>
    </row>
    <row r="115" customFormat="false" ht="15" hidden="false" customHeight="false" outlineLevel="0" collapsed="false">
      <c r="A115" s="2" t="n">
        <v>111</v>
      </c>
      <c r="B115" s="20" t="n">
        <f aca="false">A115*Config!$B$9</f>
        <v>5.55</v>
      </c>
      <c r="C115" s="18" t="n">
        <f aca="true" t="array" ref="C115:C115">SKEW(OFFSET(Datos!$D$1,1+A115,0,Config!$B$12,1)-OFFSET(Datos!$D$1,1,0,Config!$B$12,1))</f>
        <v>0.0147828608233284</v>
      </c>
      <c r="D115" s="18" t="n">
        <f aca="true" t="array" ref="D115:D115">KURT(OFFSET(Datos!$D$1,1+A115,0,Config!$B$12,1)-OFFSET(Datos!$D$1,1,0,Config!$B$12,1))</f>
        <v>-0.0924034618094343</v>
      </c>
    </row>
    <row r="116" customFormat="false" ht="15" hidden="false" customHeight="false" outlineLevel="0" collapsed="false">
      <c r="A116" s="2" t="n">
        <v>112</v>
      </c>
      <c r="B116" s="20" t="n">
        <f aca="false">A116*Config!$B$9</f>
        <v>5.6</v>
      </c>
      <c r="C116" s="18" t="n">
        <f aca="true" t="array" ref="C116:C116">SKEW(OFFSET(Datos!$D$1,1+A116,0,Config!$B$12,1)-OFFSET(Datos!$D$1,1,0,Config!$B$12,1))</f>
        <v>0.000248177916748951</v>
      </c>
      <c r="D116" s="18" t="n">
        <f aca="true" t="array" ref="D116:D116">KURT(OFFSET(Datos!$D$1,1+A116,0,Config!$B$12,1)-OFFSET(Datos!$D$1,1,0,Config!$B$12,1))</f>
        <v>0.0216877624393486</v>
      </c>
    </row>
    <row r="117" customFormat="false" ht="15" hidden="false" customHeight="false" outlineLevel="0" collapsed="false">
      <c r="A117" s="2" t="n">
        <v>113</v>
      </c>
      <c r="B117" s="20" t="n">
        <f aca="false">A117*Config!$B$9</f>
        <v>5.65</v>
      </c>
      <c r="C117" s="18" t="n">
        <f aca="true" t="array" ref="C117:C117">SKEW(OFFSET(Datos!$D$1,1+A117,0,Config!$B$12,1)-OFFSET(Datos!$D$1,1,0,Config!$B$12,1))</f>
        <v>0.026744445778054</v>
      </c>
      <c r="D117" s="18" t="n">
        <f aca="true" t="array" ref="D117:D117">KURT(OFFSET(Datos!$D$1,1+A117,0,Config!$B$12,1)-OFFSET(Datos!$D$1,1,0,Config!$B$12,1))</f>
        <v>-0.0476550718209419</v>
      </c>
    </row>
    <row r="118" customFormat="false" ht="15" hidden="false" customHeight="false" outlineLevel="0" collapsed="false">
      <c r="A118" s="2" t="n">
        <v>114</v>
      </c>
      <c r="B118" s="20" t="n">
        <f aca="false">A118*Config!$B$9</f>
        <v>5.7</v>
      </c>
      <c r="C118" s="18" t="n">
        <f aca="true" t="array" ref="C118:C118">SKEW(OFFSET(Datos!$D$1,1+A118,0,Config!$B$12,1)-OFFSET(Datos!$D$1,1,0,Config!$B$12,1))</f>
        <v>0.0261226412776025</v>
      </c>
      <c r="D118" s="18" t="n">
        <f aca="true" t="array" ref="D118:D118">KURT(OFFSET(Datos!$D$1,1+A118,0,Config!$B$12,1)-OFFSET(Datos!$D$1,1,0,Config!$B$12,1))</f>
        <v>-0.0324597451977065</v>
      </c>
    </row>
    <row r="119" customFormat="false" ht="15" hidden="false" customHeight="false" outlineLevel="0" collapsed="false">
      <c r="A119" s="2" t="n">
        <v>115</v>
      </c>
      <c r="B119" s="20" t="n">
        <f aca="false">A119*Config!$B$9</f>
        <v>5.75</v>
      </c>
      <c r="C119" s="18" t="n">
        <f aca="true" t="array" ref="C119:C119">SKEW(OFFSET(Datos!$D$1,1+A119,0,Config!$B$12,1)-OFFSET(Datos!$D$1,1,0,Config!$B$12,1))</f>
        <v>0.0286144961475005</v>
      </c>
      <c r="D119" s="18" t="n">
        <f aca="true" t="array" ref="D119:D119">KURT(OFFSET(Datos!$D$1,1+A119,0,Config!$B$12,1)-OFFSET(Datos!$D$1,1,0,Config!$B$12,1))</f>
        <v>-0.0536130258842329</v>
      </c>
    </row>
    <row r="120" customFormat="false" ht="15" hidden="false" customHeight="false" outlineLevel="0" collapsed="false">
      <c r="A120" s="2" t="n">
        <v>116</v>
      </c>
      <c r="B120" s="20" t="n">
        <f aca="false">A120*Config!$B$9</f>
        <v>5.8</v>
      </c>
      <c r="C120" s="18" t="n">
        <f aca="true" t="array" ref="C120:C120">SKEW(OFFSET(Datos!$D$1,1+A120,0,Config!$B$12,1)-OFFSET(Datos!$D$1,1,0,Config!$B$12,1))</f>
        <v>0.0226452863357902</v>
      </c>
      <c r="D120" s="18" t="n">
        <f aca="true" t="array" ref="D120:D120">KURT(OFFSET(Datos!$D$1,1+A120,0,Config!$B$12,1)-OFFSET(Datos!$D$1,1,0,Config!$B$12,1))</f>
        <v>-0.0451822743080301</v>
      </c>
    </row>
    <row r="121" customFormat="false" ht="15" hidden="false" customHeight="false" outlineLevel="0" collapsed="false">
      <c r="A121" s="2" t="n">
        <v>117</v>
      </c>
      <c r="B121" s="20" t="n">
        <f aca="false">A121*Config!$B$9</f>
        <v>5.85</v>
      </c>
      <c r="C121" s="18" t="n">
        <f aca="true" t="array" ref="C121:C121">SKEW(OFFSET(Datos!$D$1,1+A121,0,Config!$B$12,1)-OFFSET(Datos!$D$1,1,0,Config!$B$12,1))</f>
        <v>0.0306525888185429</v>
      </c>
      <c r="D121" s="18" t="n">
        <f aca="true" t="array" ref="D121:D121">KURT(OFFSET(Datos!$D$1,1+A121,0,Config!$B$12,1)-OFFSET(Datos!$D$1,1,0,Config!$B$12,1))</f>
        <v>0.000619231415008414</v>
      </c>
    </row>
    <row r="122" customFormat="false" ht="15" hidden="false" customHeight="false" outlineLevel="0" collapsed="false">
      <c r="A122" s="2" t="n">
        <v>118</v>
      </c>
      <c r="B122" s="20" t="n">
        <f aca="false">A122*Config!$B$9</f>
        <v>5.9</v>
      </c>
      <c r="C122" s="18" t="n">
        <f aca="true" t="array" ref="C122:C122">SKEW(OFFSET(Datos!$D$1,1+A122,0,Config!$B$12,1)-OFFSET(Datos!$D$1,1,0,Config!$B$12,1))</f>
        <v>0.0209042773627797</v>
      </c>
      <c r="D122" s="18" t="n">
        <f aca="true" t="array" ref="D122:D122">KURT(OFFSET(Datos!$D$1,1+A122,0,Config!$B$12,1)-OFFSET(Datos!$D$1,1,0,Config!$B$12,1))</f>
        <v>-0.0310917765443377</v>
      </c>
    </row>
    <row r="123" customFormat="false" ht="15" hidden="false" customHeight="false" outlineLevel="0" collapsed="false">
      <c r="A123" s="2" t="n">
        <v>119</v>
      </c>
      <c r="B123" s="20" t="n">
        <f aca="false">A123*Config!$B$9</f>
        <v>5.95</v>
      </c>
      <c r="C123" s="18" t="n">
        <f aca="true" t="array" ref="C123:C123">SKEW(OFFSET(Datos!$D$1,1+A123,0,Config!$B$12,1)-OFFSET(Datos!$D$1,1,0,Config!$B$12,1))</f>
        <v>0.0323229103212076</v>
      </c>
      <c r="D123" s="18" t="n">
        <f aca="true" t="array" ref="D123:D123">KURT(OFFSET(Datos!$D$1,1+A123,0,Config!$B$12,1)-OFFSET(Datos!$D$1,1,0,Config!$B$12,1))</f>
        <v>-0.0139508507845187</v>
      </c>
    </row>
    <row r="124" customFormat="false" ht="15" hidden="false" customHeight="false" outlineLevel="0" collapsed="false">
      <c r="A124" s="2" t="n">
        <v>120</v>
      </c>
      <c r="B124" s="20" t="n">
        <f aca="false">A124*Config!$B$9</f>
        <v>6</v>
      </c>
      <c r="C124" s="18" t="n">
        <f aca="true" t="array" ref="C124:C124">SKEW(OFFSET(Datos!$D$1,1+A124,0,Config!$B$12,1)-OFFSET(Datos!$D$1,1,0,Config!$B$12,1))</f>
        <v>0.034178160498662</v>
      </c>
      <c r="D124" s="18" t="n">
        <f aca="true" t="array" ref="D124:D124">KURT(OFFSET(Datos!$D$1,1+A124,0,Config!$B$12,1)-OFFSET(Datos!$D$1,1,0,Config!$B$12,1))</f>
        <v>0.0430006238225769</v>
      </c>
    </row>
    <row r="125" customFormat="false" ht="15" hidden="false" customHeight="false" outlineLevel="0" collapsed="false">
      <c r="A125" s="2" t="n">
        <v>121</v>
      </c>
      <c r="B125" s="20" t="n">
        <f aca="false">A125*Config!$B$9</f>
        <v>6.05</v>
      </c>
      <c r="C125" s="18" t="n">
        <f aca="true" t="array" ref="C125:C125">SKEW(OFFSET(Datos!$D$1,1+A125,0,Config!$B$12,1)-OFFSET(Datos!$D$1,1,0,Config!$B$12,1))</f>
        <v>0.0335156249571943</v>
      </c>
      <c r="D125" s="18" t="n">
        <f aca="true" t="array" ref="D125:D125">KURT(OFFSET(Datos!$D$1,1+A125,0,Config!$B$12,1)-OFFSET(Datos!$D$1,1,0,Config!$B$12,1))</f>
        <v>0.0346839583468892</v>
      </c>
    </row>
    <row r="126" customFormat="false" ht="15" hidden="false" customHeight="false" outlineLevel="0" collapsed="false">
      <c r="A126" s="2" t="n">
        <v>122</v>
      </c>
      <c r="B126" s="20" t="n">
        <f aca="false">A126*Config!$B$9</f>
        <v>6.1</v>
      </c>
      <c r="C126" s="18" t="n">
        <f aca="true" t="array" ref="C126:C126">SKEW(OFFSET(Datos!$D$1,1+A126,0,Config!$B$12,1)-OFFSET(Datos!$D$1,1,0,Config!$B$12,1))</f>
        <v>0.038565094045524</v>
      </c>
      <c r="D126" s="18" t="n">
        <f aca="true" t="array" ref="D126:D126">KURT(OFFSET(Datos!$D$1,1+A126,0,Config!$B$12,1)-OFFSET(Datos!$D$1,1,0,Config!$B$12,1))</f>
        <v>0.0868863182297206</v>
      </c>
    </row>
    <row r="127" customFormat="false" ht="15" hidden="false" customHeight="false" outlineLevel="0" collapsed="false">
      <c r="A127" s="2" t="n">
        <v>123</v>
      </c>
      <c r="B127" s="20" t="n">
        <f aca="false">A127*Config!$B$9</f>
        <v>6.15</v>
      </c>
      <c r="C127" s="18" t="n">
        <f aca="true" t="array" ref="C127:C127">SKEW(OFFSET(Datos!$D$1,1+A127,0,Config!$B$12,1)-OFFSET(Datos!$D$1,1,0,Config!$B$12,1))</f>
        <v>0.000633890998677663</v>
      </c>
      <c r="D127" s="18" t="n">
        <f aca="true" t="array" ref="D127:D127">KURT(OFFSET(Datos!$D$1,1+A127,0,Config!$B$12,1)-OFFSET(Datos!$D$1,1,0,Config!$B$12,1))</f>
        <v>0.0638253897676968</v>
      </c>
    </row>
    <row r="128" customFormat="false" ht="15" hidden="false" customHeight="false" outlineLevel="0" collapsed="false">
      <c r="A128" s="2" t="n">
        <v>124</v>
      </c>
      <c r="B128" s="20" t="n">
        <f aca="false">A128*Config!$B$9</f>
        <v>6.2</v>
      </c>
      <c r="C128" s="18" t="n">
        <f aca="true" t="array" ref="C128:C128">SKEW(OFFSET(Datos!$D$1,1+A128,0,Config!$B$12,1)-OFFSET(Datos!$D$1,1,0,Config!$B$12,1))</f>
        <v>0.0273676815329468</v>
      </c>
      <c r="D128" s="18" t="n">
        <f aca="true" t="array" ref="D128:D128">KURT(OFFSET(Datos!$D$1,1+A128,0,Config!$B$12,1)-OFFSET(Datos!$D$1,1,0,Config!$B$12,1))</f>
        <v>0.0283180027327035</v>
      </c>
    </row>
    <row r="129" customFormat="false" ht="15" hidden="false" customHeight="false" outlineLevel="0" collapsed="false">
      <c r="A129" s="2" t="n">
        <v>125</v>
      </c>
      <c r="B129" s="20" t="n">
        <f aca="false">A129*Config!$B$9</f>
        <v>6.25</v>
      </c>
      <c r="C129" s="18" t="n">
        <f aca="true" t="array" ref="C129:C129">SKEW(OFFSET(Datos!$D$1,1+A129,0,Config!$B$12,1)-OFFSET(Datos!$D$1,1,0,Config!$B$12,1))</f>
        <v>-0.0144995022130017</v>
      </c>
      <c r="D129" s="18" t="n">
        <f aca="true" t="array" ref="D129:D129">KURT(OFFSET(Datos!$D$1,1+A129,0,Config!$B$12,1)-OFFSET(Datos!$D$1,1,0,Config!$B$12,1))</f>
        <v>-0.00933251958441339</v>
      </c>
    </row>
    <row r="130" customFormat="false" ht="15" hidden="false" customHeight="false" outlineLevel="0" collapsed="false">
      <c r="A130" s="2" t="n">
        <v>126</v>
      </c>
      <c r="B130" s="20" t="n">
        <f aca="false">A130*Config!$B$9</f>
        <v>6.3</v>
      </c>
      <c r="C130" s="18" t="n">
        <f aca="true" t="array" ref="C130:C130">SKEW(OFFSET(Datos!$D$1,1+A130,0,Config!$B$12,1)-OFFSET(Datos!$D$1,1,0,Config!$B$12,1))</f>
        <v>0.0441058639189546</v>
      </c>
      <c r="D130" s="18" t="n">
        <f aca="true" t="array" ref="D130:D130">KURT(OFFSET(Datos!$D$1,1+A130,0,Config!$B$12,1)-OFFSET(Datos!$D$1,1,0,Config!$B$12,1))</f>
        <v>-0.0575611524701056</v>
      </c>
    </row>
    <row r="131" customFormat="false" ht="15" hidden="false" customHeight="false" outlineLevel="0" collapsed="false">
      <c r="A131" s="2" t="n">
        <v>127</v>
      </c>
      <c r="B131" s="20" t="n">
        <f aca="false">A131*Config!$B$9</f>
        <v>6.35</v>
      </c>
      <c r="C131" s="18" t="n">
        <f aca="true" t="array" ref="C131:C131">SKEW(OFFSET(Datos!$D$1,1+A131,0,Config!$B$12,1)-OFFSET(Datos!$D$1,1,0,Config!$B$12,1))</f>
        <v>0.0292660893969807</v>
      </c>
      <c r="D131" s="18" t="n">
        <f aca="true" t="array" ref="D131:D131">KURT(OFFSET(Datos!$D$1,1+A131,0,Config!$B$12,1)-OFFSET(Datos!$D$1,1,0,Config!$B$12,1))</f>
        <v>-0.00536657491480463</v>
      </c>
    </row>
    <row r="132" customFormat="false" ht="15" hidden="false" customHeight="false" outlineLevel="0" collapsed="false">
      <c r="A132" s="2" t="n">
        <v>128</v>
      </c>
      <c r="B132" s="20" t="n">
        <f aca="false">A132*Config!$B$9</f>
        <v>6.4</v>
      </c>
      <c r="C132" s="18" t="n">
        <f aca="true" t="array" ref="C132:C132">SKEW(OFFSET(Datos!$D$1,1+A132,0,Config!$B$12,1)-OFFSET(Datos!$D$1,1,0,Config!$B$12,1))</f>
        <v>0.0167865575932389</v>
      </c>
      <c r="D132" s="18" t="n">
        <f aca="true" t="array" ref="D132:D132">KURT(OFFSET(Datos!$D$1,1+A132,0,Config!$B$12,1)-OFFSET(Datos!$D$1,1,0,Config!$B$12,1))</f>
        <v>0.00731038406150297</v>
      </c>
    </row>
    <row r="133" customFormat="false" ht="15" hidden="false" customHeight="false" outlineLevel="0" collapsed="false">
      <c r="A133" s="2" t="n">
        <v>129</v>
      </c>
      <c r="B133" s="20" t="n">
        <f aca="false">A133*Config!$B$9</f>
        <v>6.45</v>
      </c>
      <c r="C133" s="18" t="n">
        <f aca="true" t="array" ref="C133:C133">SKEW(OFFSET(Datos!$D$1,1+A133,0,Config!$B$12,1)-OFFSET(Datos!$D$1,1,0,Config!$B$12,1))</f>
        <v>0.0112200515518677</v>
      </c>
      <c r="D133" s="18" t="n">
        <f aca="true" t="array" ref="D133:D133">KURT(OFFSET(Datos!$D$1,1+A133,0,Config!$B$12,1)-OFFSET(Datos!$D$1,1,0,Config!$B$12,1))</f>
        <v>-0.0372285334746088</v>
      </c>
    </row>
    <row r="134" customFormat="false" ht="15" hidden="false" customHeight="false" outlineLevel="0" collapsed="false">
      <c r="A134" s="2" t="n">
        <v>130</v>
      </c>
      <c r="B134" s="20" t="n">
        <f aca="false">A134*Config!$B$9</f>
        <v>6.5</v>
      </c>
      <c r="C134" s="18" t="n">
        <f aca="true" t="array" ref="C134:C134">SKEW(OFFSET(Datos!$D$1,1+A134,0,Config!$B$12,1)-OFFSET(Datos!$D$1,1,0,Config!$B$12,1))</f>
        <v>-0.0138499886569202</v>
      </c>
      <c r="D134" s="18" t="n">
        <f aca="true" t="array" ref="D134:D134">KURT(OFFSET(Datos!$D$1,1+A134,0,Config!$B$12,1)-OFFSET(Datos!$D$1,1,0,Config!$B$12,1))</f>
        <v>0.0160394021795849</v>
      </c>
    </row>
    <row r="135" customFormat="false" ht="15" hidden="false" customHeight="false" outlineLevel="0" collapsed="false">
      <c r="A135" s="2" t="n">
        <v>131</v>
      </c>
      <c r="B135" s="20" t="n">
        <f aca="false">A135*Config!$B$9</f>
        <v>6.55</v>
      </c>
      <c r="C135" s="18" t="n">
        <f aca="true" t="array" ref="C135:C135">SKEW(OFFSET(Datos!$D$1,1+A135,0,Config!$B$12,1)-OFFSET(Datos!$D$1,1,0,Config!$B$12,1))</f>
        <v>0.040695815762362</v>
      </c>
      <c r="D135" s="18" t="n">
        <f aca="true" t="array" ref="D135:D135">KURT(OFFSET(Datos!$D$1,1+A135,0,Config!$B$12,1)-OFFSET(Datos!$D$1,1,0,Config!$B$12,1))</f>
        <v>0.0545057562501317</v>
      </c>
    </row>
    <row r="136" customFormat="false" ht="15" hidden="false" customHeight="false" outlineLevel="0" collapsed="false">
      <c r="A136" s="2" t="n">
        <v>132</v>
      </c>
      <c r="B136" s="20" t="n">
        <f aca="false">A136*Config!$B$9</f>
        <v>6.6</v>
      </c>
      <c r="C136" s="18" t="n">
        <f aca="true" t="array" ref="C136:C136">SKEW(OFFSET(Datos!$D$1,1+A136,0,Config!$B$12,1)-OFFSET(Datos!$D$1,1,0,Config!$B$12,1))</f>
        <v>0.030283928869534</v>
      </c>
      <c r="D136" s="18" t="n">
        <f aca="true" t="array" ref="D136:D136">KURT(OFFSET(Datos!$D$1,1+A136,0,Config!$B$12,1)-OFFSET(Datos!$D$1,1,0,Config!$B$12,1))</f>
        <v>0.0375480487483681</v>
      </c>
    </row>
    <row r="137" customFormat="false" ht="15" hidden="false" customHeight="false" outlineLevel="0" collapsed="false">
      <c r="A137" s="2" t="n">
        <v>133</v>
      </c>
      <c r="B137" s="20" t="n">
        <f aca="false">A137*Config!$B$9</f>
        <v>6.65</v>
      </c>
      <c r="C137" s="18" t="n">
        <f aca="true" t="array" ref="C137:C137">SKEW(OFFSET(Datos!$D$1,1+A137,0,Config!$B$12,1)-OFFSET(Datos!$D$1,1,0,Config!$B$12,1))</f>
        <v>0.0336960801754567</v>
      </c>
      <c r="D137" s="18" t="n">
        <f aca="true" t="array" ref="D137:D137">KURT(OFFSET(Datos!$D$1,1+A137,0,Config!$B$12,1)-OFFSET(Datos!$D$1,1,0,Config!$B$12,1))</f>
        <v>-0.14774149052879</v>
      </c>
    </row>
    <row r="138" customFormat="false" ht="15" hidden="false" customHeight="false" outlineLevel="0" collapsed="false">
      <c r="A138" s="2" t="n">
        <v>134</v>
      </c>
      <c r="B138" s="20" t="n">
        <f aca="false">A138*Config!$B$9</f>
        <v>6.7</v>
      </c>
      <c r="C138" s="18" t="n">
        <f aca="true" t="array" ref="C138:C138">SKEW(OFFSET(Datos!$D$1,1+A138,0,Config!$B$12,1)-OFFSET(Datos!$D$1,1,0,Config!$B$12,1))</f>
        <v>0.0154586767380429</v>
      </c>
      <c r="D138" s="18" t="n">
        <f aca="true" t="array" ref="D138:D138">KURT(OFFSET(Datos!$D$1,1+A138,0,Config!$B$12,1)-OFFSET(Datos!$D$1,1,0,Config!$B$12,1))</f>
        <v>-0.0408475091832763</v>
      </c>
    </row>
    <row r="139" customFormat="false" ht="15" hidden="false" customHeight="false" outlineLevel="0" collapsed="false">
      <c r="A139" s="2" t="n">
        <v>135</v>
      </c>
      <c r="B139" s="20" t="n">
        <f aca="false">A139*Config!$B$9</f>
        <v>6.75</v>
      </c>
      <c r="C139" s="18" t="n">
        <f aca="true" t="array" ref="C139:C139">SKEW(OFFSET(Datos!$D$1,1+A139,0,Config!$B$12,1)-OFFSET(Datos!$D$1,1,0,Config!$B$12,1))</f>
        <v>0.00751730636844054</v>
      </c>
      <c r="D139" s="18" t="n">
        <f aca="true" t="array" ref="D139:D139">KURT(OFFSET(Datos!$D$1,1+A139,0,Config!$B$12,1)-OFFSET(Datos!$D$1,1,0,Config!$B$12,1))</f>
        <v>-0.0042284013603533</v>
      </c>
    </row>
    <row r="140" customFormat="false" ht="15" hidden="false" customHeight="false" outlineLevel="0" collapsed="false">
      <c r="A140" s="2" t="n">
        <v>136</v>
      </c>
      <c r="B140" s="20" t="n">
        <f aca="false">A140*Config!$B$9</f>
        <v>6.8</v>
      </c>
      <c r="C140" s="18" t="n">
        <f aca="true" t="array" ref="C140:C140">SKEW(OFFSET(Datos!$D$1,1+A140,0,Config!$B$12,1)-OFFSET(Datos!$D$1,1,0,Config!$B$12,1))</f>
        <v>0.0267467131547053</v>
      </c>
      <c r="D140" s="18" t="n">
        <f aca="true" t="array" ref="D140:D140">KURT(OFFSET(Datos!$D$1,1+A140,0,Config!$B$12,1)-OFFSET(Datos!$D$1,1,0,Config!$B$12,1))</f>
        <v>-0.0149398985379219</v>
      </c>
    </row>
    <row r="141" customFormat="false" ht="15" hidden="false" customHeight="false" outlineLevel="0" collapsed="false">
      <c r="A141" s="2" t="n">
        <v>137</v>
      </c>
      <c r="B141" s="20" t="n">
        <f aca="false">A141*Config!$B$9</f>
        <v>6.85</v>
      </c>
      <c r="C141" s="18" t="n">
        <f aca="true" t="array" ref="C141:C141">SKEW(OFFSET(Datos!$D$1,1+A141,0,Config!$B$12,1)-OFFSET(Datos!$D$1,1,0,Config!$B$12,1))</f>
        <v>0.00614810126183528</v>
      </c>
      <c r="D141" s="18" t="n">
        <f aca="true" t="array" ref="D141:D141">KURT(OFFSET(Datos!$D$1,1+A141,0,Config!$B$12,1)-OFFSET(Datos!$D$1,1,0,Config!$B$12,1))</f>
        <v>0.0125426749159896</v>
      </c>
    </row>
    <row r="142" customFormat="false" ht="15" hidden="false" customHeight="false" outlineLevel="0" collapsed="false">
      <c r="A142" s="2" t="n">
        <v>138</v>
      </c>
      <c r="B142" s="20" t="n">
        <f aca="false">A142*Config!$B$9</f>
        <v>6.9</v>
      </c>
      <c r="C142" s="18" t="n">
        <f aca="true" t="array" ref="C142:C142">SKEW(OFFSET(Datos!$D$1,1+A142,0,Config!$B$12,1)-OFFSET(Datos!$D$1,1,0,Config!$B$12,1))</f>
        <v>0.0120412447812551</v>
      </c>
      <c r="D142" s="18" t="n">
        <f aca="true" t="array" ref="D142:D142">KURT(OFFSET(Datos!$D$1,1+A142,0,Config!$B$12,1)-OFFSET(Datos!$D$1,1,0,Config!$B$12,1))</f>
        <v>-0.0442371467633573</v>
      </c>
    </row>
    <row r="143" customFormat="false" ht="15" hidden="false" customHeight="false" outlineLevel="0" collapsed="false">
      <c r="A143" s="2" t="n">
        <v>139</v>
      </c>
      <c r="B143" s="20" t="n">
        <f aca="false">A143*Config!$B$9</f>
        <v>6.95</v>
      </c>
      <c r="C143" s="18" t="n">
        <f aca="true" t="array" ref="C143:C143">SKEW(OFFSET(Datos!$D$1,1+A143,0,Config!$B$12,1)-OFFSET(Datos!$D$1,1,0,Config!$B$12,1))</f>
        <v>0.0143657383726242</v>
      </c>
      <c r="D143" s="18" t="n">
        <f aca="true" t="array" ref="D143:D143">KURT(OFFSET(Datos!$D$1,1+A143,0,Config!$B$12,1)-OFFSET(Datos!$D$1,1,0,Config!$B$12,1))</f>
        <v>-0.000160412558474654</v>
      </c>
    </row>
    <row r="144" customFormat="false" ht="15" hidden="false" customHeight="false" outlineLevel="0" collapsed="false">
      <c r="A144" s="2" t="n">
        <v>140</v>
      </c>
      <c r="B144" s="20" t="n">
        <f aca="false">A144*Config!$B$9</f>
        <v>7</v>
      </c>
      <c r="C144" s="18" t="n">
        <f aca="true" t="array" ref="C144:C144">SKEW(OFFSET(Datos!$D$1,1+A144,0,Config!$B$12,1)-OFFSET(Datos!$D$1,1,0,Config!$B$12,1))</f>
        <v>-0.0103929471903776</v>
      </c>
      <c r="D144" s="18" t="n">
        <f aca="true" t="array" ref="D144:D144">KURT(OFFSET(Datos!$D$1,1+A144,0,Config!$B$12,1)-OFFSET(Datos!$D$1,1,0,Config!$B$12,1))</f>
        <v>0.00337245055167701</v>
      </c>
    </row>
    <row r="145" customFormat="false" ht="15" hidden="false" customHeight="false" outlineLevel="0" collapsed="false">
      <c r="A145" s="2" t="n">
        <v>141</v>
      </c>
      <c r="B145" s="20" t="n">
        <f aca="false">A145*Config!$B$9</f>
        <v>7.05</v>
      </c>
      <c r="C145" s="18" t="n">
        <f aca="true" t="array" ref="C145:C145">SKEW(OFFSET(Datos!$D$1,1+A145,0,Config!$B$12,1)-OFFSET(Datos!$D$1,1,0,Config!$B$12,1))</f>
        <v>0.00177397015809989</v>
      </c>
      <c r="D145" s="18" t="n">
        <f aca="true" t="array" ref="D145:D145">KURT(OFFSET(Datos!$D$1,1+A145,0,Config!$B$12,1)-OFFSET(Datos!$D$1,1,0,Config!$B$12,1))</f>
        <v>-0.0204780651590735</v>
      </c>
    </row>
    <row r="146" customFormat="false" ht="15" hidden="false" customHeight="false" outlineLevel="0" collapsed="false">
      <c r="A146" s="2" t="n">
        <v>142</v>
      </c>
      <c r="B146" s="20" t="n">
        <f aca="false">A146*Config!$B$9</f>
        <v>7.1</v>
      </c>
      <c r="C146" s="18" t="n">
        <f aca="true" t="array" ref="C146:C146">SKEW(OFFSET(Datos!$D$1,1+A146,0,Config!$B$12,1)-OFFSET(Datos!$D$1,1,0,Config!$B$12,1))</f>
        <v>0.0337069934564333</v>
      </c>
      <c r="D146" s="18" t="n">
        <f aca="true" t="array" ref="D146:D146">KURT(OFFSET(Datos!$D$1,1+A146,0,Config!$B$12,1)-OFFSET(Datos!$D$1,1,0,Config!$B$12,1))</f>
        <v>-0.0503570480215712</v>
      </c>
    </row>
    <row r="147" customFormat="false" ht="15" hidden="false" customHeight="false" outlineLevel="0" collapsed="false">
      <c r="A147" s="2" t="n">
        <v>143</v>
      </c>
      <c r="B147" s="20" t="n">
        <f aca="false">A147*Config!$B$9</f>
        <v>7.15</v>
      </c>
      <c r="C147" s="18" t="n">
        <f aca="true" t="array" ref="C147:C147">SKEW(OFFSET(Datos!$D$1,1+A147,0,Config!$B$12,1)-OFFSET(Datos!$D$1,1,0,Config!$B$12,1))</f>
        <v>0.0357568282186724</v>
      </c>
      <c r="D147" s="18" t="n">
        <f aca="true" t="array" ref="D147:D147">KURT(OFFSET(Datos!$D$1,1+A147,0,Config!$B$12,1)-OFFSET(Datos!$D$1,1,0,Config!$B$12,1))</f>
        <v>-0.0917483897719635</v>
      </c>
    </row>
    <row r="148" customFormat="false" ht="15" hidden="false" customHeight="false" outlineLevel="0" collapsed="false">
      <c r="A148" s="2" t="n">
        <v>144</v>
      </c>
      <c r="B148" s="20" t="n">
        <f aca="false">A148*Config!$B$9</f>
        <v>7.2</v>
      </c>
      <c r="C148" s="18" t="n">
        <f aca="true" t="array" ref="C148:C148">SKEW(OFFSET(Datos!$D$1,1+A148,0,Config!$B$12,1)-OFFSET(Datos!$D$1,1,0,Config!$B$12,1))</f>
        <v>0.0319654290331024</v>
      </c>
      <c r="D148" s="18" t="n">
        <f aca="true" t="array" ref="D148:D148">KURT(OFFSET(Datos!$D$1,1+A148,0,Config!$B$12,1)-OFFSET(Datos!$D$1,1,0,Config!$B$12,1))</f>
        <v>-0.00373305038124228</v>
      </c>
    </row>
    <row r="149" customFormat="false" ht="15" hidden="false" customHeight="false" outlineLevel="0" collapsed="false">
      <c r="A149" s="2" t="n">
        <v>145</v>
      </c>
      <c r="B149" s="20" t="n">
        <f aca="false">A149*Config!$B$9</f>
        <v>7.25</v>
      </c>
      <c r="C149" s="18" t="n">
        <f aca="true" t="array" ref="C149:C149">SKEW(OFFSET(Datos!$D$1,1+A149,0,Config!$B$12,1)-OFFSET(Datos!$D$1,1,0,Config!$B$12,1))</f>
        <v>0.000888631759338148</v>
      </c>
      <c r="D149" s="18" t="n">
        <f aca="true" t="array" ref="D149:D149">KURT(OFFSET(Datos!$D$1,1+A149,0,Config!$B$12,1)-OFFSET(Datos!$D$1,1,0,Config!$B$12,1))</f>
        <v>0.0125255830898601</v>
      </c>
    </row>
    <row r="150" customFormat="false" ht="15" hidden="false" customHeight="false" outlineLevel="0" collapsed="false">
      <c r="A150" s="2" t="n">
        <v>146</v>
      </c>
      <c r="B150" s="20" t="n">
        <f aca="false">A150*Config!$B$9</f>
        <v>7.3</v>
      </c>
      <c r="C150" s="18" t="n">
        <f aca="true" t="array" ref="C150:C150">SKEW(OFFSET(Datos!$D$1,1+A150,0,Config!$B$12,1)-OFFSET(Datos!$D$1,1,0,Config!$B$12,1))</f>
        <v>0.020465248278028</v>
      </c>
      <c r="D150" s="18" t="n">
        <f aca="true" t="array" ref="D150:D150">KURT(OFFSET(Datos!$D$1,1+A150,0,Config!$B$12,1)-OFFSET(Datos!$D$1,1,0,Config!$B$12,1))</f>
        <v>-0.0137303016335704</v>
      </c>
    </row>
    <row r="151" customFormat="false" ht="15" hidden="false" customHeight="false" outlineLevel="0" collapsed="false">
      <c r="A151" s="2" t="n">
        <v>147</v>
      </c>
      <c r="B151" s="20" t="n">
        <f aca="false">A151*Config!$B$9</f>
        <v>7.35</v>
      </c>
      <c r="C151" s="18" t="n">
        <f aca="true" t="array" ref="C151:C151">SKEW(OFFSET(Datos!$D$1,1+A151,0,Config!$B$12,1)-OFFSET(Datos!$D$1,1,0,Config!$B$12,1))</f>
        <v>0.0417358530797768</v>
      </c>
      <c r="D151" s="18" t="n">
        <f aca="true" t="array" ref="D151:D151">KURT(OFFSET(Datos!$D$1,1+A151,0,Config!$B$12,1)-OFFSET(Datos!$D$1,1,0,Config!$B$12,1))</f>
        <v>-0.00657590031757893</v>
      </c>
    </row>
    <row r="152" customFormat="false" ht="15" hidden="false" customHeight="false" outlineLevel="0" collapsed="false">
      <c r="A152" s="2" t="n">
        <v>148</v>
      </c>
      <c r="B152" s="20" t="n">
        <f aca="false">A152*Config!$B$9</f>
        <v>7.4</v>
      </c>
      <c r="C152" s="18" t="n">
        <f aca="true" t="array" ref="C152:C152">SKEW(OFFSET(Datos!$D$1,1+A152,0,Config!$B$12,1)-OFFSET(Datos!$D$1,1,0,Config!$B$12,1))</f>
        <v>0.0653742799398429</v>
      </c>
      <c r="D152" s="18" t="n">
        <f aca="true" t="array" ref="D152:D152">KURT(OFFSET(Datos!$D$1,1+A152,0,Config!$B$12,1)-OFFSET(Datos!$D$1,1,0,Config!$B$12,1))</f>
        <v>-0.121045055665332</v>
      </c>
    </row>
    <row r="153" customFormat="false" ht="15" hidden="false" customHeight="false" outlineLevel="0" collapsed="false">
      <c r="A153" s="2" t="n">
        <v>149</v>
      </c>
      <c r="B153" s="20" t="n">
        <f aca="false">A153*Config!$B$9</f>
        <v>7.45</v>
      </c>
      <c r="C153" s="18" t="n">
        <f aca="true" t="array" ref="C153:C153">SKEW(OFFSET(Datos!$D$1,1+A153,0,Config!$B$12,1)-OFFSET(Datos!$D$1,1,0,Config!$B$12,1))</f>
        <v>0.0521503964448262</v>
      </c>
      <c r="D153" s="18" t="n">
        <f aca="true" t="array" ref="D153:D153">KURT(OFFSET(Datos!$D$1,1+A153,0,Config!$B$12,1)-OFFSET(Datos!$D$1,1,0,Config!$B$12,1))</f>
        <v>-0.0508779144278946</v>
      </c>
    </row>
    <row r="154" customFormat="false" ht="15" hidden="false" customHeight="false" outlineLevel="0" collapsed="false">
      <c r="A154" s="2" t="n">
        <v>150</v>
      </c>
      <c r="B154" s="20" t="n">
        <f aca="false">A154*Config!$B$9</f>
        <v>7.5</v>
      </c>
      <c r="C154" s="18" t="n">
        <f aca="true" t="array" ref="C154:C154">SKEW(OFFSET(Datos!$D$1,1+A154,0,Config!$B$12,1)-OFFSET(Datos!$D$1,1,0,Config!$B$12,1))</f>
        <v>0.0214436614681483</v>
      </c>
      <c r="D154" s="18" t="n">
        <f aca="true" t="array" ref="D154:D154">KURT(OFFSET(Datos!$D$1,1+A154,0,Config!$B$12,1)-OFFSET(Datos!$D$1,1,0,Config!$B$12,1))</f>
        <v>-0.0119423465307005</v>
      </c>
    </row>
    <row r="155" customFormat="false" ht="15" hidden="false" customHeight="false" outlineLevel="0" collapsed="false">
      <c r="A155" s="2" t="n">
        <v>151</v>
      </c>
      <c r="B155" s="20" t="n">
        <f aca="false">A155*Config!$B$9</f>
        <v>7.55</v>
      </c>
      <c r="C155" s="18" t="n">
        <f aca="true" t="array" ref="C155:C155">SKEW(OFFSET(Datos!$D$1,1+A155,0,Config!$B$12,1)-OFFSET(Datos!$D$1,1,0,Config!$B$12,1))</f>
        <v>0.0505232565672169</v>
      </c>
      <c r="D155" s="18" t="n">
        <f aca="true" t="array" ref="D155:D155">KURT(OFFSET(Datos!$D$1,1+A155,0,Config!$B$12,1)-OFFSET(Datos!$D$1,1,0,Config!$B$12,1))</f>
        <v>-0.0804183542444075</v>
      </c>
    </row>
    <row r="156" customFormat="false" ht="15" hidden="false" customHeight="false" outlineLevel="0" collapsed="false">
      <c r="A156" s="2" t="n">
        <v>152</v>
      </c>
      <c r="B156" s="20" t="n">
        <f aca="false">A156*Config!$B$9</f>
        <v>7.6</v>
      </c>
      <c r="C156" s="18" t="n">
        <f aca="true" t="array" ref="C156:C156">SKEW(OFFSET(Datos!$D$1,1+A156,0,Config!$B$12,1)-OFFSET(Datos!$D$1,1,0,Config!$B$12,1))</f>
        <v>0.0388439845892055</v>
      </c>
      <c r="D156" s="18" t="n">
        <f aca="true" t="array" ref="D156:D156">KURT(OFFSET(Datos!$D$1,1+A156,0,Config!$B$12,1)-OFFSET(Datos!$D$1,1,0,Config!$B$12,1))</f>
        <v>-0.00642580964695361</v>
      </c>
    </row>
    <row r="157" customFormat="false" ht="15" hidden="false" customHeight="false" outlineLevel="0" collapsed="false">
      <c r="A157" s="2" t="n">
        <v>153</v>
      </c>
      <c r="B157" s="20" t="n">
        <f aca="false">A157*Config!$B$9</f>
        <v>7.65</v>
      </c>
      <c r="C157" s="18" t="n">
        <f aca="true" t="array" ref="C157:C157">SKEW(OFFSET(Datos!$D$1,1+A157,0,Config!$B$12,1)-OFFSET(Datos!$D$1,1,0,Config!$B$12,1))</f>
        <v>0.0271498828669573</v>
      </c>
      <c r="D157" s="18" t="n">
        <f aca="true" t="array" ref="D157:D157">KURT(OFFSET(Datos!$D$1,1+A157,0,Config!$B$12,1)-OFFSET(Datos!$D$1,1,0,Config!$B$12,1))</f>
        <v>-0.0242489759989084</v>
      </c>
    </row>
    <row r="158" customFormat="false" ht="15" hidden="false" customHeight="false" outlineLevel="0" collapsed="false">
      <c r="A158" s="2" t="n">
        <v>154</v>
      </c>
      <c r="B158" s="20" t="n">
        <f aca="false">A158*Config!$B$9</f>
        <v>7.7</v>
      </c>
      <c r="C158" s="18" t="n">
        <f aca="true" t="array" ref="C158:C158">SKEW(OFFSET(Datos!$D$1,1+A158,0,Config!$B$12,1)-OFFSET(Datos!$D$1,1,0,Config!$B$12,1))</f>
        <v>0.036654083145491</v>
      </c>
      <c r="D158" s="18" t="n">
        <f aca="true" t="array" ref="D158:D158">KURT(OFFSET(Datos!$D$1,1+A158,0,Config!$B$12,1)-OFFSET(Datos!$D$1,1,0,Config!$B$12,1))</f>
        <v>-0.0306055181950491</v>
      </c>
    </row>
    <row r="159" customFormat="false" ht="15" hidden="false" customHeight="false" outlineLevel="0" collapsed="false">
      <c r="A159" s="2" t="n">
        <v>155</v>
      </c>
      <c r="B159" s="20" t="n">
        <f aca="false">A159*Config!$B$9</f>
        <v>7.75</v>
      </c>
      <c r="C159" s="18" t="n">
        <f aca="true" t="array" ref="C159:C159">SKEW(OFFSET(Datos!$D$1,1+A159,0,Config!$B$12,1)-OFFSET(Datos!$D$1,1,0,Config!$B$12,1))</f>
        <v>0.117272746506878</v>
      </c>
      <c r="D159" s="18" t="n">
        <f aca="true" t="array" ref="D159:D159">KURT(OFFSET(Datos!$D$1,1+A159,0,Config!$B$12,1)-OFFSET(Datos!$D$1,1,0,Config!$B$12,1))</f>
        <v>-0.0879155211618845</v>
      </c>
    </row>
    <row r="160" customFormat="false" ht="15" hidden="false" customHeight="false" outlineLevel="0" collapsed="false">
      <c r="A160" s="2" t="n">
        <v>156</v>
      </c>
      <c r="B160" s="20" t="n">
        <f aca="false">A160*Config!$B$9</f>
        <v>7.8</v>
      </c>
      <c r="C160" s="18" t="n">
        <f aca="true" t="array" ref="C160:C160">SKEW(OFFSET(Datos!$D$1,1+A160,0,Config!$B$12,1)-OFFSET(Datos!$D$1,1,0,Config!$B$12,1))</f>
        <v>0.117892061264643</v>
      </c>
      <c r="D160" s="18" t="n">
        <f aca="true" t="array" ref="D160:D160">KURT(OFFSET(Datos!$D$1,1+A160,0,Config!$B$12,1)-OFFSET(Datos!$D$1,1,0,Config!$B$12,1))</f>
        <v>-0.100269895785842</v>
      </c>
    </row>
    <row r="161" customFormat="false" ht="15" hidden="false" customHeight="false" outlineLevel="0" collapsed="false">
      <c r="A161" s="2" t="n">
        <v>157</v>
      </c>
      <c r="B161" s="20" t="n">
        <f aca="false">A161*Config!$B$9</f>
        <v>7.85</v>
      </c>
      <c r="C161" s="18" t="n">
        <f aca="true" t="array" ref="C161:C161">SKEW(OFFSET(Datos!$D$1,1+A161,0,Config!$B$12,1)-OFFSET(Datos!$D$1,1,0,Config!$B$12,1))</f>
        <v>0.0809485724207475</v>
      </c>
      <c r="D161" s="18" t="n">
        <f aca="true" t="array" ref="D161:D161">KURT(OFFSET(Datos!$D$1,1+A161,0,Config!$B$12,1)-OFFSET(Datos!$D$1,1,0,Config!$B$12,1))</f>
        <v>-0.0957895271966645</v>
      </c>
    </row>
    <row r="162" customFormat="false" ht="15" hidden="false" customHeight="false" outlineLevel="0" collapsed="false">
      <c r="A162" s="2" t="n">
        <v>158</v>
      </c>
      <c r="B162" s="20" t="n">
        <f aca="false">A162*Config!$B$9</f>
        <v>7.9</v>
      </c>
      <c r="C162" s="18" t="n">
        <f aca="true" t="array" ref="C162:C162">SKEW(OFFSET(Datos!$D$1,1+A162,0,Config!$B$12,1)-OFFSET(Datos!$D$1,1,0,Config!$B$12,1))</f>
        <v>0.0519176708927153</v>
      </c>
      <c r="D162" s="18" t="n">
        <f aca="true" t="array" ref="D162:D162">KURT(OFFSET(Datos!$D$1,1+A162,0,Config!$B$12,1)-OFFSET(Datos!$D$1,1,0,Config!$B$12,1))</f>
        <v>-0.0216576898715419</v>
      </c>
    </row>
    <row r="163" customFormat="false" ht="15" hidden="false" customHeight="false" outlineLevel="0" collapsed="false">
      <c r="A163" s="2" t="n">
        <v>159</v>
      </c>
      <c r="B163" s="20" t="n">
        <f aca="false">A163*Config!$B$9</f>
        <v>7.95</v>
      </c>
      <c r="C163" s="18" t="n">
        <f aca="true" t="array" ref="C163:C163">SKEW(OFFSET(Datos!$D$1,1+A163,0,Config!$B$12,1)-OFFSET(Datos!$D$1,1,0,Config!$B$12,1))</f>
        <v>0.121540301578638</v>
      </c>
      <c r="D163" s="18" t="n">
        <f aca="true" t="array" ref="D163:D163">KURT(OFFSET(Datos!$D$1,1+A163,0,Config!$B$12,1)-OFFSET(Datos!$D$1,1,0,Config!$B$12,1))</f>
        <v>-0.0553632284295289</v>
      </c>
    </row>
    <row r="164" customFormat="false" ht="15" hidden="false" customHeight="false" outlineLevel="0" collapsed="false">
      <c r="A164" s="2" t="n">
        <v>160</v>
      </c>
      <c r="B164" s="20" t="n">
        <f aca="false">A164*Config!$B$9</f>
        <v>8</v>
      </c>
      <c r="C164" s="18" t="n">
        <f aca="true" t="array" ref="C164:C164">SKEW(OFFSET(Datos!$D$1,1+A164,0,Config!$B$12,1)-OFFSET(Datos!$D$1,1,0,Config!$B$12,1))</f>
        <v>0.110833856649352</v>
      </c>
      <c r="D164" s="18" t="n">
        <f aca="true" t="array" ref="D164:D164">KURT(OFFSET(Datos!$D$1,1+A164,0,Config!$B$12,1)-OFFSET(Datos!$D$1,1,0,Config!$B$12,1))</f>
        <v>-0.00609637199860957</v>
      </c>
    </row>
    <row r="165" customFormat="false" ht="15" hidden="false" customHeight="false" outlineLevel="0" collapsed="false">
      <c r="A165" s="2" t="n">
        <v>161</v>
      </c>
      <c r="B165" s="20" t="n">
        <f aca="false">A165*Config!$B$9</f>
        <v>8.05</v>
      </c>
      <c r="C165" s="18" t="n">
        <f aca="true" t="array" ref="C165:C165">SKEW(OFFSET(Datos!$D$1,1+A165,0,Config!$B$12,1)-OFFSET(Datos!$D$1,1,0,Config!$B$12,1))</f>
        <v>0.0855313825150028</v>
      </c>
      <c r="D165" s="18" t="n">
        <f aca="true" t="array" ref="D165:D165">KURT(OFFSET(Datos!$D$1,1+A165,0,Config!$B$12,1)-OFFSET(Datos!$D$1,1,0,Config!$B$12,1))</f>
        <v>-0.0514121306729036</v>
      </c>
    </row>
    <row r="166" customFormat="false" ht="15" hidden="false" customHeight="false" outlineLevel="0" collapsed="false">
      <c r="A166" s="2" t="n">
        <v>162</v>
      </c>
      <c r="B166" s="20" t="n">
        <f aca="false">A166*Config!$B$9</f>
        <v>8.1</v>
      </c>
      <c r="C166" s="18" t="n">
        <f aca="true" t="array" ref="C166:C166">SKEW(OFFSET(Datos!$D$1,1+A166,0,Config!$B$12,1)-OFFSET(Datos!$D$1,1,0,Config!$B$12,1))</f>
        <v>0.0749010274609508</v>
      </c>
      <c r="D166" s="18" t="n">
        <f aca="true" t="array" ref="D166:D166">KURT(OFFSET(Datos!$D$1,1+A166,0,Config!$B$12,1)-OFFSET(Datos!$D$1,1,0,Config!$B$12,1))</f>
        <v>-0.00960730457929726</v>
      </c>
    </row>
    <row r="167" customFormat="false" ht="15" hidden="false" customHeight="false" outlineLevel="0" collapsed="false">
      <c r="A167" s="2" t="n">
        <v>163</v>
      </c>
      <c r="B167" s="20" t="n">
        <f aca="false">A167*Config!$B$9</f>
        <v>8.15</v>
      </c>
      <c r="C167" s="18" t="n">
        <f aca="true" t="array" ref="C167:C167">SKEW(OFFSET(Datos!$D$1,1+A167,0,Config!$B$12,1)-OFFSET(Datos!$D$1,1,0,Config!$B$12,1))</f>
        <v>0.127959548884746</v>
      </c>
      <c r="D167" s="18" t="n">
        <f aca="true" t="array" ref="D167:D167">KURT(OFFSET(Datos!$D$1,1+A167,0,Config!$B$12,1)-OFFSET(Datos!$D$1,1,0,Config!$B$12,1))</f>
        <v>-0.00417877810493295</v>
      </c>
    </row>
    <row r="168" customFormat="false" ht="15" hidden="false" customHeight="false" outlineLevel="0" collapsed="false">
      <c r="A168" s="2" t="n">
        <v>164</v>
      </c>
      <c r="B168" s="20" t="n">
        <f aca="false">A168*Config!$B$9</f>
        <v>8.2</v>
      </c>
      <c r="C168" s="18" t="n">
        <f aca="true" t="array" ref="C168:C168">SKEW(OFFSET(Datos!$D$1,1+A168,0,Config!$B$12,1)-OFFSET(Datos!$D$1,1,0,Config!$B$12,1))</f>
        <v>0.131208871346908</v>
      </c>
      <c r="D168" s="18" t="n">
        <f aca="true" t="array" ref="D168:D168">KURT(OFFSET(Datos!$D$1,1+A168,0,Config!$B$12,1)-OFFSET(Datos!$D$1,1,0,Config!$B$12,1))</f>
        <v>-0.095656461097223</v>
      </c>
    </row>
    <row r="169" customFormat="false" ht="15" hidden="false" customHeight="false" outlineLevel="0" collapsed="false">
      <c r="A169" s="2" t="n">
        <v>165</v>
      </c>
      <c r="B169" s="20" t="n">
        <f aca="false">A169*Config!$B$9</f>
        <v>8.25</v>
      </c>
      <c r="C169" s="18" t="n">
        <f aca="true" t="array" ref="C169:C169">SKEW(OFFSET(Datos!$D$1,1+A169,0,Config!$B$12,1)-OFFSET(Datos!$D$1,1,0,Config!$B$12,1))</f>
        <v>0.139043842601516</v>
      </c>
      <c r="D169" s="18" t="n">
        <f aca="true" t="array" ref="D169:D169">KURT(OFFSET(Datos!$D$1,1+A169,0,Config!$B$12,1)-OFFSET(Datos!$D$1,1,0,Config!$B$12,1))</f>
        <v>-0.142866559069073</v>
      </c>
    </row>
    <row r="170" customFormat="false" ht="15" hidden="false" customHeight="false" outlineLevel="0" collapsed="false">
      <c r="A170" s="2" t="n">
        <v>166</v>
      </c>
      <c r="B170" s="20" t="n">
        <f aca="false">A170*Config!$B$9</f>
        <v>8.3</v>
      </c>
      <c r="C170" s="18" t="n">
        <f aca="true" t="array" ref="C170:C170">SKEW(OFFSET(Datos!$D$1,1+A170,0,Config!$B$12,1)-OFFSET(Datos!$D$1,1,0,Config!$B$12,1))</f>
        <v>0.124696748687001</v>
      </c>
      <c r="D170" s="18" t="n">
        <f aca="true" t="array" ref="D170:D170">KURT(OFFSET(Datos!$D$1,1+A170,0,Config!$B$12,1)-OFFSET(Datos!$D$1,1,0,Config!$B$12,1))</f>
        <v>-0.0505629471179065</v>
      </c>
    </row>
    <row r="171" customFormat="false" ht="15" hidden="false" customHeight="false" outlineLevel="0" collapsed="false">
      <c r="A171" s="2" t="n">
        <v>167</v>
      </c>
      <c r="B171" s="20" t="n">
        <f aca="false">A171*Config!$B$9</f>
        <v>8.35</v>
      </c>
      <c r="C171" s="18" t="n">
        <f aca="true" t="array" ref="C171:C171">SKEW(OFFSET(Datos!$D$1,1+A171,0,Config!$B$12,1)-OFFSET(Datos!$D$1,1,0,Config!$B$12,1))</f>
        <v>0.11812153132133</v>
      </c>
      <c r="D171" s="18" t="n">
        <f aca="true" t="array" ref="D171:D171">KURT(OFFSET(Datos!$D$1,1+A171,0,Config!$B$12,1)-OFFSET(Datos!$D$1,1,0,Config!$B$12,1))</f>
        <v>-0.140857562931946</v>
      </c>
    </row>
    <row r="172" customFormat="false" ht="15" hidden="false" customHeight="false" outlineLevel="0" collapsed="false">
      <c r="A172" s="2" t="n">
        <v>168</v>
      </c>
      <c r="B172" s="20" t="n">
        <f aca="false">A172*Config!$B$9</f>
        <v>8.4</v>
      </c>
      <c r="C172" s="18" t="n">
        <f aca="true" t="array" ref="C172:C172">SKEW(OFFSET(Datos!$D$1,1+A172,0,Config!$B$12,1)-OFFSET(Datos!$D$1,1,0,Config!$B$12,1))</f>
        <v>0.151899485159803</v>
      </c>
      <c r="D172" s="18" t="n">
        <f aca="true" t="array" ref="D172:D172">KURT(OFFSET(Datos!$D$1,1+A172,0,Config!$B$12,1)-OFFSET(Datos!$D$1,1,0,Config!$B$12,1))</f>
        <v>-0.171964754376156</v>
      </c>
    </row>
    <row r="173" customFormat="false" ht="15" hidden="false" customHeight="false" outlineLevel="0" collapsed="false">
      <c r="A173" s="2" t="n">
        <v>169</v>
      </c>
      <c r="B173" s="20" t="n">
        <f aca="false">A173*Config!$B$9</f>
        <v>8.45</v>
      </c>
      <c r="C173" s="18" t="n">
        <f aca="true" t="array" ref="C173:C173">SKEW(OFFSET(Datos!$D$1,1+A173,0,Config!$B$12,1)-OFFSET(Datos!$D$1,1,0,Config!$B$12,1))</f>
        <v>0.140261603137715</v>
      </c>
      <c r="D173" s="18" t="n">
        <f aca="true" t="array" ref="D173:D173">KURT(OFFSET(Datos!$D$1,1+A173,0,Config!$B$12,1)-OFFSET(Datos!$D$1,1,0,Config!$B$12,1))</f>
        <v>-0.151602674439234</v>
      </c>
    </row>
    <row r="174" customFormat="false" ht="15" hidden="false" customHeight="false" outlineLevel="0" collapsed="false">
      <c r="A174" s="2" t="n">
        <v>170</v>
      </c>
      <c r="B174" s="20" t="n">
        <f aca="false">A174*Config!$B$9</f>
        <v>8.5</v>
      </c>
      <c r="C174" s="18" t="n">
        <f aca="true" t="array" ref="C174:C174">SKEW(OFFSET(Datos!$D$1,1+A174,0,Config!$B$12,1)-OFFSET(Datos!$D$1,1,0,Config!$B$12,1))</f>
        <v>0.141496869095414</v>
      </c>
      <c r="D174" s="18" t="n">
        <f aca="true" t="array" ref="D174:D174">KURT(OFFSET(Datos!$D$1,1+A174,0,Config!$B$12,1)-OFFSET(Datos!$D$1,1,0,Config!$B$12,1))</f>
        <v>-0.142728459124205</v>
      </c>
    </row>
    <row r="175" customFormat="false" ht="15" hidden="false" customHeight="false" outlineLevel="0" collapsed="false">
      <c r="A175" s="2" t="n">
        <v>171</v>
      </c>
      <c r="B175" s="20" t="n">
        <f aca="false">A175*Config!$B$9</f>
        <v>8.55</v>
      </c>
      <c r="C175" s="18" t="n">
        <f aca="true" t="array" ref="C175:C175">SKEW(OFFSET(Datos!$D$1,1+A175,0,Config!$B$12,1)-OFFSET(Datos!$D$1,1,0,Config!$B$12,1))</f>
        <v>0.173627112522805</v>
      </c>
      <c r="D175" s="18" t="n">
        <f aca="true" t="array" ref="D175:D175">KURT(OFFSET(Datos!$D$1,1+A175,0,Config!$B$12,1)-OFFSET(Datos!$D$1,1,0,Config!$B$12,1))</f>
        <v>-0.0908047679277066</v>
      </c>
    </row>
    <row r="176" customFormat="false" ht="15" hidden="false" customHeight="false" outlineLevel="0" collapsed="false">
      <c r="A176" s="2" t="n">
        <v>172</v>
      </c>
      <c r="B176" s="20" t="n">
        <f aca="false">A176*Config!$B$9</f>
        <v>8.6</v>
      </c>
      <c r="C176" s="18" t="n">
        <f aca="true" t="array" ref="C176:C176">SKEW(OFFSET(Datos!$D$1,1+A176,0,Config!$B$12,1)-OFFSET(Datos!$D$1,1,0,Config!$B$12,1))</f>
        <v>0.170459135399479</v>
      </c>
      <c r="D176" s="18" t="n">
        <f aca="true" t="array" ref="D176:D176">KURT(OFFSET(Datos!$D$1,1+A176,0,Config!$B$12,1)-OFFSET(Datos!$D$1,1,0,Config!$B$12,1))</f>
        <v>-0.0666738821800905</v>
      </c>
    </row>
    <row r="177" customFormat="false" ht="15" hidden="false" customHeight="false" outlineLevel="0" collapsed="false">
      <c r="A177" s="2" t="n">
        <v>173</v>
      </c>
      <c r="B177" s="20" t="n">
        <f aca="false">A177*Config!$B$9</f>
        <v>8.65</v>
      </c>
      <c r="C177" s="18" t="n">
        <f aca="true" t="array" ref="C177:C177">SKEW(OFFSET(Datos!$D$1,1+A177,0,Config!$B$12,1)-OFFSET(Datos!$D$1,1,0,Config!$B$12,1))</f>
        <v>0.21022356302487</v>
      </c>
      <c r="D177" s="18" t="n">
        <f aca="true" t="array" ref="D177:D177">KURT(OFFSET(Datos!$D$1,1+A177,0,Config!$B$12,1)-OFFSET(Datos!$D$1,1,0,Config!$B$12,1))</f>
        <v>-0.145167006591673</v>
      </c>
    </row>
    <row r="178" customFormat="false" ht="15" hidden="false" customHeight="false" outlineLevel="0" collapsed="false">
      <c r="A178" s="2" t="n">
        <v>174</v>
      </c>
      <c r="B178" s="20" t="n">
        <f aca="false">A178*Config!$B$9</f>
        <v>8.7</v>
      </c>
      <c r="C178" s="18" t="n">
        <f aca="true" t="array" ref="C178:C178">SKEW(OFFSET(Datos!$D$1,1+A178,0,Config!$B$12,1)-OFFSET(Datos!$D$1,1,0,Config!$B$12,1))</f>
        <v>0.149928029969339</v>
      </c>
      <c r="D178" s="18" t="n">
        <f aca="true" t="array" ref="D178:D178">KURT(OFFSET(Datos!$D$1,1+A178,0,Config!$B$12,1)-OFFSET(Datos!$D$1,1,0,Config!$B$12,1))</f>
        <v>-0.176440164005128</v>
      </c>
    </row>
    <row r="179" customFormat="false" ht="15" hidden="false" customHeight="false" outlineLevel="0" collapsed="false">
      <c r="A179" s="2" t="n">
        <v>175</v>
      </c>
      <c r="B179" s="20" t="n">
        <f aca="false">A179*Config!$B$9</f>
        <v>8.75</v>
      </c>
      <c r="C179" s="18" t="n">
        <f aca="true" t="array" ref="C179:C179">SKEW(OFFSET(Datos!$D$1,1+A179,0,Config!$B$12,1)-OFFSET(Datos!$D$1,1,0,Config!$B$12,1))</f>
        <v>0.179693606712095</v>
      </c>
      <c r="D179" s="18" t="n">
        <f aca="true" t="array" ref="D179:D179">KURT(OFFSET(Datos!$D$1,1+A179,0,Config!$B$12,1)-OFFSET(Datos!$D$1,1,0,Config!$B$12,1))</f>
        <v>-0.137572555753933</v>
      </c>
    </row>
    <row r="180" customFormat="false" ht="15" hidden="false" customHeight="false" outlineLevel="0" collapsed="false">
      <c r="A180" s="2" t="n">
        <v>176</v>
      </c>
      <c r="B180" s="20" t="n">
        <f aca="false">A180*Config!$B$9</f>
        <v>8.8</v>
      </c>
      <c r="C180" s="18" t="n">
        <f aca="true" t="array" ref="C180:C180">SKEW(OFFSET(Datos!$D$1,1+A180,0,Config!$B$12,1)-OFFSET(Datos!$D$1,1,0,Config!$B$12,1))</f>
        <v>0.174110656761351</v>
      </c>
      <c r="D180" s="18" t="n">
        <f aca="true" t="array" ref="D180:D180">KURT(OFFSET(Datos!$D$1,1+A180,0,Config!$B$12,1)-OFFSET(Datos!$D$1,1,0,Config!$B$12,1))</f>
        <v>-0.117315019383412</v>
      </c>
    </row>
    <row r="181" customFormat="false" ht="15" hidden="false" customHeight="false" outlineLevel="0" collapsed="false">
      <c r="A181" s="2" t="n">
        <v>177</v>
      </c>
      <c r="B181" s="20" t="n">
        <f aca="false">A181*Config!$B$9</f>
        <v>8.85</v>
      </c>
      <c r="C181" s="18" t="n">
        <f aca="true" t="array" ref="C181:C181">SKEW(OFFSET(Datos!$D$1,1+A181,0,Config!$B$12,1)-OFFSET(Datos!$D$1,1,0,Config!$B$12,1))</f>
        <v>0.217411806662797</v>
      </c>
      <c r="D181" s="18" t="n">
        <f aca="true" t="array" ref="D181:D181">KURT(OFFSET(Datos!$D$1,1+A181,0,Config!$B$12,1)-OFFSET(Datos!$D$1,1,0,Config!$B$12,1))</f>
        <v>-0.156105018848664</v>
      </c>
    </row>
    <row r="182" customFormat="false" ht="15" hidden="false" customHeight="false" outlineLevel="0" collapsed="false">
      <c r="A182" s="2" t="n">
        <v>178</v>
      </c>
      <c r="B182" s="20" t="n">
        <f aca="false">A182*Config!$B$9</f>
        <v>8.9</v>
      </c>
      <c r="C182" s="18" t="n">
        <f aca="true" t="array" ref="C182:C182">SKEW(OFFSET(Datos!$D$1,1+A182,0,Config!$B$12,1)-OFFSET(Datos!$D$1,1,0,Config!$B$12,1))</f>
        <v>0.209461231022398</v>
      </c>
      <c r="D182" s="18" t="n">
        <f aca="true" t="array" ref="D182:D182">KURT(OFFSET(Datos!$D$1,1+A182,0,Config!$B$12,1)-OFFSET(Datos!$D$1,1,0,Config!$B$12,1))</f>
        <v>-0.16390297209377</v>
      </c>
    </row>
    <row r="183" customFormat="false" ht="15" hidden="false" customHeight="false" outlineLevel="0" collapsed="false">
      <c r="A183" s="2" t="n">
        <v>179</v>
      </c>
      <c r="B183" s="20" t="n">
        <f aca="false">A183*Config!$B$9</f>
        <v>8.95</v>
      </c>
      <c r="C183" s="18" t="n">
        <f aca="true" t="array" ref="C183:C183">SKEW(OFFSET(Datos!$D$1,1+A183,0,Config!$B$12,1)-OFFSET(Datos!$D$1,1,0,Config!$B$12,1))</f>
        <v>0.163728815183108</v>
      </c>
      <c r="D183" s="18" t="n">
        <f aca="true" t="array" ref="D183:D183">KURT(OFFSET(Datos!$D$1,1+A183,0,Config!$B$12,1)-OFFSET(Datos!$D$1,1,0,Config!$B$12,1))</f>
        <v>-0.150259936197359</v>
      </c>
    </row>
    <row r="184" customFormat="false" ht="15" hidden="false" customHeight="false" outlineLevel="0" collapsed="false">
      <c r="A184" s="2" t="n">
        <v>180</v>
      </c>
      <c r="B184" s="20" t="n">
        <f aca="false">A184*Config!$B$9</f>
        <v>9</v>
      </c>
      <c r="C184" s="18" t="n">
        <f aca="true" t="array" ref="C184:C184">SKEW(OFFSET(Datos!$D$1,1+A184,0,Config!$B$12,1)-OFFSET(Datos!$D$1,1,0,Config!$B$12,1))</f>
        <v>0.247670913604682</v>
      </c>
      <c r="D184" s="18" t="n">
        <f aca="true" t="array" ref="D184:D184">KURT(OFFSET(Datos!$D$1,1+A184,0,Config!$B$12,1)-OFFSET(Datos!$D$1,1,0,Config!$B$12,1))</f>
        <v>-0.114397300242981</v>
      </c>
    </row>
    <row r="185" customFormat="false" ht="15" hidden="false" customHeight="false" outlineLevel="0" collapsed="false">
      <c r="A185" s="2" t="n">
        <v>181</v>
      </c>
      <c r="B185" s="20" t="n">
        <f aca="false">A185*Config!$B$9</f>
        <v>9.05</v>
      </c>
      <c r="C185" s="18" t="n">
        <f aca="true" t="array" ref="C185:C185">SKEW(OFFSET(Datos!$D$1,1+A185,0,Config!$B$12,1)-OFFSET(Datos!$D$1,1,0,Config!$B$12,1))</f>
        <v>0.240126965985944</v>
      </c>
      <c r="D185" s="18" t="n">
        <f aca="true" t="array" ref="D185:D185">KURT(OFFSET(Datos!$D$1,1+A185,0,Config!$B$12,1)-OFFSET(Datos!$D$1,1,0,Config!$B$12,1))</f>
        <v>-0.117136162381917</v>
      </c>
    </row>
    <row r="186" customFormat="false" ht="15" hidden="false" customHeight="false" outlineLevel="0" collapsed="false">
      <c r="A186" s="2" t="n">
        <v>182</v>
      </c>
      <c r="B186" s="20" t="n">
        <f aca="false">A186*Config!$B$9</f>
        <v>9.1</v>
      </c>
      <c r="C186" s="18" t="n">
        <f aca="true" t="array" ref="C186:C186">SKEW(OFFSET(Datos!$D$1,1+A186,0,Config!$B$12,1)-OFFSET(Datos!$D$1,1,0,Config!$B$12,1))</f>
        <v>0.185972527368927</v>
      </c>
      <c r="D186" s="18" t="n">
        <f aca="true" t="array" ref="D186:D186">KURT(OFFSET(Datos!$D$1,1+A186,0,Config!$B$12,1)-OFFSET(Datos!$D$1,1,0,Config!$B$12,1))</f>
        <v>-0.117091586626087</v>
      </c>
    </row>
    <row r="187" customFormat="false" ht="15" hidden="false" customHeight="false" outlineLevel="0" collapsed="false">
      <c r="A187" s="2" t="n">
        <v>183</v>
      </c>
      <c r="B187" s="20" t="n">
        <f aca="false">A187*Config!$B$9</f>
        <v>9.15</v>
      </c>
      <c r="C187" s="18" t="n">
        <f aca="true" t="array" ref="C187:C187">SKEW(OFFSET(Datos!$D$1,1+A187,0,Config!$B$12,1)-OFFSET(Datos!$D$1,1,0,Config!$B$12,1))</f>
        <v>0.231793738511607</v>
      </c>
      <c r="D187" s="18" t="n">
        <f aca="true" t="array" ref="D187:D187">KURT(OFFSET(Datos!$D$1,1+A187,0,Config!$B$12,1)-OFFSET(Datos!$D$1,1,0,Config!$B$12,1))</f>
        <v>-0.112432896464759</v>
      </c>
    </row>
    <row r="188" customFormat="false" ht="15" hidden="false" customHeight="false" outlineLevel="0" collapsed="false">
      <c r="A188" s="2" t="n">
        <v>184</v>
      </c>
      <c r="B188" s="20" t="n">
        <f aca="false">A188*Config!$B$9</f>
        <v>9.2</v>
      </c>
      <c r="C188" s="18" t="n">
        <f aca="true" t="array" ref="C188:C188">SKEW(OFFSET(Datos!$D$1,1+A188,0,Config!$B$12,1)-OFFSET(Datos!$D$1,1,0,Config!$B$12,1))</f>
        <v>0.231321721589488</v>
      </c>
      <c r="D188" s="18" t="n">
        <f aca="true" t="array" ref="D188:D188">KURT(OFFSET(Datos!$D$1,1+A188,0,Config!$B$12,1)-OFFSET(Datos!$D$1,1,0,Config!$B$12,1))</f>
        <v>-0.0645416240778136</v>
      </c>
    </row>
    <row r="189" customFormat="false" ht="15" hidden="false" customHeight="false" outlineLevel="0" collapsed="false">
      <c r="A189" s="2" t="n">
        <v>185</v>
      </c>
      <c r="B189" s="20" t="n">
        <f aca="false">A189*Config!$B$9</f>
        <v>9.25</v>
      </c>
      <c r="C189" s="18" t="n">
        <f aca="true" t="array" ref="C189:C189">SKEW(OFFSET(Datos!$D$1,1+A189,0,Config!$B$12,1)-OFFSET(Datos!$D$1,1,0,Config!$B$12,1))</f>
        <v>0.229599004693196</v>
      </c>
      <c r="D189" s="18" t="n">
        <f aca="true" t="array" ref="D189:D189">KURT(OFFSET(Datos!$D$1,1+A189,0,Config!$B$12,1)-OFFSET(Datos!$D$1,1,0,Config!$B$12,1))</f>
        <v>-0.0962870577949775</v>
      </c>
    </row>
    <row r="190" customFormat="false" ht="15" hidden="false" customHeight="false" outlineLevel="0" collapsed="false">
      <c r="A190" s="2" t="n">
        <v>186</v>
      </c>
      <c r="B190" s="20" t="n">
        <f aca="false">A190*Config!$B$9</f>
        <v>9.3</v>
      </c>
      <c r="C190" s="18" t="n">
        <f aca="true" t="array" ref="C190:C190">SKEW(OFFSET(Datos!$D$1,1+A190,0,Config!$B$12,1)-OFFSET(Datos!$D$1,1,0,Config!$B$12,1))</f>
        <v>0.256635364188702</v>
      </c>
      <c r="D190" s="18" t="n">
        <f aca="true" t="array" ref="D190:D190">KURT(OFFSET(Datos!$D$1,1+A190,0,Config!$B$12,1)-OFFSET(Datos!$D$1,1,0,Config!$B$12,1))</f>
        <v>-0.095185350541251</v>
      </c>
    </row>
    <row r="191" customFormat="false" ht="15" hidden="false" customHeight="false" outlineLevel="0" collapsed="false">
      <c r="A191" s="2" t="n">
        <v>187</v>
      </c>
      <c r="B191" s="20" t="n">
        <f aca="false">A191*Config!$B$9</f>
        <v>9.35</v>
      </c>
      <c r="C191" s="18" t="n">
        <f aca="true" t="array" ref="C191:C191">SKEW(OFFSET(Datos!$D$1,1+A191,0,Config!$B$12,1)-OFFSET(Datos!$D$1,1,0,Config!$B$12,1))</f>
        <v>0.254016348342274</v>
      </c>
      <c r="D191" s="18" t="n">
        <f aca="true" t="array" ref="D191:D191">KURT(OFFSET(Datos!$D$1,1+A191,0,Config!$B$12,1)-OFFSET(Datos!$D$1,1,0,Config!$B$12,1))</f>
        <v>-0.110668457897021</v>
      </c>
    </row>
    <row r="192" customFormat="false" ht="15" hidden="false" customHeight="false" outlineLevel="0" collapsed="false">
      <c r="A192" s="2" t="n">
        <v>188</v>
      </c>
      <c r="B192" s="20" t="n">
        <f aca="false">A192*Config!$B$9</f>
        <v>9.4</v>
      </c>
      <c r="C192" s="18" t="n">
        <f aca="true" t="array" ref="C192:C192">SKEW(OFFSET(Datos!$D$1,1+A192,0,Config!$B$12,1)-OFFSET(Datos!$D$1,1,0,Config!$B$12,1))</f>
        <v>0.269908578248291</v>
      </c>
      <c r="D192" s="18" t="n">
        <f aca="true" t="array" ref="D192:D192">KURT(OFFSET(Datos!$D$1,1+A192,0,Config!$B$12,1)-OFFSET(Datos!$D$1,1,0,Config!$B$12,1))</f>
        <v>-0.0819145994036132</v>
      </c>
    </row>
    <row r="193" customFormat="false" ht="15" hidden="false" customHeight="false" outlineLevel="0" collapsed="false">
      <c r="A193" s="2" t="n">
        <v>189</v>
      </c>
      <c r="B193" s="20" t="n">
        <f aca="false">A193*Config!$B$9</f>
        <v>9.45</v>
      </c>
      <c r="C193" s="18" t="n">
        <f aca="true" t="array" ref="C193:C193">SKEW(OFFSET(Datos!$D$1,1+A193,0,Config!$B$12,1)-OFFSET(Datos!$D$1,1,0,Config!$B$12,1))</f>
        <v>0.25172542431581</v>
      </c>
      <c r="D193" s="18" t="n">
        <f aca="true" t="array" ref="D193:D193">KURT(OFFSET(Datos!$D$1,1+A193,0,Config!$B$12,1)-OFFSET(Datos!$D$1,1,0,Config!$B$12,1))</f>
        <v>-0.0976317198956007</v>
      </c>
    </row>
    <row r="194" customFormat="false" ht="15" hidden="false" customHeight="false" outlineLevel="0" collapsed="false">
      <c r="A194" s="2" t="n">
        <v>190</v>
      </c>
      <c r="B194" s="20" t="n">
        <f aca="false">A194*Config!$B$9</f>
        <v>9.5</v>
      </c>
      <c r="C194" s="18" t="n">
        <f aca="true" t="array" ref="C194:C194">SKEW(OFFSET(Datos!$D$1,1+A194,0,Config!$B$12,1)-OFFSET(Datos!$D$1,1,0,Config!$B$12,1))</f>
        <v>0.221673079630979</v>
      </c>
      <c r="D194" s="18" t="n">
        <f aca="true" t="array" ref="D194:D194">KURT(OFFSET(Datos!$D$1,1+A194,0,Config!$B$12,1)-OFFSET(Datos!$D$1,1,0,Config!$B$12,1))</f>
        <v>-0.12413863184935</v>
      </c>
    </row>
    <row r="195" customFormat="false" ht="15" hidden="false" customHeight="false" outlineLevel="0" collapsed="false">
      <c r="A195" s="2" t="n">
        <v>191</v>
      </c>
      <c r="B195" s="20" t="n">
        <f aca="false">A195*Config!$B$9</f>
        <v>9.55</v>
      </c>
      <c r="C195" s="18" t="n">
        <f aca="true" t="array" ref="C195:C195">SKEW(OFFSET(Datos!$D$1,1+A195,0,Config!$B$12,1)-OFFSET(Datos!$D$1,1,0,Config!$B$12,1))</f>
        <v>0.231706273295529</v>
      </c>
      <c r="D195" s="18" t="n">
        <f aca="true" t="array" ref="D195:D195">KURT(OFFSET(Datos!$D$1,1+A195,0,Config!$B$12,1)-OFFSET(Datos!$D$1,1,0,Config!$B$12,1))</f>
        <v>-0.114420267551515</v>
      </c>
    </row>
    <row r="196" customFormat="false" ht="15" hidden="false" customHeight="false" outlineLevel="0" collapsed="false">
      <c r="A196" s="2" t="n">
        <v>192</v>
      </c>
      <c r="B196" s="20" t="n">
        <f aca="false">A196*Config!$B$9</f>
        <v>9.6</v>
      </c>
      <c r="C196" s="18" t="n">
        <f aca="true" t="array" ref="C196:C196">SKEW(OFFSET(Datos!$D$1,1+A196,0,Config!$B$12,1)-OFFSET(Datos!$D$1,1,0,Config!$B$12,1))</f>
        <v>0.237216549856563</v>
      </c>
      <c r="D196" s="18" t="n">
        <f aca="true" t="array" ref="D196:D196">KURT(OFFSET(Datos!$D$1,1+A196,0,Config!$B$12,1)-OFFSET(Datos!$D$1,1,0,Config!$B$12,1))</f>
        <v>-0.119858509984622</v>
      </c>
    </row>
    <row r="197" customFormat="false" ht="15" hidden="false" customHeight="false" outlineLevel="0" collapsed="false">
      <c r="A197" s="2" t="n">
        <v>193</v>
      </c>
      <c r="B197" s="20" t="n">
        <f aca="false">A197*Config!$B$9</f>
        <v>9.65</v>
      </c>
      <c r="C197" s="18" t="n">
        <f aca="true" t="array" ref="C197:C197">SKEW(OFFSET(Datos!$D$1,1+A197,0,Config!$B$12,1)-OFFSET(Datos!$D$1,1,0,Config!$B$12,1))</f>
        <v>0.267677766700056</v>
      </c>
      <c r="D197" s="18" t="n">
        <f aca="true" t="array" ref="D197:D197">KURT(OFFSET(Datos!$D$1,1+A197,0,Config!$B$12,1)-OFFSET(Datos!$D$1,1,0,Config!$B$12,1))</f>
        <v>-0.0916712057707234</v>
      </c>
    </row>
    <row r="198" customFormat="false" ht="15" hidden="false" customHeight="false" outlineLevel="0" collapsed="false">
      <c r="A198" s="2" t="n">
        <v>194</v>
      </c>
      <c r="B198" s="20" t="n">
        <f aca="false">A198*Config!$B$9</f>
        <v>9.7</v>
      </c>
      <c r="C198" s="18" t="n">
        <f aca="true" t="array" ref="C198:C198">SKEW(OFFSET(Datos!$D$1,1+A198,0,Config!$B$12,1)-OFFSET(Datos!$D$1,1,0,Config!$B$12,1))</f>
        <v>0.242637240523173</v>
      </c>
      <c r="D198" s="18" t="n">
        <f aca="true" t="array" ref="D198:D198">KURT(OFFSET(Datos!$D$1,1+A198,0,Config!$B$12,1)-OFFSET(Datos!$D$1,1,0,Config!$B$12,1))</f>
        <v>-0.155681111021592</v>
      </c>
    </row>
    <row r="199" customFormat="false" ht="15" hidden="false" customHeight="false" outlineLevel="0" collapsed="false">
      <c r="A199" s="2" t="n">
        <v>195</v>
      </c>
      <c r="B199" s="20" t="n">
        <f aca="false">A199*Config!$B$9</f>
        <v>9.75</v>
      </c>
      <c r="C199" s="18" t="n">
        <f aca="true" t="array" ref="C199:C199">SKEW(OFFSET(Datos!$D$1,1+A199,0,Config!$B$12,1)-OFFSET(Datos!$D$1,1,0,Config!$B$12,1))</f>
        <v>0.300497494208747</v>
      </c>
      <c r="D199" s="18" t="n">
        <f aca="true" t="array" ref="D199:D199">KURT(OFFSET(Datos!$D$1,1+A199,0,Config!$B$12,1)-OFFSET(Datos!$D$1,1,0,Config!$B$12,1))</f>
        <v>-0.111865471495568</v>
      </c>
    </row>
    <row r="200" customFormat="false" ht="15" hidden="false" customHeight="false" outlineLevel="0" collapsed="false">
      <c r="A200" s="2" t="n">
        <v>196</v>
      </c>
      <c r="B200" s="20" t="n">
        <f aca="false">A200*Config!$B$9</f>
        <v>9.8</v>
      </c>
      <c r="C200" s="18" t="n">
        <f aca="true" t="array" ref="C200:C200">SKEW(OFFSET(Datos!$D$1,1+A200,0,Config!$B$12,1)-OFFSET(Datos!$D$1,1,0,Config!$B$12,1))</f>
        <v>0.281206220053306</v>
      </c>
      <c r="D200" s="18" t="n">
        <f aca="true" t="array" ref="D200:D200">KURT(OFFSET(Datos!$D$1,1+A200,0,Config!$B$12,1)-OFFSET(Datos!$D$1,1,0,Config!$B$12,1))</f>
        <v>-0.1164591100373</v>
      </c>
    </row>
    <row r="201" customFormat="false" ht="15" hidden="false" customHeight="false" outlineLevel="0" collapsed="false">
      <c r="A201" s="2" t="n">
        <v>197</v>
      </c>
      <c r="B201" s="20" t="n">
        <f aca="false">A201*Config!$B$9</f>
        <v>9.85</v>
      </c>
      <c r="C201" s="18" t="n">
        <f aca="true" t="array" ref="C201:C201">SKEW(OFFSET(Datos!$D$1,1+A201,0,Config!$B$12,1)-OFFSET(Datos!$D$1,1,0,Config!$B$12,1))</f>
        <v>0.24296589474339</v>
      </c>
      <c r="D201" s="18" t="n">
        <f aca="true" t="array" ref="D201:D201">KURT(OFFSET(Datos!$D$1,1+A201,0,Config!$B$12,1)-OFFSET(Datos!$D$1,1,0,Config!$B$12,1))</f>
        <v>-0.122989886612042</v>
      </c>
    </row>
    <row r="202" customFormat="false" ht="15" hidden="false" customHeight="false" outlineLevel="0" collapsed="false">
      <c r="A202" s="2" t="n">
        <v>198</v>
      </c>
      <c r="B202" s="20" t="n">
        <f aca="false">A202*Config!$B$9</f>
        <v>9.9</v>
      </c>
      <c r="C202" s="18" t="n">
        <f aca="true" t="array" ref="C202:C202">SKEW(OFFSET(Datos!$D$1,1+A202,0,Config!$B$12,1)-OFFSET(Datos!$D$1,1,0,Config!$B$12,1))</f>
        <v>0.285638755254429</v>
      </c>
      <c r="D202" s="18" t="n">
        <f aca="true" t="array" ref="D202:D202">KURT(OFFSET(Datos!$D$1,1+A202,0,Config!$B$12,1)-OFFSET(Datos!$D$1,1,0,Config!$B$12,1))</f>
        <v>-0.182566559949517</v>
      </c>
    </row>
    <row r="203" customFormat="false" ht="15" hidden="false" customHeight="false" outlineLevel="0" collapsed="false">
      <c r="A203" s="2" t="n">
        <v>199</v>
      </c>
      <c r="B203" s="20" t="n">
        <f aca="false">A203*Config!$B$9</f>
        <v>9.95</v>
      </c>
      <c r="C203" s="18" t="n">
        <f aca="true" t="array" ref="C203:C203">SKEW(OFFSET(Datos!$D$1,1+A203,0,Config!$B$12,1)-OFFSET(Datos!$D$1,1,0,Config!$B$12,1))</f>
        <v>0.286667699017326</v>
      </c>
      <c r="D203" s="18" t="n">
        <f aca="true" t="array" ref="D203:D203">KURT(OFFSET(Datos!$D$1,1+A203,0,Config!$B$12,1)-OFFSET(Datos!$D$1,1,0,Config!$B$12,1))</f>
        <v>-0.127584800867945</v>
      </c>
    </row>
    <row r="204" customFormat="false" ht="15" hidden="false" customHeight="false" outlineLevel="0" collapsed="false">
      <c r="A204" s="2" t="n">
        <v>200</v>
      </c>
      <c r="B204" s="20" t="n">
        <f aca="false">A204*Config!$B$9</f>
        <v>10</v>
      </c>
      <c r="C204" s="18" t="n">
        <f aca="true" t="array" ref="C204:C204">SKEW(OFFSET(Datos!$D$1,1+A204,0,Config!$B$12,1)-OFFSET(Datos!$D$1,1,0,Config!$B$12,1))</f>
        <v>0.257226499514147</v>
      </c>
      <c r="D204" s="18" t="n">
        <f aca="true" t="array" ref="D204:D204">KURT(OFFSET(Datos!$D$1,1+A204,0,Config!$B$12,1)-OFFSET(Datos!$D$1,1,0,Config!$B$12,1))</f>
        <v>-0.124460242020064</v>
      </c>
    </row>
    <row r="205" customFormat="false" ht="15" hidden="false" customHeight="false" outlineLevel="0" collapsed="false">
      <c r="A205" s="2" t="n">
        <v>201</v>
      </c>
      <c r="B205" s="20" t="n">
        <f aca="false">A205*Config!$B$9</f>
        <v>10.05</v>
      </c>
      <c r="C205" s="18" t="n">
        <f aca="true" t="array" ref="C205:C205">SKEW(OFFSET(Datos!$D$1,1+A205,0,Config!$B$12,1)-OFFSET(Datos!$D$1,1,0,Config!$B$12,1))</f>
        <v>0.311554170612215</v>
      </c>
      <c r="D205" s="18" t="n">
        <f aca="true" t="array" ref="D205:D205">KURT(OFFSET(Datos!$D$1,1+A205,0,Config!$B$12,1)-OFFSET(Datos!$D$1,1,0,Config!$B$12,1))</f>
        <v>-0.0549873496466131</v>
      </c>
    </row>
    <row r="206" customFormat="false" ht="15" hidden="false" customHeight="false" outlineLevel="0" collapsed="false">
      <c r="A206" s="2" t="n">
        <v>202</v>
      </c>
      <c r="B206" s="20" t="n">
        <f aca="false">A206*Config!$B$9</f>
        <v>10.1</v>
      </c>
      <c r="C206" s="18" t="n">
        <f aca="true" t="array" ref="C206:C206">SKEW(OFFSET(Datos!$D$1,1+A206,0,Config!$B$12,1)-OFFSET(Datos!$D$1,1,0,Config!$B$12,1))</f>
        <v>0.278243324972222</v>
      </c>
      <c r="D206" s="18" t="n">
        <f aca="true" t="array" ref="D206:D206">KURT(OFFSET(Datos!$D$1,1+A206,0,Config!$B$12,1)-OFFSET(Datos!$D$1,1,0,Config!$B$12,1))</f>
        <v>-0.133059638705459</v>
      </c>
    </row>
    <row r="207" customFormat="false" ht="15" hidden="false" customHeight="false" outlineLevel="0" collapsed="false">
      <c r="A207" s="2" t="n">
        <v>203</v>
      </c>
      <c r="B207" s="20" t="n">
        <f aca="false">A207*Config!$B$9</f>
        <v>10.15</v>
      </c>
      <c r="C207" s="18" t="n">
        <f aca="true" t="array" ref="C207:C207">SKEW(OFFSET(Datos!$D$1,1+A207,0,Config!$B$12,1)-OFFSET(Datos!$D$1,1,0,Config!$B$12,1))</f>
        <v>0.277942662343505</v>
      </c>
      <c r="D207" s="18" t="n">
        <f aca="true" t="array" ref="D207:D207">KURT(OFFSET(Datos!$D$1,1+A207,0,Config!$B$12,1)-OFFSET(Datos!$D$1,1,0,Config!$B$12,1))</f>
        <v>-0.181625623441384</v>
      </c>
    </row>
    <row r="208" customFormat="false" ht="15" hidden="false" customHeight="false" outlineLevel="0" collapsed="false">
      <c r="A208" s="2" t="n">
        <v>204</v>
      </c>
      <c r="B208" s="20" t="n">
        <f aca="false">A208*Config!$B$9</f>
        <v>10.2</v>
      </c>
      <c r="C208" s="18" t="n">
        <f aca="true" t="array" ref="C208:C208">SKEW(OFFSET(Datos!$D$1,1+A208,0,Config!$B$12,1)-OFFSET(Datos!$D$1,1,0,Config!$B$12,1))</f>
        <v>0.295311633045691</v>
      </c>
      <c r="D208" s="18" t="n">
        <f aca="true" t="array" ref="D208:D208">KURT(OFFSET(Datos!$D$1,1+A208,0,Config!$B$12,1)-OFFSET(Datos!$D$1,1,0,Config!$B$12,1))</f>
        <v>-0.158914678531689</v>
      </c>
    </row>
    <row r="209" customFormat="false" ht="15" hidden="false" customHeight="false" outlineLevel="0" collapsed="false">
      <c r="A209" s="2" t="n">
        <v>205</v>
      </c>
      <c r="B209" s="20" t="n">
        <f aca="false">A209*Config!$B$9</f>
        <v>10.25</v>
      </c>
      <c r="C209" s="18" t="n">
        <f aca="true" t="array" ref="C209:C209">SKEW(OFFSET(Datos!$D$1,1+A209,0,Config!$B$12,1)-OFFSET(Datos!$D$1,1,0,Config!$B$12,1))</f>
        <v>0.297734951632691</v>
      </c>
      <c r="D209" s="18" t="n">
        <f aca="true" t="array" ref="D209:D209">KURT(OFFSET(Datos!$D$1,1+A209,0,Config!$B$12,1)-OFFSET(Datos!$D$1,1,0,Config!$B$12,1))</f>
        <v>-0.0612986106680795</v>
      </c>
    </row>
    <row r="210" customFormat="false" ht="15" hidden="false" customHeight="false" outlineLevel="0" collapsed="false">
      <c r="A210" s="2" t="n">
        <v>206</v>
      </c>
      <c r="B210" s="20" t="n">
        <f aca="false">A210*Config!$B$9</f>
        <v>10.3</v>
      </c>
      <c r="C210" s="18" t="n">
        <f aca="true" t="array" ref="C210:C210">SKEW(OFFSET(Datos!$D$1,1+A210,0,Config!$B$12,1)-OFFSET(Datos!$D$1,1,0,Config!$B$12,1))</f>
        <v>0.287807993668551</v>
      </c>
      <c r="D210" s="18" t="n">
        <f aca="true" t="array" ref="D210:D210">KURT(OFFSET(Datos!$D$1,1+A210,0,Config!$B$12,1)-OFFSET(Datos!$D$1,1,0,Config!$B$12,1))</f>
        <v>-0.0654856021626933</v>
      </c>
    </row>
    <row r="211" customFormat="false" ht="15" hidden="false" customHeight="false" outlineLevel="0" collapsed="false">
      <c r="A211" s="2" t="n">
        <v>207</v>
      </c>
      <c r="B211" s="20" t="n">
        <f aca="false">A211*Config!$B$9</f>
        <v>10.35</v>
      </c>
      <c r="C211" s="18" t="n">
        <f aca="true" t="array" ref="C211:C211">SKEW(OFFSET(Datos!$D$1,1+A211,0,Config!$B$12,1)-OFFSET(Datos!$D$1,1,0,Config!$B$12,1))</f>
        <v>0.283929459914571</v>
      </c>
      <c r="D211" s="18" t="n">
        <f aca="true" t="array" ref="D211:D211">KURT(OFFSET(Datos!$D$1,1+A211,0,Config!$B$12,1)-OFFSET(Datos!$D$1,1,0,Config!$B$12,1))</f>
        <v>-0.181801752065862</v>
      </c>
    </row>
    <row r="212" customFormat="false" ht="15" hidden="false" customHeight="false" outlineLevel="0" collapsed="false">
      <c r="A212" s="2" t="n">
        <v>208</v>
      </c>
      <c r="B212" s="20" t="n">
        <f aca="false">A212*Config!$B$9</f>
        <v>10.4</v>
      </c>
      <c r="C212" s="18" t="n">
        <f aca="true" t="array" ref="C212:C212">SKEW(OFFSET(Datos!$D$1,1+A212,0,Config!$B$12,1)-OFFSET(Datos!$D$1,1,0,Config!$B$12,1))</f>
        <v>0.298767864241058</v>
      </c>
      <c r="D212" s="18" t="n">
        <f aca="true" t="array" ref="D212:D212">KURT(OFFSET(Datos!$D$1,1+A212,0,Config!$B$12,1)-OFFSET(Datos!$D$1,1,0,Config!$B$12,1))</f>
        <v>-0.0906008943345364</v>
      </c>
    </row>
    <row r="213" customFormat="false" ht="15" hidden="false" customHeight="false" outlineLevel="0" collapsed="false">
      <c r="A213" s="2" t="n">
        <v>209</v>
      </c>
      <c r="B213" s="20" t="n">
        <f aca="false">A213*Config!$B$9</f>
        <v>10.45</v>
      </c>
      <c r="C213" s="18" t="n">
        <f aca="true" t="array" ref="C213:C213">SKEW(OFFSET(Datos!$D$1,1+A213,0,Config!$B$12,1)-OFFSET(Datos!$D$1,1,0,Config!$B$12,1))</f>
        <v>0.293477539230344</v>
      </c>
      <c r="D213" s="18" t="n">
        <f aca="true" t="array" ref="D213:D213">KURT(OFFSET(Datos!$D$1,1+A213,0,Config!$B$12,1)-OFFSET(Datos!$D$1,1,0,Config!$B$12,1))</f>
        <v>-0.160345630125641</v>
      </c>
    </row>
    <row r="214" customFormat="false" ht="15" hidden="false" customHeight="false" outlineLevel="0" collapsed="false">
      <c r="A214" s="2" t="n">
        <v>210</v>
      </c>
      <c r="B214" s="20" t="n">
        <f aca="false">A214*Config!$B$9</f>
        <v>10.5</v>
      </c>
      <c r="C214" s="18" t="n">
        <f aca="true" t="array" ref="C214:C214">SKEW(OFFSET(Datos!$D$1,1+A214,0,Config!$B$12,1)-OFFSET(Datos!$D$1,1,0,Config!$B$12,1))</f>
        <v>0.339543723966515</v>
      </c>
      <c r="D214" s="18" t="n">
        <f aca="true" t="array" ref="D214:D214">KURT(OFFSET(Datos!$D$1,1+A214,0,Config!$B$12,1)-OFFSET(Datos!$D$1,1,0,Config!$B$12,1))</f>
        <v>-0.181638761307193</v>
      </c>
    </row>
    <row r="215" customFormat="false" ht="15" hidden="false" customHeight="false" outlineLevel="0" collapsed="false">
      <c r="A215" s="2" t="n">
        <v>211</v>
      </c>
      <c r="B215" s="20" t="n">
        <f aca="false">A215*Config!$B$9</f>
        <v>10.55</v>
      </c>
      <c r="C215" s="18" t="n">
        <f aca="true" t="array" ref="C215:C215">SKEW(OFFSET(Datos!$D$1,1+A215,0,Config!$B$12,1)-OFFSET(Datos!$D$1,1,0,Config!$B$12,1))</f>
        <v>0.306452025981523</v>
      </c>
      <c r="D215" s="18" t="n">
        <f aca="true" t="array" ref="D215:D215">KURT(OFFSET(Datos!$D$1,1+A215,0,Config!$B$12,1)-OFFSET(Datos!$D$1,1,0,Config!$B$12,1))</f>
        <v>-0.0835678326010414</v>
      </c>
    </row>
    <row r="216" customFormat="false" ht="15" hidden="false" customHeight="false" outlineLevel="0" collapsed="false">
      <c r="A216" s="2" t="n">
        <v>212</v>
      </c>
      <c r="B216" s="20" t="n">
        <f aca="false">A216*Config!$B$9</f>
        <v>10.6</v>
      </c>
      <c r="C216" s="18" t="n">
        <f aca="true" t="array" ref="C216:C216">SKEW(OFFSET(Datos!$D$1,1+A216,0,Config!$B$12,1)-OFFSET(Datos!$D$1,1,0,Config!$B$12,1))</f>
        <v>0.30022256408371</v>
      </c>
      <c r="D216" s="18" t="n">
        <f aca="true" t="array" ref="D216:D216">KURT(OFFSET(Datos!$D$1,1+A216,0,Config!$B$12,1)-OFFSET(Datos!$D$1,1,0,Config!$B$12,1))</f>
        <v>-0.0680073042912257</v>
      </c>
    </row>
    <row r="217" customFormat="false" ht="15" hidden="false" customHeight="false" outlineLevel="0" collapsed="false">
      <c r="A217" s="2" t="n">
        <v>213</v>
      </c>
      <c r="B217" s="20" t="n">
        <f aca="false">A217*Config!$B$9</f>
        <v>10.65</v>
      </c>
      <c r="C217" s="18" t="n">
        <f aca="true" t="array" ref="C217:C217">SKEW(OFFSET(Datos!$D$1,1+A217,0,Config!$B$12,1)-OFFSET(Datos!$D$1,1,0,Config!$B$12,1))</f>
        <v>0.311632425496152</v>
      </c>
      <c r="D217" s="18" t="n">
        <f aca="true" t="array" ref="D217:D217">KURT(OFFSET(Datos!$D$1,1+A217,0,Config!$B$12,1)-OFFSET(Datos!$D$1,1,0,Config!$B$12,1))</f>
        <v>-0.0994504290184248</v>
      </c>
    </row>
    <row r="218" customFormat="false" ht="15" hidden="false" customHeight="false" outlineLevel="0" collapsed="false">
      <c r="A218" s="2" t="n">
        <v>214</v>
      </c>
      <c r="B218" s="20" t="n">
        <f aca="false">A218*Config!$B$9</f>
        <v>10.7</v>
      </c>
      <c r="C218" s="18" t="n">
        <f aca="true" t="array" ref="C218:C218">SKEW(OFFSET(Datos!$D$1,1+A218,0,Config!$B$12,1)-OFFSET(Datos!$D$1,1,0,Config!$B$12,1))</f>
        <v>0.305731077959094</v>
      </c>
      <c r="D218" s="18" t="n">
        <f aca="true" t="array" ref="D218:D218">KURT(OFFSET(Datos!$D$1,1+A218,0,Config!$B$12,1)-OFFSET(Datos!$D$1,1,0,Config!$B$12,1))</f>
        <v>-0.164050440694631</v>
      </c>
    </row>
    <row r="219" customFormat="false" ht="15" hidden="false" customHeight="false" outlineLevel="0" collapsed="false">
      <c r="A219" s="2" t="n">
        <v>215</v>
      </c>
      <c r="B219" s="20" t="n">
        <f aca="false">A219*Config!$B$9</f>
        <v>10.75</v>
      </c>
      <c r="C219" s="18" t="n">
        <f aca="true" t="array" ref="C219:C219">SKEW(OFFSET(Datos!$D$1,1+A219,0,Config!$B$12,1)-OFFSET(Datos!$D$1,1,0,Config!$B$12,1))</f>
        <v>0.318028218888505</v>
      </c>
      <c r="D219" s="18" t="n">
        <f aca="true" t="array" ref="D219:D219">KURT(OFFSET(Datos!$D$1,1+A219,0,Config!$B$12,1)-OFFSET(Datos!$D$1,1,0,Config!$B$12,1))</f>
        <v>-0.0196136725950931</v>
      </c>
    </row>
    <row r="220" customFormat="false" ht="15" hidden="false" customHeight="false" outlineLevel="0" collapsed="false">
      <c r="A220" s="2" t="n">
        <v>216</v>
      </c>
      <c r="B220" s="20" t="n">
        <f aca="false">A220*Config!$B$9</f>
        <v>10.8</v>
      </c>
      <c r="C220" s="18" t="n">
        <f aca="true" t="array" ref="C220:C220">SKEW(OFFSET(Datos!$D$1,1+A220,0,Config!$B$12,1)-OFFSET(Datos!$D$1,1,0,Config!$B$12,1))</f>
        <v>0.360901651249591</v>
      </c>
      <c r="D220" s="18" t="n">
        <f aca="true" t="array" ref="D220:D220">KURT(OFFSET(Datos!$D$1,1+A220,0,Config!$B$12,1)-OFFSET(Datos!$D$1,1,0,Config!$B$12,1))</f>
        <v>-0.129207997951867</v>
      </c>
    </row>
    <row r="221" customFormat="false" ht="15" hidden="false" customHeight="false" outlineLevel="0" collapsed="false">
      <c r="A221" s="2" t="n">
        <v>217</v>
      </c>
      <c r="B221" s="20" t="n">
        <f aca="false">A221*Config!$B$9</f>
        <v>10.85</v>
      </c>
      <c r="C221" s="18" t="n">
        <f aca="true" t="array" ref="C221:C221">SKEW(OFFSET(Datos!$D$1,1+A221,0,Config!$B$12,1)-OFFSET(Datos!$D$1,1,0,Config!$B$12,1))</f>
        <v>0.364231875743708</v>
      </c>
      <c r="D221" s="18" t="n">
        <f aca="true" t="array" ref="D221:D221">KURT(OFFSET(Datos!$D$1,1+A221,0,Config!$B$12,1)-OFFSET(Datos!$D$1,1,0,Config!$B$12,1))</f>
        <v>-0.191213155328904</v>
      </c>
    </row>
    <row r="222" customFormat="false" ht="15" hidden="false" customHeight="false" outlineLevel="0" collapsed="false">
      <c r="A222" s="2" t="n">
        <v>218</v>
      </c>
      <c r="B222" s="20" t="n">
        <f aca="false">A222*Config!$B$9</f>
        <v>10.9</v>
      </c>
      <c r="C222" s="18" t="n">
        <f aca="true" t="array" ref="C222:C222">SKEW(OFFSET(Datos!$D$1,1+A222,0,Config!$B$12,1)-OFFSET(Datos!$D$1,1,0,Config!$B$12,1))</f>
        <v>0.339991063019927</v>
      </c>
      <c r="D222" s="18" t="n">
        <f aca="true" t="array" ref="D222:D222">KURT(OFFSET(Datos!$D$1,1+A222,0,Config!$B$12,1)-OFFSET(Datos!$D$1,1,0,Config!$B$12,1))</f>
        <v>-0.141838771008081</v>
      </c>
    </row>
    <row r="223" customFormat="false" ht="15" hidden="false" customHeight="false" outlineLevel="0" collapsed="false">
      <c r="A223" s="2" t="n">
        <v>219</v>
      </c>
      <c r="B223" s="20" t="n">
        <f aca="false">A223*Config!$B$9</f>
        <v>10.95</v>
      </c>
      <c r="C223" s="18" t="n">
        <f aca="true" t="array" ref="C223:C223">SKEW(OFFSET(Datos!$D$1,1+A223,0,Config!$B$12,1)-OFFSET(Datos!$D$1,1,0,Config!$B$12,1))</f>
        <v>0.366979864159685</v>
      </c>
      <c r="D223" s="18" t="n">
        <f aca="true" t="array" ref="D223:D223">KURT(OFFSET(Datos!$D$1,1+A223,0,Config!$B$12,1)-OFFSET(Datos!$D$1,1,0,Config!$B$12,1))</f>
        <v>-0.121294663570734</v>
      </c>
    </row>
    <row r="224" customFormat="false" ht="15" hidden="false" customHeight="false" outlineLevel="0" collapsed="false">
      <c r="A224" s="2" t="n">
        <v>220</v>
      </c>
      <c r="B224" s="20" t="n">
        <f aca="false">A224*Config!$B$9</f>
        <v>11</v>
      </c>
      <c r="C224" s="18" t="n">
        <f aca="true" t="array" ref="C224:C224">SKEW(OFFSET(Datos!$D$1,1+A224,0,Config!$B$12,1)-OFFSET(Datos!$D$1,1,0,Config!$B$12,1))</f>
        <v>0.323265134687347</v>
      </c>
      <c r="D224" s="18" t="n">
        <f aca="true" t="array" ref="D224:D224">KURT(OFFSET(Datos!$D$1,1+A224,0,Config!$B$12,1)-OFFSET(Datos!$D$1,1,0,Config!$B$12,1))</f>
        <v>-0.106514117131133</v>
      </c>
    </row>
    <row r="225" customFormat="false" ht="15" hidden="false" customHeight="false" outlineLevel="0" collapsed="false">
      <c r="A225" s="2" t="n">
        <v>221</v>
      </c>
      <c r="B225" s="20" t="n">
        <f aca="false">A225*Config!$B$9</f>
        <v>11.05</v>
      </c>
      <c r="C225" s="18" t="n">
        <f aca="true" t="array" ref="C225:C225">SKEW(OFFSET(Datos!$D$1,1+A225,0,Config!$B$12,1)-OFFSET(Datos!$D$1,1,0,Config!$B$12,1))</f>
        <v>0.348144349023956</v>
      </c>
      <c r="D225" s="18" t="n">
        <f aca="true" t="array" ref="D225:D225">KURT(OFFSET(Datos!$D$1,1+A225,0,Config!$B$12,1)-OFFSET(Datos!$D$1,1,0,Config!$B$12,1))</f>
        <v>-0.0967265398314798</v>
      </c>
    </row>
    <row r="226" customFormat="false" ht="15" hidden="false" customHeight="false" outlineLevel="0" collapsed="false">
      <c r="A226" s="2" t="n">
        <v>222</v>
      </c>
      <c r="B226" s="20" t="n">
        <f aca="false">A226*Config!$B$9</f>
        <v>11.1</v>
      </c>
      <c r="C226" s="18" t="n">
        <f aca="true" t="array" ref="C226:C226">SKEW(OFFSET(Datos!$D$1,1+A226,0,Config!$B$12,1)-OFFSET(Datos!$D$1,1,0,Config!$B$12,1))</f>
        <v>0.390081900101469</v>
      </c>
      <c r="D226" s="18" t="n">
        <f aca="true" t="array" ref="D226:D226">KURT(OFFSET(Datos!$D$1,1+A226,0,Config!$B$12,1)-OFFSET(Datos!$D$1,1,0,Config!$B$12,1))</f>
        <v>-0.20719314851917</v>
      </c>
    </row>
    <row r="227" customFormat="false" ht="15" hidden="false" customHeight="false" outlineLevel="0" collapsed="false">
      <c r="A227" s="2" t="n">
        <v>223</v>
      </c>
      <c r="B227" s="20" t="n">
        <f aca="false">A227*Config!$B$9</f>
        <v>11.15</v>
      </c>
      <c r="C227" s="18" t="n">
        <f aca="true" t="array" ref="C227:C227">SKEW(OFFSET(Datos!$D$1,1+A227,0,Config!$B$12,1)-OFFSET(Datos!$D$1,1,0,Config!$B$12,1))</f>
        <v>0.375425179761127</v>
      </c>
      <c r="D227" s="18" t="n">
        <f aca="true" t="array" ref="D227:D227">KURT(OFFSET(Datos!$D$1,1+A227,0,Config!$B$12,1)-OFFSET(Datos!$D$1,1,0,Config!$B$12,1))</f>
        <v>-0.0616078664720581</v>
      </c>
    </row>
    <row r="228" customFormat="false" ht="15" hidden="false" customHeight="false" outlineLevel="0" collapsed="false">
      <c r="A228" s="2" t="n">
        <v>224</v>
      </c>
      <c r="B228" s="20" t="n">
        <f aca="false">A228*Config!$B$9</f>
        <v>11.2</v>
      </c>
      <c r="C228" s="18" t="n">
        <f aca="true" t="array" ref="C228:C228">SKEW(OFFSET(Datos!$D$1,1+A228,0,Config!$B$12,1)-OFFSET(Datos!$D$1,1,0,Config!$B$12,1))</f>
        <v>0.348989735712018</v>
      </c>
      <c r="D228" s="18" t="n">
        <f aca="true" t="array" ref="D228:D228">KURT(OFFSET(Datos!$D$1,1+A228,0,Config!$B$12,1)-OFFSET(Datos!$D$1,1,0,Config!$B$12,1))</f>
        <v>-0.143867341962899</v>
      </c>
    </row>
    <row r="229" customFormat="false" ht="15" hidden="false" customHeight="false" outlineLevel="0" collapsed="false">
      <c r="A229" s="2" t="n">
        <v>225</v>
      </c>
      <c r="B229" s="20" t="n">
        <f aca="false">A229*Config!$B$9</f>
        <v>11.25</v>
      </c>
      <c r="C229" s="18" t="n">
        <f aca="true" t="array" ref="C229:C229">SKEW(OFFSET(Datos!$D$1,1+A229,0,Config!$B$12,1)-OFFSET(Datos!$D$1,1,0,Config!$B$12,1))</f>
        <v>0.353845632746237</v>
      </c>
      <c r="D229" s="18" t="n">
        <f aca="true" t="array" ref="D229:D229">KURT(OFFSET(Datos!$D$1,1+A229,0,Config!$B$12,1)-OFFSET(Datos!$D$1,1,0,Config!$B$12,1))</f>
        <v>-0.160975202585826</v>
      </c>
    </row>
    <row r="230" customFormat="false" ht="15" hidden="false" customHeight="false" outlineLevel="0" collapsed="false">
      <c r="A230" s="2" t="n">
        <v>226</v>
      </c>
      <c r="B230" s="20" t="n">
        <f aca="false">A230*Config!$B$9</f>
        <v>11.3</v>
      </c>
      <c r="C230" s="18" t="n">
        <f aca="true" t="array" ref="C230:C230">SKEW(OFFSET(Datos!$D$1,1+A230,0,Config!$B$12,1)-OFFSET(Datos!$D$1,1,0,Config!$B$12,1))</f>
        <v>0.35402851493684</v>
      </c>
      <c r="D230" s="18" t="n">
        <f aca="true" t="array" ref="D230:D230">KURT(OFFSET(Datos!$D$1,1+A230,0,Config!$B$12,1)-OFFSET(Datos!$D$1,1,0,Config!$B$12,1))</f>
        <v>-0.171220386622502</v>
      </c>
    </row>
    <row r="231" customFormat="false" ht="15" hidden="false" customHeight="false" outlineLevel="0" collapsed="false">
      <c r="A231" s="2" t="n">
        <v>227</v>
      </c>
      <c r="B231" s="20" t="n">
        <f aca="false">A231*Config!$B$9</f>
        <v>11.35</v>
      </c>
      <c r="C231" s="18" t="n">
        <f aca="true" t="array" ref="C231:C231">SKEW(OFFSET(Datos!$D$1,1+A231,0,Config!$B$12,1)-OFFSET(Datos!$D$1,1,0,Config!$B$12,1))</f>
        <v>0.345160741898673</v>
      </c>
      <c r="D231" s="18" t="n">
        <f aca="true" t="array" ref="D231:D231">KURT(OFFSET(Datos!$D$1,1+A231,0,Config!$B$12,1)-OFFSET(Datos!$D$1,1,0,Config!$B$12,1))</f>
        <v>-0.133692863522929</v>
      </c>
    </row>
    <row r="232" customFormat="false" ht="15" hidden="false" customHeight="false" outlineLevel="0" collapsed="false">
      <c r="A232" s="2" t="n">
        <v>228</v>
      </c>
      <c r="B232" s="20" t="n">
        <f aca="false">A232*Config!$B$9</f>
        <v>11.4</v>
      </c>
      <c r="C232" s="18" t="n">
        <f aca="true" t="array" ref="C232:C232">SKEW(OFFSET(Datos!$D$1,1+A232,0,Config!$B$12,1)-OFFSET(Datos!$D$1,1,0,Config!$B$12,1))</f>
        <v>0.359821615681772</v>
      </c>
      <c r="D232" s="18" t="n">
        <f aca="true" t="array" ref="D232:D232">KURT(OFFSET(Datos!$D$1,1+A232,0,Config!$B$12,1)-OFFSET(Datos!$D$1,1,0,Config!$B$12,1))</f>
        <v>-0.0563319170985888</v>
      </c>
    </row>
    <row r="233" customFormat="false" ht="15" hidden="false" customHeight="false" outlineLevel="0" collapsed="false">
      <c r="A233" s="2" t="n">
        <v>229</v>
      </c>
      <c r="B233" s="20" t="n">
        <f aca="false">A233*Config!$B$9</f>
        <v>11.45</v>
      </c>
      <c r="C233" s="18" t="n">
        <f aca="true" t="array" ref="C233:C233">SKEW(OFFSET(Datos!$D$1,1+A233,0,Config!$B$12,1)-OFFSET(Datos!$D$1,1,0,Config!$B$12,1))</f>
        <v>0.312035960796603</v>
      </c>
      <c r="D233" s="18" t="n">
        <f aca="true" t="array" ref="D233:D233">KURT(OFFSET(Datos!$D$1,1+A233,0,Config!$B$12,1)-OFFSET(Datos!$D$1,1,0,Config!$B$12,1))</f>
        <v>-0.159274331205242</v>
      </c>
    </row>
    <row r="234" customFormat="false" ht="15" hidden="false" customHeight="false" outlineLevel="0" collapsed="false">
      <c r="A234" s="2" t="n">
        <v>230</v>
      </c>
      <c r="B234" s="20" t="n">
        <f aca="false">A234*Config!$B$9</f>
        <v>11.5</v>
      </c>
      <c r="C234" s="18" t="n">
        <f aca="true" t="array" ref="C234:C234">SKEW(OFFSET(Datos!$D$1,1+A234,0,Config!$B$12,1)-OFFSET(Datos!$D$1,1,0,Config!$B$12,1))</f>
        <v>0.321284451227334</v>
      </c>
      <c r="D234" s="18" t="n">
        <f aca="true" t="array" ref="D234:D234">KURT(OFFSET(Datos!$D$1,1+A234,0,Config!$B$12,1)-OFFSET(Datos!$D$1,1,0,Config!$B$12,1))</f>
        <v>-0.167442960065756</v>
      </c>
    </row>
    <row r="235" customFormat="false" ht="15" hidden="false" customHeight="false" outlineLevel="0" collapsed="false">
      <c r="A235" s="2" t="n">
        <v>231</v>
      </c>
      <c r="B235" s="20" t="n">
        <f aca="false">A235*Config!$B$9</f>
        <v>11.55</v>
      </c>
      <c r="C235" s="18" t="n">
        <f aca="true" t="array" ref="C235:C235">SKEW(OFFSET(Datos!$D$1,1+A235,0,Config!$B$12,1)-OFFSET(Datos!$D$1,1,0,Config!$B$12,1))</f>
        <v>0.370538483654569</v>
      </c>
      <c r="D235" s="18" t="n">
        <f aca="true" t="array" ref="D235:D235">KURT(OFFSET(Datos!$D$1,1+A235,0,Config!$B$12,1)-OFFSET(Datos!$D$1,1,0,Config!$B$12,1))</f>
        <v>-0.220760962540827</v>
      </c>
    </row>
    <row r="236" customFormat="false" ht="15" hidden="false" customHeight="false" outlineLevel="0" collapsed="false">
      <c r="A236" s="2" t="n">
        <v>232</v>
      </c>
      <c r="B236" s="20" t="n">
        <f aca="false">A236*Config!$B$9</f>
        <v>11.6</v>
      </c>
      <c r="C236" s="18" t="n">
        <f aca="true" t="array" ref="C236:C236">SKEW(OFFSET(Datos!$D$1,1+A236,0,Config!$B$12,1)-OFFSET(Datos!$D$1,1,0,Config!$B$12,1))</f>
        <v>0.323977820485563</v>
      </c>
      <c r="D236" s="18" t="n">
        <f aca="true" t="array" ref="D236:D236">KURT(OFFSET(Datos!$D$1,1+A236,0,Config!$B$12,1)-OFFSET(Datos!$D$1,1,0,Config!$B$12,1))</f>
        <v>-0.228202017050041</v>
      </c>
    </row>
    <row r="237" customFormat="false" ht="15" hidden="false" customHeight="false" outlineLevel="0" collapsed="false">
      <c r="A237" s="2" t="n">
        <v>233</v>
      </c>
      <c r="B237" s="20" t="n">
        <f aca="false">A237*Config!$B$9</f>
        <v>11.65</v>
      </c>
      <c r="C237" s="18" t="n">
        <f aca="true" t="array" ref="C237:C237">SKEW(OFFSET(Datos!$D$1,1+A237,0,Config!$B$12,1)-OFFSET(Datos!$D$1,1,0,Config!$B$12,1))</f>
        <v>0.367676955981883</v>
      </c>
      <c r="D237" s="18" t="n">
        <f aca="true" t="array" ref="D237:D237">KURT(OFFSET(Datos!$D$1,1+A237,0,Config!$B$12,1)-OFFSET(Datos!$D$1,1,0,Config!$B$12,1))</f>
        <v>-0.297480468560745</v>
      </c>
    </row>
    <row r="238" customFormat="false" ht="15" hidden="false" customHeight="false" outlineLevel="0" collapsed="false">
      <c r="A238" s="2" t="n">
        <v>234</v>
      </c>
      <c r="B238" s="20" t="n">
        <f aca="false">A238*Config!$B$9</f>
        <v>11.7</v>
      </c>
      <c r="C238" s="18" t="n">
        <f aca="true" t="array" ref="C238:C238">SKEW(OFFSET(Datos!$D$1,1+A238,0,Config!$B$12,1)-OFFSET(Datos!$D$1,1,0,Config!$B$12,1))</f>
        <v>0.315655819379676</v>
      </c>
      <c r="D238" s="18" t="n">
        <f aca="true" t="array" ref="D238:D238">KURT(OFFSET(Datos!$D$1,1+A238,0,Config!$B$12,1)-OFFSET(Datos!$D$1,1,0,Config!$B$12,1))</f>
        <v>-0.175988363565467</v>
      </c>
    </row>
    <row r="239" customFormat="false" ht="15" hidden="false" customHeight="false" outlineLevel="0" collapsed="false">
      <c r="A239" s="2" t="n">
        <v>235</v>
      </c>
      <c r="B239" s="20" t="n">
        <f aca="false">A239*Config!$B$9</f>
        <v>11.75</v>
      </c>
      <c r="C239" s="18" t="n">
        <f aca="true" t="array" ref="C239:C239">SKEW(OFFSET(Datos!$D$1,1+A239,0,Config!$B$12,1)-OFFSET(Datos!$D$1,1,0,Config!$B$12,1))</f>
        <v>0.33061393643539</v>
      </c>
      <c r="D239" s="18" t="n">
        <f aca="true" t="array" ref="D239:D239">KURT(OFFSET(Datos!$D$1,1+A239,0,Config!$B$12,1)-OFFSET(Datos!$D$1,1,0,Config!$B$12,1))</f>
        <v>-0.176063921022468</v>
      </c>
    </row>
    <row r="240" customFormat="false" ht="15" hidden="false" customHeight="false" outlineLevel="0" collapsed="false">
      <c r="A240" s="2" t="n">
        <v>236</v>
      </c>
      <c r="B240" s="20" t="n">
        <f aca="false">A240*Config!$B$9</f>
        <v>11.8</v>
      </c>
      <c r="C240" s="18" t="n">
        <f aca="true" t="array" ref="C240:C240">SKEW(OFFSET(Datos!$D$1,1+A240,0,Config!$B$12,1)-OFFSET(Datos!$D$1,1,0,Config!$B$12,1))</f>
        <v>0.344751433874544</v>
      </c>
      <c r="D240" s="18" t="n">
        <f aca="true" t="array" ref="D240:D240">KURT(OFFSET(Datos!$D$1,1+A240,0,Config!$B$12,1)-OFFSET(Datos!$D$1,1,0,Config!$B$12,1))</f>
        <v>-0.177045870457803</v>
      </c>
    </row>
    <row r="241" customFormat="false" ht="15" hidden="false" customHeight="false" outlineLevel="0" collapsed="false">
      <c r="A241" s="2" t="n">
        <v>237</v>
      </c>
      <c r="B241" s="20" t="n">
        <f aca="false">A241*Config!$B$9</f>
        <v>11.85</v>
      </c>
      <c r="C241" s="18" t="n">
        <f aca="true" t="array" ref="C241:C241">SKEW(OFFSET(Datos!$D$1,1+A241,0,Config!$B$12,1)-OFFSET(Datos!$D$1,1,0,Config!$B$12,1))</f>
        <v>0.294072529241674</v>
      </c>
      <c r="D241" s="18" t="n">
        <f aca="true" t="array" ref="D241:D241">KURT(OFFSET(Datos!$D$1,1+A241,0,Config!$B$12,1)-OFFSET(Datos!$D$1,1,0,Config!$B$12,1))</f>
        <v>-0.200916022214805</v>
      </c>
    </row>
    <row r="242" customFormat="false" ht="15" hidden="false" customHeight="false" outlineLevel="0" collapsed="false">
      <c r="A242" s="2" t="n">
        <v>238</v>
      </c>
      <c r="B242" s="20" t="n">
        <f aca="false">A242*Config!$B$9</f>
        <v>11.9</v>
      </c>
      <c r="C242" s="18" t="n">
        <f aca="true" t="array" ref="C242:C242">SKEW(OFFSET(Datos!$D$1,1+A242,0,Config!$B$12,1)-OFFSET(Datos!$D$1,1,0,Config!$B$12,1))</f>
        <v>0.381839729936343</v>
      </c>
      <c r="D242" s="18" t="n">
        <f aca="true" t="array" ref="D242:D242">KURT(OFFSET(Datos!$D$1,1+A242,0,Config!$B$12,1)-OFFSET(Datos!$D$1,1,0,Config!$B$12,1))</f>
        <v>-0.170001971243495</v>
      </c>
    </row>
    <row r="243" customFormat="false" ht="15" hidden="false" customHeight="false" outlineLevel="0" collapsed="false">
      <c r="A243" s="2" t="n">
        <v>239</v>
      </c>
      <c r="B243" s="20" t="n">
        <f aca="false">A243*Config!$B$9</f>
        <v>11.95</v>
      </c>
      <c r="C243" s="18" t="n">
        <f aca="true" t="array" ref="C243:C243">SKEW(OFFSET(Datos!$D$1,1+A243,0,Config!$B$12,1)-OFFSET(Datos!$D$1,1,0,Config!$B$12,1))</f>
        <v>0.325380153323491</v>
      </c>
      <c r="D243" s="18" t="n">
        <f aca="true" t="array" ref="D243:D243">KURT(OFFSET(Datos!$D$1,1+A243,0,Config!$B$12,1)-OFFSET(Datos!$D$1,1,0,Config!$B$12,1))</f>
        <v>-0.169078155196613</v>
      </c>
    </row>
    <row r="244" customFormat="false" ht="15" hidden="false" customHeight="false" outlineLevel="0" collapsed="false">
      <c r="A244" s="2" t="n">
        <v>240</v>
      </c>
      <c r="B244" s="20" t="n">
        <f aca="false">A244*Config!$B$9</f>
        <v>12</v>
      </c>
      <c r="C244" s="18" t="n">
        <f aca="true" t="array" ref="C244:C244">SKEW(OFFSET(Datos!$D$1,1+A244,0,Config!$B$12,1)-OFFSET(Datos!$D$1,1,0,Config!$B$12,1))</f>
        <v>0.348898213430454</v>
      </c>
      <c r="D244" s="18" t="n">
        <f aca="true" t="array" ref="D244:D244">KURT(OFFSET(Datos!$D$1,1+A244,0,Config!$B$12,1)-OFFSET(Datos!$D$1,1,0,Config!$B$12,1))</f>
        <v>-0.185473090753653</v>
      </c>
    </row>
    <row r="245" customFormat="false" ht="15" hidden="false" customHeight="false" outlineLevel="0" collapsed="false">
      <c r="A245" s="2" t="n">
        <v>241</v>
      </c>
      <c r="B245" s="20" t="n">
        <f aca="false">A245*Config!$B$9</f>
        <v>12.05</v>
      </c>
      <c r="C245" s="18" t="n">
        <f aca="true" t="array" ref="C245:C245">SKEW(OFFSET(Datos!$D$1,1+A245,0,Config!$B$12,1)-OFFSET(Datos!$D$1,1,0,Config!$B$12,1))</f>
        <v>0.31200234154499</v>
      </c>
      <c r="D245" s="18" t="n">
        <f aca="true" t="array" ref="D245:D245">KURT(OFFSET(Datos!$D$1,1+A245,0,Config!$B$12,1)-OFFSET(Datos!$D$1,1,0,Config!$B$12,1))</f>
        <v>-0.168338867650282</v>
      </c>
    </row>
    <row r="246" customFormat="false" ht="15" hidden="false" customHeight="false" outlineLevel="0" collapsed="false">
      <c r="A246" s="2" t="n">
        <v>242</v>
      </c>
      <c r="B246" s="20" t="n">
        <f aca="false">A246*Config!$B$9</f>
        <v>12.1</v>
      </c>
      <c r="C246" s="18" t="n">
        <f aca="true" t="array" ref="C246:C246">SKEW(OFFSET(Datos!$D$1,1+A246,0,Config!$B$12,1)-OFFSET(Datos!$D$1,1,0,Config!$B$12,1))</f>
        <v>0.279931624005354</v>
      </c>
      <c r="D246" s="18" t="n">
        <f aca="true" t="array" ref="D246:D246">KURT(OFFSET(Datos!$D$1,1+A246,0,Config!$B$12,1)-OFFSET(Datos!$D$1,1,0,Config!$B$12,1))</f>
        <v>-0.242388857083895</v>
      </c>
    </row>
    <row r="247" customFormat="false" ht="15" hidden="false" customHeight="false" outlineLevel="0" collapsed="false">
      <c r="A247" s="2" t="n">
        <v>243</v>
      </c>
      <c r="B247" s="20" t="n">
        <f aca="false">A247*Config!$B$9</f>
        <v>12.15</v>
      </c>
      <c r="C247" s="18" t="n">
        <f aca="true" t="array" ref="C247:C247">SKEW(OFFSET(Datos!$D$1,1+A247,0,Config!$B$12,1)-OFFSET(Datos!$D$1,1,0,Config!$B$12,1))</f>
        <v>0.335964610923601</v>
      </c>
      <c r="D247" s="18" t="n">
        <f aca="true" t="array" ref="D247:D247">KURT(OFFSET(Datos!$D$1,1+A247,0,Config!$B$12,1)-OFFSET(Datos!$D$1,1,0,Config!$B$12,1))</f>
        <v>-0.244670653871139</v>
      </c>
    </row>
    <row r="248" customFormat="false" ht="15" hidden="false" customHeight="false" outlineLevel="0" collapsed="false">
      <c r="A248" s="2" t="n">
        <v>244</v>
      </c>
      <c r="B248" s="20" t="n">
        <f aca="false">A248*Config!$B$9</f>
        <v>12.2</v>
      </c>
      <c r="C248" s="18" t="n">
        <f aca="true" t="array" ref="C248:C248">SKEW(OFFSET(Datos!$D$1,1+A248,0,Config!$B$12,1)-OFFSET(Datos!$D$1,1,0,Config!$B$12,1))</f>
        <v>0.339402913637321</v>
      </c>
      <c r="D248" s="18" t="n">
        <f aca="true" t="array" ref="D248:D248">KURT(OFFSET(Datos!$D$1,1+A248,0,Config!$B$12,1)-OFFSET(Datos!$D$1,1,0,Config!$B$12,1))</f>
        <v>-0.193274454326321</v>
      </c>
    </row>
    <row r="249" customFormat="false" ht="15" hidden="false" customHeight="false" outlineLevel="0" collapsed="false">
      <c r="A249" s="2" t="n">
        <v>245</v>
      </c>
      <c r="B249" s="20" t="n">
        <f aca="false">A249*Config!$B$9</f>
        <v>12.25</v>
      </c>
      <c r="C249" s="18" t="n">
        <f aca="true" t="array" ref="C249:C249">SKEW(OFFSET(Datos!$D$1,1+A249,0,Config!$B$12,1)-OFFSET(Datos!$D$1,1,0,Config!$B$12,1))</f>
        <v>0.32338885340698</v>
      </c>
      <c r="D249" s="18" t="n">
        <f aca="true" t="array" ref="D249:D249">KURT(OFFSET(Datos!$D$1,1+A249,0,Config!$B$12,1)-OFFSET(Datos!$D$1,1,0,Config!$B$12,1))</f>
        <v>-0.320383342443748</v>
      </c>
    </row>
    <row r="250" customFormat="false" ht="15" hidden="false" customHeight="false" outlineLevel="0" collapsed="false">
      <c r="A250" s="2" t="n">
        <v>246</v>
      </c>
      <c r="B250" s="20" t="n">
        <f aca="false">A250*Config!$B$9</f>
        <v>12.3</v>
      </c>
      <c r="C250" s="18" t="n">
        <f aca="true" t="array" ref="C250:C250">SKEW(OFFSET(Datos!$D$1,1+A250,0,Config!$B$12,1)-OFFSET(Datos!$D$1,1,0,Config!$B$12,1))</f>
        <v>0.317544538853059</v>
      </c>
      <c r="D250" s="18" t="n">
        <f aca="true" t="array" ref="D250:D250">KURT(OFFSET(Datos!$D$1,1+A250,0,Config!$B$12,1)-OFFSET(Datos!$D$1,1,0,Config!$B$12,1))</f>
        <v>-0.347865647507577</v>
      </c>
    </row>
    <row r="251" customFormat="false" ht="15" hidden="false" customHeight="false" outlineLevel="0" collapsed="false">
      <c r="A251" s="2" t="n">
        <v>247</v>
      </c>
      <c r="B251" s="20" t="n">
        <f aca="false">A251*Config!$B$9</f>
        <v>12.35</v>
      </c>
      <c r="C251" s="18" t="n">
        <f aca="true" t="array" ref="C251:C251">SKEW(OFFSET(Datos!$D$1,1+A251,0,Config!$B$12,1)-OFFSET(Datos!$D$1,1,0,Config!$B$12,1))</f>
        <v>0.285193016040422</v>
      </c>
      <c r="D251" s="18" t="n">
        <f aca="true" t="array" ref="D251:D251">KURT(OFFSET(Datos!$D$1,1+A251,0,Config!$B$12,1)-OFFSET(Datos!$D$1,1,0,Config!$B$12,1))</f>
        <v>-0.363633761382964</v>
      </c>
    </row>
    <row r="252" customFormat="false" ht="15" hidden="false" customHeight="false" outlineLevel="0" collapsed="false">
      <c r="A252" s="2" t="n">
        <v>248</v>
      </c>
      <c r="B252" s="20" t="n">
        <f aca="false">A252*Config!$B$9</f>
        <v>12.4</v>
      </c>
      <c r="C252" s="18" t="n">
        <f aca="true" t="array" ref="C252:C252">SKEW(OFFSET(Datos!$D$1,1+A252,0,Config!$B$12,1)-OFFSET(Datos!$D$1,1,0,Config!$B$12,1))</f>
        <v>0.295128740612122</v>
      </c>
      <c r="D252" s="18" t="n">
        <f aca="true" t="array" ref="D252:D252">KURT(OFFSET(Datos!$D$1,1+A252,0,Config!$B$12,1)-OFFSET(Datos!$D$1,1,0,Config!$B$12,1))</f>
        <v>-0.336845913601166</v>
      </c>
    </row>
    <row r="253" customFormat="false" ht="15" hidden="false" customHeight="false" outlineLevel="0" collapsed="false">
      <c r="A253" s="2" t="n">
        <v>249</v>
      </c>
      <c r="B253" s="20" t="n">
        <f aca="false">A253*Config!$B$9</f>
        <v>12.45</v>
      </c>
      <c r="C253" s="18" t="n">
        <f aca="true" t="array" ref="C253:C253">SKEW(OFFSET(Datos!$D$1,1+A253,0,Config!$B$12,1)-OFFSET(Datos!$D$1,1,0,Config!$B$12,1))</f>
        <v>0.284814861072587</v>
      </c>
      <c r="D253" s="18" t="n">
        <f aca="true" t="array" ref="D253:D253">KURT(OFFSET(Datos!$D$1,1+A253,0,Config!$B$12,1)-OFFSET(Datos!$D$1,1,0,Config!$B$12,1))</f>
        <v>-0.295010848042173</v>
      </c>
    </row>
    <row r="254" customFormat="false" ht="15" hidden="false" customHeight="false" outlineLevel="0" collapsed="false">
      <c r="A254" s="2" t="n">
        <v>250</v>
      </c>
      <c r="B254" s="20" t="n">
        <f aca="false">A254*Config!$B$9</f>
        <v>12.5</v>
      </c>
      <c r="C254" s="18" t="n">
        <f aca="true" t="array" ref="C254:C254">SKEW(OFFSET(Datos!$D$1,1+A254,0,Config!$B$12,1)-OFFSET(Datos!$D$1,1,0,Config!$B$12,1))</f>
        <v>0.246154691450958</v>
      </c>
      <c r="D254" s="18" t="n">
        <f aca="true" t="array" ref="D254:D254">KURT(OFFSET(Datos!$D$1,1+A254,0,Config!$B$12,1)-OFFSET(Datos!$D$1,1,0,Config!$B$12,1))</f>
        <v>-0.37893490707389</v>
      </c>
    </row>
    <row r="255" customFormat="false" ht="15" hidden="false" customHeight="false" outlineLevel="0" collapsed="false">
      <c r="A255" s="2" t="n">
        <v>251</v>
      </c>
      <c r="B255" s="20" t="n">
        <f aca="false">A255*Config!$B$9</f>
        <v>12.55</v>
      </c>
      <c r="C255" s="18" t="n">
        <f aca="true" t="array" ref="C255:C255">SKEW(OFFSET(Datos!$D$1,1+A255,0,Config!$B$12,1)-OFFSET(Datos!$D$1,1,0,Config!$B$12,1))</f>
        <v>0.297098496028827</v>
      </c>
      <c r="D255" s="18" t="n">
        <f aca="true" t="array" ref="D255:D255">KURT(OFFSET(Datos!$D$1,1+A255,0,Config!$B$12,1)-OFFSET(Datos!$D$1,1,0,Config!$B$12,1))</f>
        <v>-0.270599900004055</v>
      </c>
    </row>
    <row r="256" customFormat="false" ht="15" hidden="false" customHeight="false" outlineLevel="0" collapsed="false">
      <c r="A256" s="2" t="n">
        <v>252</v>
      </c>
      <c r="B256" s="20" t="n">
        <f aca="false">A256*Config!$B$9</f>
        <v>12.6</v>
      </c>
      <c r="C256" s="18" t="n">
        <f aca="true" t="array" ref="C256:C256">SKEW(OFFSET(Datos!$D$1,1+A256,0,Config!$B$12,1)-OFFSET(Datos!$D$1,1,0,Config!$B$12,1))</f>
        <v>0.262509249096694</v>
      </c>
      <c r="D256" s="18" t="n">
        <f aca="true" t="array" ref="D256:D256">KURT(OFFSET(Datos!$D$1,1+A256,0,Config!$B$12,1)-OFFSET(Datos!$D$1,1,0,Config!$B$12,1))</f>
        <v>-0.432772054902284</v>
      </c>
    </row>
    <row r="257" customFormat="false" ht="15" hidden="false" customHeight="false" outlineLevel="0" collapsed="false">
      <c r="A257" s="2" t="n">
        <v>253</v>
      </c>
      <c r="B257" s="20" t="n">
        <f aca="false">A257*Config!$B$9</f>
        <v>12.65</v>
      </c>
      <c r="C257" s="18" t="n">
        <f aca="true" t="array" ref="C257:C257">SKEW(OFFSET(Datos!$D$1,1+A257,0,Config!$B$12,1)-OFFSET(Datos!$D$1,1,0,Config!$B$12,1))</f>
        <v>0.266223236368739</v>
      </c>
      <c r="D257" s="18" t="n">
        <f aca="true" t="array" ref="D257:D257">KURT(OFFSET(Datos!$D$1,1+A257,0,Config!$B$12,1)-OFFSET(Datos!$D$1,1,0,Config!$B$12,1))</f>
        <v>-0.406458401276831</v>
      </c>
    </row>
    <row r="258" customFormat="false" ht="15" hidden="false" customHeight="false" outlineLevel="0" collapsed="false">
      <c r="A258" s="2" t="n">
        <v>254</v>
      </c>
      <c r="B258" s="20" t="n">
        <f aca="false">A258*Config!$B$9</f>
        <v>12.7</v>
      </c>
      <c r="C258" s="18" t="n">
        <f aca="true" t="array" ref="C258:C258">SKEW(OFFSET(Datos!$D$1,1+A258,0,Config!$B$12,1)-OFFSET(Datos!$D$1,1,0,Config!$B$12,1))</f>
        <v>0.246582382894795</v>
      </c>
      <c r="D258" s="18" t="n">
        <f aca="true" t="array" ref="D258:D258">KURT(OFFSET(Datos!$D$1,1+A258,0,Config!$B$12,1)-OFFSET(Datos!$D$1,1,0,Config!$B$12,1))</f>
        <v>-0.470775059555744</v>
      </c>
    </row>
    <row r="259" customFormat="false" ht="15" hidden="false" customHeight="false" outlineLevel="0" collapsed="false">
      <c r="A259" s="2" t="n">
        <v>255</v>
      </c>
      <c r="B259" s="20" t="n">
        <f aca="false">A259*Config!$B$9</f>
        <v>12.75</v>
      </c>
      <c r="C259" s="18" t="n">
        <f aca="true" t="array" ref="C259:C259">SKEW(OFFSET(Datos!$D$1,1+A259,0,Config!$B$12,1)-OFFSET(Datos!$D$1,1,0,Config!$B$12,1))</f>
        <v>0.220531321350345</v>
      </c>
      <c r="D259" s="18" t="n">
        <f aca="true" t="array" ref="D259:D259">KURT(OFFSET(Datos!$D$1,1+A259,0,Config!$B$12,1)-OFFSET(Datos!$D$1,1,0,Config!$B$12,1))</f>
        <v>-0.444705811696858</v>
      </c>
    </row>
    <row r="260" customFormat="false" ht="15" hidden="false" customHeight="false" outlineLevel="0" collapsed="false">
      <c r="A260" s="2" t="n">
        <v>256</v>
      </c>
      <c r="B260" s="20" t="n">
        <f aca="false">A260*Config!$B$9</f>
        <v>12.8</v>
      </c>
      <c r="C260" s="18" t="n">
        <f aca="true" t="array" ref="C260:C260">SKEW(OFFSET(Datos!$D$1,1+A260,0,Config!$B$12,1)-OFFSET(Datos!$D$1,1,0,Config!$B$12,1))</f>
        <v>0.249532146391769</v>
      </c>
      <c r="D260" s="18" t="n">
        <f aca="true" t="array" ref="D260:D260">KURT(OFFSET(Datos!$D$1,1+A260,0,Config!$B$12,1)-OFFSET(Datos!$D$1,1,0,Config!$B$12,1))</f>
        <v>-0.393718185160608</v>
      </c>
    </row>
    <row r="261" customFormat="false" ht="15" hidden="false" customHeight="false" outlineLevel="0" collapsed="false">
      <c r="A261" s="2" t="n">
        <v>257</v>
      </c>
      <c r="B261" s="20" t="n">
        <f aca="false">A261*Config!$B$9</f>
        <v>12.85</v>
      </c>
      <c r="C261" s="18" t="n">
        <f aca="true" t="array" ref="C261:C261">SKEW(OFFSET(Datos!$D$1,1+A261,0,Config!$B$12,1)-OFFSET(Datos!$D$1,1,0,Config!$B$12,1))</f>
        <v>0.200247578460969</v>
      </c>
      <c r="D261" s="18" t="n">
        <f aca="true" t="array" ref="D261:D261">KURT(OFFSET(Datos!$D$1,1+A261,0,Config!$B$12,1)-OFFSET(Datos!$D$1,1,0,Config!$B$12,1))</f>
        <v>-0.403461571254236</v>
      </c>
    </row>
    <row r="262" customFormat="false" ht="15" hidden="false" customHeight="false" outlineLevel="0" collapsed="false">
      <c r="A262" s="2" t="n">
        <v>258</v>
      </c>
      <c r="B262" s="20" t="n">
        <f aca="false">A262*Config!$B$9</f>
        <v>12.9</v>
      </c>
      <c r="C262" s="18" t="n">
        <f aca="true" t="array" ref="C262:C262">SKEW(OFFSET(Datos!$D$1,1+A262,0,Config!$B$12,1)-OFFSET(Datos!$D$1,1,0,Config!$B$12,1))</f>
        <v>0.239754108711397</v>
      </c>
      <c r="D262" s="18" t="n">
        <f aca="true" t="array" ref="D262:D262">KURT(OFFSET(Datos!$D$1,1+A262,0,Config!$B$12,1)-OFFSET(Datos!$D$1,1,0,Config!$B$12,1))</f>
        <v>-0.425685914828763</v>
      </c>
    </row>
    <row r="263" customFormat="false" ht="15" hidden="false" customHeight="false" outlineLevel="0" collapsed="false">
      <c r="A263" s="2" t="n">
        <v>259</v>
      </c>
      <c r="B263" s="20" t="n">
        <f aca="false">A263*Config!$B$9</f>
        <v>12.95</v>
      </c>
      <c r="C263" s="18" t="n">
        <f aca="true" t="array" ref="C263:C263">SKEW(OFFSET(Datos!$D$1,1+A263,0,Config!$B$12,1)-OFFSET(Datos!$D$1,1,0,Config!$B$12,1))</f>
        <v>0.255181913389726</v>
      </c>
      <c r="D263" s="18" t="n">
        <f aca="true" t="array" ref="D263:D263">KURT(OFFSET(Datos!$D$1,1+A263,0,Config!$B$12,1)-OFFSET(Datos!$D$1,1,0,Config!$B$12,1))</f>
        <v>-0.401664867944834</v>
      </c>
    </row>
    <row r="264" customFormat="false" ht="15" hidden="false" customHeight="false" outlineLevel="0" collapsed="false">
      <c r="A264" s="2" t="n">
        <v>260</v>
      </c>
      <c r="B264" s="20" t="n">
        <f aca="false">A264*Config!$B$9</f>
        <v>13</v>
      </c>
      <c r="C264" s="18" t="n">
        <f aca="true" t="array" ref="C264:C264">SKEW(OFFSET(Datos!$D$1,1+A264,0,Config!$B$12,1)-OFFSET(Datos!$D$1,1,0,Config!$B$12,1))</f>
        <v>0.246150819416001</v>
      </c>
      <c r="D264" s="18" t="n">
        <f aca="true" t="array" ref="D264:D264">KURT(OFFSET(Datos!$D$1,1+A264,0,Config!$B$12,1)-OFFSET(Datos!$D$1,1,0,Config!$B$12,1))</f>
        <v>-0.421304908483715</v>
      </c>
    </row>
    <row r="265" customFormat="false" ht="15" hidden="false" customHeight="false" outlineLevel="0" collapsed="false">
      <c r="A265" s="2" t="n">
        <v>261</v>
      </c>
      <c r="B265" s="20" t="n">
        <f aca="false">A265*Config!$B$9</f>
        <v>13.05</v>
      </c>
      <c r="C265" s="18" t="n">
        <f aca="true" t="array" ref="C265:C265">SKEW(OFFSET(Datos!$D$1,1+A265,0,Config!$B$12,1)-OFFSET(Datos!$D$1,1,0,Config!$B$12,1))</f>
        <v>0.23895424396602</v>
      </c>
      <c r="D265" s="18" t="n">
        <f aca="true" t="array" ref="D265:D265">KURT(OFFSET(Datos!$D$1,1+A265,0,Config!$B$12,1)-OFFSET(Datos!$D$1,1,0,Config!$B$12,1))</f>
        <v>-0.451126654099364</v>
      </c>
    </row>
    <row r="266" customFormat="false" ht="15" hidden="false" customHeight="false" outlineLevel="0" collapsed="false">
      <c r="A266" s="2" t="n">
        <v>262</v>
      </c>
      <c r="B266" s="20" t="n">
        <f aca="false">A266*Config!$B$9</f>
        <v>13.1</v>
      </c>
      <c r="C266" s="18" t="n">
        <f aca="true" t="array" ref="C266:C266">SKEW(OFFSET(Datos!$D$1,1+A266,0,Config!$B$12,1)-OFFSET(Datos!$D$1,1,0,Config!$B$12,1))</f>
        <v>0.232407203072835</v>
      </c>
      <c r="D266" s="18" t="n">
        <f aca="true" t="array" ref="D266:D266">KURT(OFFSET(Datos!$D$1,1+A266,0,Config!$B$12,1)-OFFSET(Datos!$D$1,1,0,Config!$B$12,1))</f>
        <v>-0.445461569444241</v>
      </c>
    </row>
    <row r="267" customFormat="false" ht="15" hidden="false" customHeight="false" outlineLevel="0" collapsed="false">
      <c r="A267" s="2" t="n">
        <v>263</v>
      </c>
      <c r="B267" s="20" t="n">
        <f aca="false">A267*Config!$B$9</f>
        <v>13.15</v>
      </c>
      <c r="C267" s="18" t="n">
        <f aca="true" t="array" ref="C267:C267">SKEW(OFFSET(Datos!$D$1,1+A267,0,Config!$B$12,1)-OFFSET(Datos!$D$1,1,0,Config!$B$12,1))</f>
        <v>0.21327262395971</v>
      </c>
      <c r="D267" s="18" t="n">
        <f aca="true" t="array" ref="D267:D267">KURT(OFFSET(Datos!$D$1,1+A267,0,Config!$B$12,1)-OFFSET(Datos!$D$1,1,0,Config!$B$12,1))</f>
        <v>-0.520286848621989</v>
      </c>
    </row>
    <row r="268" customFormat="false" ht="15" hidden="false" customHeight="false" outlineLevel="0" collapsed="false">
      <c r="A268" s="2" t="n">
        <v>264</v>
      </c>
      <c r="B268" s="20" t="n">
        <f aca="false">A268*Config!$B$9</f>
        <v>13.2</v>
      </c>
      <c r="C268" s="18" t="n">
        <f aca="true" t="array" ref="C268:C268">SKEW(OFFSET(Datos!$D$1,1+A268,0,Config!$B$12,1)-OFFSET(Datos!$D$1,1,0,Config!$B$12,1))</f>
        <v>0.230215732229433</v>
      </c>
      <c r="D268" s="18" t="n">
        <f aca="true" t="array" ref="D268:D268">KURT(OFFSET(Datos!$D$1,1+A268,0,Config!$B$12,1)-OFFSET(Datos!$D$1,1,0,Config!$B$12,1))</f>
        <v>-0.494764200595663</v>
      </c>
    </row>
    <row r="269" customFormat="false" ht="15" hidden="false" customHeight="false" outlineLevel="0" collapsed="false">
      <c r="A269" s="2" t="n">
        <v>265</v>
      </c>
      <c r="B269" s="20" t="n">
        <f aca="false">A269*Config!$B$9</f>
        <v>13.25</v>
      </c>
      <c r="C269" s="18" t="n">
        <f aca="true" t="array" ref="C269:C269">SKEW(OFFSET(Datos!$D$1,1+A269,0,Config!$B$12,1)-OFFSET(Datos!$D$1,1,0,Config!$B$12,1))</f>
        <v>0.229428566057194</v>
      </c>
      <c r="D269" s="18" t="n">
        <f aca="true" t="array" ref="D269:D269">KURT(OFFSET(Datos!$D$1,1+A269,0,Config!$B$12,1)-OFFSET(Datos!$D$1,1,0,Config!$B$12,1))</f>
        <v>-0.546227307858437</v>
      </c>
    </row>
    <row r="270" customFormat="false" ht="15" hidden="false" customHeight="false" outlineLevel="0" collapsed="false">
      <c r="A270" s="2" t="n">
        <v>266</v>
      </c>
      <c r="B270" s="20" t="n">
        <f aca="false">A270*Config!$B$9</f>
        <v>13.3</v>
      </c>
      <c r="C270" s="18" t="n">
        <f aca="true" t="array" ref="C270:C270">SKEW(OFFSET(Datos!$D$1,1+A270,0,Config!$B$12,1)-OFFSET(Datos!$D$1,1,0,Config!$B$12,1))</f>
        <v>0.248306387115383</v>
      </c>
      <c r="D270" s="18" t="n">
        <f aca="true" t="array" ref="D270:D270">KURT(OFFSET(Datos!$D$1,1+A270,0,Config!$B$12,1)-OFFSET(Datos!$D$1,1,0,Config!$B$12,1))</f>
        <v>-0.499443659776606</v>
      </c>
    </row>
    <row r="271" customFormat="false" ht="15" hidden="false" customHeight="false" outlineLevel="0" collapsed="false">
      <c r="A271" s="2" t="n">
        <v>267</v>
      </c>
      <c r="B271" s="20" t="n">
        <f aca="false">A271*Config!$B$9</f>
        <v>13.35</v>
      </c>
      <c r="C271" s="18" t="n">
        <f aca="true" t="array" ref="C271:C271">SKEW(OFFSET(Datos!$D$1,1+A271,0,Config!$B$12,1)-OFFSET(Datos!$D$1,1,0,Config!$B$12,1))</f>
        <v>0.228631523558871</v>
      </c>
      <c r="D271" s="18" t="n">
        <f aca="true" t="array" ref="D271:D271">KURT(OFFSET(Datos!$D$1,1+A271,0,Config!$B$12,1)-OFFSET(Datos!$D$1,1,0,Config!$B$12,1))</f>
        <v>-0.511932207984449</v>
      </c>
    </row>
    <row r="272" customFormat="false" ht="15" hidden="false" customHeight="false" outlineLevel="0" collapsed="false">
      <c r="A272" s="2" t="n">
        <v>268</v>
      </c>
      <c r="B272" s="20" t="n">
        <f aca="false">A272*Config!$B$9</f>
        <v>13.4</v>
      </c>
      <c r="C272" s="18" t="n">
        <f aca="true" t="array" ref="C272:C272">SKEW(OFFSET(Datos!$D$1,1+A272,0,Config!$B$12,1)-OFFSET(Datos!$D$1,1,0,Config!$B$12,1))</f>
        <v>0.205674575910526</v>
      </c>
      <c r="D272" s="18" t="n">
        <f aca="true" t="array" ref="D272:D272">KURT(OFFSET(Datos!$D$1,1+A272,0,Config!$B$12,1)-OFFSET(Datos!$D$1,1,0,Config!$B$12,1))</f>
        <v>-0.545755538829097</v>
      </c>
    </row>
    <row r="273" customFormat="false" ht="15" hidden="false" customHeight="false" outlineLevel="0" collapsed="false">
      <c r="A273" s="2" t="n">
        <v>269</v>
      </c>
      <c r="B273" s="20" t="n">
        <f aca="false">A273*Config!$B$9</f>
        <v>13.45</v>
      </c>
      <c r="C273" s="18" t="n">
        <f aca="true" t="array" ref="C273:C273">SKEW(OFFSET(Datos!$D$1,1+A273,0,Config!$B$12,1)-OFFSET(Datos!$D$1,1,0,Config!$B$12,1))</f>
        <v>0.193639074215021</v>
      </c>
      <c r="D273" s="18" t="n">
        <f aca="true" t="array" ref="D273:D273">KURT(OFFSET(Datos!$D$1,1+A273,0,Config!$B$12,1)-OFFSET(Datos!$D$1,1,0,Config!$B$12,1))</f>
        <v>-0.617620570907535</v>
      </c>
    </row>
    <row r="274" customFormat="false" ht="15" hidden="false" customHeight="false" outlineLevel="0" collapsed="false">
      <c r="A274" s="2" t="n">
        <v>270</v>
      </c>
      <c r="B274" s="20" t="n">
        <f aca="false">A274*Config!$B$9</f>
        <v>13.5</v>
      </c>
      <c r="C274" s="18" t="n">
        <f aca="true" t="array" ref="C274:C274">SKEW(OFFSET(Datos!$D$1,1+A274,0,Config!$B$12,1)-OFFSET(Datos!$D$1,1,0,Config!$B$12,1))</f>
        <v>0.196762689811559</v>
      </c>
      <c r="D274" s="18" t="n">
        <f aca="true" t="array" ref="D274:D274">KURT(OFFSET(Datos!$D$1,1+A274,0,Config!$B$12,1)-OFFSET(Datos!$D$1,1,0,Config!$B$12,1))</f>
        <v>-0.554665853293894</v>
      </c>
    </row>
    <row r="275" customFormat="false" ht="15" hidden="false" customHeight="false" outlineLevel="0" collapsed="false">
      <c r="A275" s="2" t="n">
        <v>271</v>
      </c>
      <c r="B275" s="20" t="n">
        <f aca="false">A275*Config!$B$9</f>
        <v>13.55</v>
      </c>
      <c r="C275" s="18" t="n">
        <f aca="true" t="array" ref="C275:C275">SKEW(OFFSET(Datos!$D$1,1+A275,0,Config!$B$12,1)-OFFSET(Datos!$D$1,1,0,Config!$B$12,1))</f>
        <v>0.23903106164088</v>
      </c>
      <c r="D275" s="18" t="n">
        <f aca="true" t="array" ref="D275:D275">KURT(OFFSET(Datos!$D$1,1+A275,0,Config!$B$12,1)-OFFSET(Datos!$D$1,1,0,Config!$B$12,1))</f>
        <v>-0.540901165780425</v>
      </c>
    </row>
    <row r="276" customFormat="false" ht="15" hidden="false" customHeight="false" outlineLevel="0" collapsed="false">
      <c r="A276" s="2" t="n">
        <v>272</v>
      </c>
      <c r="B276" s="20" t="n">
        <f aca="false">A276*Config!$B$9</f>
        <v>13.6</v>
      </c>
      <c r="C276" s="18" t="n">
        <f aca="true" t="array" ref="C276:C276">SKEW(OFFSET(Datos!$D$1,1+A276,0,Config!$B$12,1)-OFFSET(Datos!$D$1,1,0,Config!$B$12,1))</f>
        <v>0.208386243997517</v>
      </c>
      <c r="D276" s="18" t="n">
        <f aca="true" t="array" ref="D276:D276">KURT(OFFSET(Datos!$D$1,1+A276,0,Config!$B$12,1)-OFFSET(Datos!$D$1,1,0,Config!$B$12,1))</f>
        <v>-0.515847501592796</v>
      </c>
    </row>
    <row r="277" customFormat="false" ht="15" hidden="false" customHeight="false" outlineLevel="0" collapsed="false">
      <c r="A277" s="2" t="n">
        <v>273</v>
      </c>
      <c r="B277" s="20" t="n">
        <f aca="false">A277*Config!$B$9</f>
        <v>13.65</v>
      </c>
      <c r="C277" s="18" t="n">
        <f aca="true" t="array" ref="C277:C277">SKEW(OFFSET(Datos!$D$1,1+A277,0,Config!$B$12,1)-OFFSET(Datos!$D$1,1,0,Config!$B$12,1))</f>
        <v>0.187911078838529</v>
      </c>
      <c r="D277" s="18" t="n">
        <f aca="true" t="array" ref="D277:D277">KURT(OFFSET(Datos!$D$1,1+A277,0,Config!$B$12,1)-OFFSET(Datos!$D$1,1,0,Config!$B$12,1))</f>
        <v>-0.527945660439633</v>
      </c>
    </row>
    <row r="278" customFormat="false" ht="15" hidden="false" customHeight="false" outlineLevel="0" collapsed="false">
      <c r="A278" s="2" t="n">
        <v>274</v>
      </c>
      <c r="B278" s="20" t="n">
        <f aca="false">A278*Config!$B$9</f>
        <v>13.7</v>
      </c>
      <c r="C278" s="18" t="n">
        <f aca="true" t="array" ref="C278:C278">SKEW(OFFSET(Datos!$D$1,1+A278,0,Config!$B$12,1)-OFFSET(Datos!$D$1,1,0,Config!$B$12,1))</f>
        <v>0.247659778464441</v>
      </c>
      <c r="D278" s="18" t="n">
        <f aca="true" t="array" ref="D278:D278">KURT(OFFSET(Datos!$D$1,1+A278,0,Config!$B$12,1)-OFFSET(Datos!$D$1,1,0,Config!$B$12,1))</f>
        <v>-0.602418959765906</v>
      </c>
    </row>
    <row r="279" customFormat="false" ht="15" hidden="false" customHeight="false" outlineLevel="0" collapsed="false">
      <c r="A279" s="2" t="n">
        <v>275</v>
      </c>
      <c r="B279" s="20" t="n">
        <f aca="false">A279*Config!$B$9</f>
        <v>13.75</v>
      </c>
      <c r="C279" s="18" t="n">
        <f aca="true" t="array" ref="C279:C279">SKEW(OFFSET(Datos!$D$1,1+A279,0,Config!$B$12,1)-OFFSET(Datos!$D$1,1,0,Config!$B$12,1))</f>
        <v>0.201735459215089</v>
      </c>
      <c r="D279" s="18" t="n">
        <f aca="true" t="array" ref="D279:D279">KURT(OFFSET(Datos!$D$1,1+A279,0,Config!$B$12,1)-OFFSET(Datos!$D$1,1,0,Config!$B$12,1))</f>
        <v>-0.47770971100095</v>
      </c>
    </row>
    <row r="280" customFormat="false" ht="15" hidden="false" customHeight="false" outlineLevel="0" collapsed="false">
      <c r="A280" s="2" t="n">
        <v>276</v>
      </c>
      <c r="B280" s="20" t="n">
        <f aca="false">A280*Config!$B$9</f>
        <v>13.8</v>
      </c>
      <c r="C280" s="18" t="n">
        <f aca="true" t="array" ref="C280:C280">SKEW(OFFSET(Datos!$D$1,1+A280,0,Config!$B$12,1)-OFFSET(Datos!$D$1,1,0,Config!$B$12,1))</f>
        <v>0.157984681968841</v>
      </c>
      <c r="D280" s="18" t="n">
        <f aca="true" t="array" ref="D280:D280">KURT(OFFSET(Datos!$D$1,1+A280,0,Config!$B$12,1)-OFFSET(Datos!$D$1,1,0,Config!$B$12,1))</f>
        <v>-0.54312791186373</v>
      </c>
    </row>
    <row r="281" customFormat="false" ht="15" hidden="false" customHeight="false" outlineLevel="0" collapsed="false">
      <c r="A281" s="2" t="n">
        <v>277</v>
      </c>
      <c r="B281" s="20" t="n">
        <f aca="false">A281*Config!$B$9</f>
        <v>13.85</v>
      </c>
      <c r="C281" s="18" t="n">
        <f aca="true" t="array" ref="C281:C281">SKEW(OFFSET(Datos!$D$1,1+A281,0,Config!$B$12,1)-OFFSET(Datos!$D$1,1,0,Config!$B$12,1))</f>
        <v>0.142061079563024</v>
      </c>
      <c r="D281" s="18" t="n">
        <f aca="true" t="array" ref="D281:D281">KURT(OFFSET(Datos!$D$1,1+A281,0,Config!$B$12,1)-OFFSET(Datos!$D$1,1,0,Config!$B$12,1))</f>
        <v>-0.570870229518405</v>
      </c>
    </row>
    <row r="282" customFormat="false" ht="15" hidden="false" customHeight="false" outlineLevel="0" collapsed="false">
      <c r="A282" s="2" t="n">
        <v>278</v>
      </c>
      <c r="B282" s="20" t="n">
        <f aca="false">A282*Config!$B$9</f>
        <v>13.9</v>
      </c>
      <c r="C282" s="18" t="n">
        <f aca="true" t="array" ref="C282:C282">SKEW(OFFSET(Datos!$D$1,1+A282,0,Config!$B$12,1)-OFFSET(Datos!$D$1,1,0,Config!$B$12,1))</f>
        <v>0.186943797139709</v>
      </c>
      <c r="D282" s="18" t="n">
        <f aca="true" t="array" ref="D282:D282">KURT(OFFSET(Datos!$D$1,1+A282,0,Config!$B$12,1)-OFFSET(Datos!$D$1,1,0,Config!$B$12,1))</f>
        <v>-0.482003817389066</v>
      </c>
    </row>
    <row r="283" customFormat="false" ht="15" hidden="false" customHeight="false" outlineLevel="0" collapsed="false">
      <c r="A283" s="2" t="n">
        <v>279</v>
      </c>
      <c r="B283" s="20" t="n">
        <f aca="false">A283*Config!$B$9</f>
        <v>13.95</v>
      </c>
      <c r="C283" s="18" t="n">
        <f aca="true" t="array" ref="C283:C283">SKEW(OFFSET(Datos!$D$1,1+A283,0,Config!$B$12,1)-OFFSET(Datos!$D$1,1,0,Config!$B$12,1))</f>
        <v>0.178440631660232</v>
      </c>
      <c r="D283" s="18" t="n">
        <f aca="true" t="array" ref="D283:D283">KURT(OFFSET(Datos!$D$1,1+A283,0,Config!$B$12,1)-OFFSET(Datos!$D$1,1,0,Config!$B$12,1))</f>
        <v>-0.597730971891276</v>
      </c>
    </row>
    <row r="284" customFormat="false" ht="15" hidden="false" customHeight="false" outlineLevel="0" collapsed="false">
      <c r="A284" s="2" t="n">
        <v>280</v>
      </c>
      <c r="B284" s="20" t="n">
        <f aca="false">A284*Config!$B$9</f>
        <v>14</v>
      </c>
      <c r="C284" s="18" t="n">
        <f aca="true" t="array" ref="C284:C284">SKEW(OFFSET(Datos!$D$1,1+A284,0,Config!$B$12,1)-OFFSET(Datos!$D$1,1,0,Config!$B$12,1))</f>
        <v>0.175326532376718</v>
      </c>
      <c r="D284" s="18" t="n">
        <f aca="true" t="array" ref="D284:D284">KURT(OFFSET(Datos!$D$1,1+A284,0,Config!$B$12,1)-OFFSET(Datos!$D$1,1,0,Config!$B$12,1))</f>
        <v>-0.485192898284363</v>
      </c>
    </row>
    <row r="285" customFormat="false" ht="15" hidden="false" customHeight="false" outlineLevel="0" collapsed="false">
      <c r="A285" s="2" t="n">
        <v>281</v>
      </c>
      <c r="B285" s="20" t="n">
        <f aca="false">A285*Config!$B$9</f>
        <v>14.05</v>
      </c>
      <c r="C285" s="18" t="n">
        <f aca="true" t="array" ref="C285:C285">SKEW(OFFSET(Datos!$D$1,1+A285,0,Config!$B$12,1)-OFFSET(Datos!$D$1,1,0,Config!$B$12,1))</f>
        <v>0.194908492711716</v>
      </c>
      <c r="D285" s="18" t="n">
        <f aca="true" t="array" ref="D285:D285">KURT(OFFSET(Datos!$D$1,1+A285,0,Config!$B$12,1)-OFFSET(Datos!$D$1,1,0,Config!$B$12,1))</f>
        <v>-0.518019521025679</v>
      </c>
    </row>
    <row r="286" customFormat="false" ht="15" hidden="false" customHeight="false" outlineLevel="0" collapsed="false">
      <c r="A286" s="2" t="n">
        <v>282</v>
      </c>
      <c r="B286" s="20" t="n">
        <f aca="false">A286*Config!$B$9</f>
        <v>14.1</v>
      </c>
      <c r="C286" s="18" t="n">
        <f aca="true" t="array" ref="C286:C286">SKEW(OFFSET(Datos!$D$1,1+A286,0,Config!$B$12,1)-OFFSET(Datos!$D$1,1,0,Config!$B$12,1))</f>
        <v>0.147476903609677</v>
      </c>
      <c r="D286" s="18" t="n">
        <f aca="true" t="array" ref="D286:D286">KURT(OFFSET(Datos!$D$1,1+A286,0,Config!$B$12,1)-OFFSET(Datos!$D$1,1,0,Config!$B$12,1))</f>
        <v>-0.536343218437314</v>
      </c>
    </row>
    <row r="287" customFormat="false" ht="15" hidden="false" customHeight="false" outlineLevel="0" collapsed="false">
      <c r="A287" s="2" t="n">
        <v>283</v>
      </c>
      <c r="B287" s="20" t="n">
        <f aca="false">A287*Config!$B$9</f>
        <v>14.15</v>
      </c>
      <c r="C287" s="18" t="n">
        <f aca="true" t="array" ref="C287:C287">SKEW(OFFSET(Datos!$D$1,1+A287,0,Config!$B$12,1)-OFFSET(Datos!$D$1,1,0,Config!$B$12,1))</f>
        <v>0.209352751482807</v>
      </c>
      <c r="D287" s="18" t="n">
        <f aca="true" t="array" ref="D287:D287">KURT(OFFSET(Datos!$D$1,1+A287,0,Config!$B$12,1)-OFFSET(Datos!$D$1,1,0,Config!$B$12,1))</f>
        <v>-0.489670321469202</v>
      </c>
    </row>
    <row r="288" customFormat="false" ht="15" hidden="false" customHeight="false" outlineLevel="0" collapsed="false">
      <c r="A288" s="2" t="n">
        <v>284</v>
      </c>
      <c r="B288" s="20" t="n">
        <f aca="false">A288*Config!$B$9</f>
        <v>14.2</v>
      </c>
      <c r="C288" s="18" t="n">
        <f aca="true" t="array" ref="C288:C288">SKEW(OFFSET(Datos!$D$1,1+A288,0,Config!$B$12,1)-OFFSET(Datos!$D$1,1,0,Config!$B$12,1))</f>
        <v>0.153532809305274</v>
      </c>
      <c r="D288" s="18" t="n">
        <f aca="true" t="array" ref="D288:D288">KURT(OFFSET(Datos!$D$1,1+A288,0,Config!$B$12,1)-OFFSET(Datos!$D$1,1,0,Config!$B$12,1))</f>
        <v>-0.474790183203614</v>
      </c>
    </row>
    <row r="289" customFormat="false" ht="15" hidden="false" customHeight="false" outlineLevel="0" collapsed="false">
      <c r="A289" s="2" t="n">
        <v>285</v>
      </c>
      <c r="B289" s="20" t="n">
        <f aca="false">A289*Config!$B$9</f>
        <v>14.25</v>
      </c>
      <c r="C289" s="18" t="n">
        <f aca="true" t="array" ref="C289:C289">SKEW(OFFSET(Datos!$D$1,1+A289,0,Config!$B$12,1)-OFFSET(Datos!$D$1,1,0,Config!$B$12,1))</f>
        <v>0.137961318457713</v>
      </c>
      <c r="D289" s="18" t="n">
        <f aca="true" t="array" ref="D289:D289">KURT(OFFSET(Datos!$D$1,1+A289,0,Config!$B$12,1)-OFFSET(Datos!$D$1,1,0,Config!$B$12,1))</f>
        <v>-0.492695896727913</v>
      </c>
    </row>
    <row r="290" customFormat="false" ht="15" hidden="false" customHeight="false" outlineLevel="0" collapsed="false">
      <c r="A290" s="2" t="n">
        <v>286</v>
      </c>
      <c r="B290" s="20" t="n">
        <f aca="false">A290*Config!$B$9</f>
        <v>14.3</v>
      </c>
      <c r="C290" s="18" t="n">
        <f aca="true" t="array" ref="C290:C290">SKEW(OFFSET(Datos!$D$1,1+A290,0,Config!$B$12,1)-OFFSET(Datos!$D$1,1,0,Config!$B$12,1))</f>
        <v>0.139834063317779</v>
      </c>
      <c r="D290" s="18" t="n">
        <f aca="true" t="array" ref="D290:D290">KURT(OFFSET(Datos!$D$1,1+A290,0,Config!$B$12,1)-OFFSET(Datos!$D$1,1,0,Config!$B$12,1))</f>
        <v>-0.566177344753738</v>
      </c>
    </row>
    <row r="291" customFormat="false" ht="15" hidden="false" customHeight="false" outlineLevel="0" collapsed="false">
      <c r="A291" s="2" t="n">
        <v>287</v>
      </c>
      <c r="B291" s="20" t="n">
        <f aca="false">A291*Config!$B$9</f>
        <v>14.35</v>
      </c>
      <c r="C291" s="18" t="n">
        <f aca="true" t="array" ref="C291:C291">SKEW(OFFSET(Datos!$D$1,1+A291,0,Config!$B$12,1)-OFFSET(Datos!$D$1,1,0,Config!$B$12,1))</f>
        <v>0.163257442338851</v>
      </c>
      <c r="D291" s="18" t="n">
        <f aca="true" t="array" ref="D291:D291">KURT(OFFSET(Datos!$D$1,1+A291,0,Config!$B$12,1)-OFFSET(Datos!$D$1,1,0,Config!$B$12,1))</f>
        <v>-0.445494097517639</v>
      </c>
    </row>
    <row r="292" customFormat="false" ht="15" hidden="false" customHeight="false" outlineLevel="0" collapsed="false">
      <c r="A292" s="2" t="n">
        <v>288</v>
      </c>
      <c r="B292" s="20" t="n">
        <f aca="false">A292*Config!$B$9</f>
        <v>14.4</v>
      </c>
      <c r="C292" s="18" t="n">
        <f aca="true" t="array" ref="C292:C292">SKEW(OFFSET(Datos!$D$1,1+A292,0,Config!$B$12,1)-OFFSET(Datos!$D$1,1,0,Config!$B$12,1))</f>
        <v>0.15678385337799</v>
      </c>
      <c r="D292" s="18" t="n">
        <f aca="true" t="array" ref="D292:D292">KURT(OFFSET(Datos!$D$1,1+A292,0,Config!$B$12,1)-OFFSET(Datos!$D$1,1,0,Config!$B$12,1))</f>
        <v>-0.450062463432816</v>
      </c>
    </row>
    <row r="293" customFormat="false" ht="15" hidden="false" customHeight="false" outlineLevel="0" collapsed="false">
      <c r="A293" s="2" t="n">
        <v>289</v>
      </c>
      <c r="B293" s="20" t="n">
        <f aca="false">A293*Config!$B$9</f>
        <v>14.45</v>
      </c>
      <c r="C293" s="18" t="n">
        <f aca="true" t="array" ref="C293:C293">SKEW(OFFSET(Datos!$D$1,1+A293,0,Config!$B$12,1)-OFFSET(Datos!$D$1,1,0,Config!$B$12,1))</f>
        <v>0.105862817021278</v>
      </c>
      <c r="D293" s="18" t="n">
        <f aca="true" t="array" ref="D293:D293">KURT(OFFSET(Datos!$D$1,1+A293,0,Config!$B$12,1)-OFFSET(Datos!$D$1,1,0,Config!$B$12,1))</f>
        <v>-0.516187226891381</v>
      </c>
    </row>
    <row r="294" customFormat="false" ht="15" hidden="false" customHeight="false" outlineLevel="0" collapsed="false">
      <c r="A294" s="2" t="n">
        <v>290</v>
      </c>
      <c r="B294" s="20" t="n">
        <f aca="false">A294*Config!$B$9</f>
        <v>14.5</v>
      </c>
      <c r="C294" s="18" t="n">
        <f aca="true" t="array" ref="C294:C294">SKEW(OFFSET(Datos!$D$1,1+A294,0,Config!$B$12,1)-OFFSET(Datos!$D$1,1,0,Config!$B$12,1))</f>
        <v>0.167329108459844</v>
      </c>
      <c r="D294" s="18" t="n">
        <f aca="true" t="array" ref="D294:D294">KURT(OFFSET(Datos!$D$1,1+A294,0,Config!$B$12,1)-OFFSET(Datos!$D$1,1,0,Config!$B$12,1))</f>
        <v>-0.547870135138637</v>
      </c>
    </row>
    <row r="295" customFormat="false" ht="15" hidden="false" customHeight="false" outlineLevel="0" collapsed="false">
      <c r="A295" s="2" t="n">
        <v>291</v>
      </c>
      <c r="B295" s="20" t="n">
        <f aca="false">A295*Config!$B$9</f>
        <v>14.55</v>
      </c>
      <c r="C295" s="18" t="n">
        <f aca="true" t="array" ref="C295:C295">SKEW(OFFSET(Datos!$D$1,1+A295,0,Config!$B$12,1)-OFFSET(Datos!$D$1,1,0,Config!$B$12,1))</f>
        <v>0.160741660825317</v>
      </c>
      <c r="D295" s="18" t="n">
        <f aca="true" t="array" ref="D295:D295">KURT(OFFSET(Datos!$D$1,1+A295,0,Config!$B$12,1)-OFFSET(Datos!$D$1,1,0,Config!$B$12,1))</f>
        <v>-0.527918533463776</v>
      </c>
    </row>
    <row r="296" customFormat="false" ht="15" hidden="false" customHeight="false" outlineLevel="0" collapsed="false">
      <c r="A296" s="2" t="n">
        <v>292</v>
      </c>
      <c r="B296" s="20" t="n">
        <f aca="false">A296*Config!$B$9</f>
        <v>14.6</v>
      </c>
      <c r="C296" s="18" t="n">
        <f aca="true" t="array" ref="C296:C296">SKEW(OFFSET(Datos!$D$1,1+A296,0,Config!$B$12,1)-OFFSET(Datos!$D$1,1,0,Config!$B$12,1))</f>
        <v>0.113808077107919</v>
      </c>
      <c r="D296" s="18" t="n">
        <f aca="true" t="array" ref="D296:D296">KURT(OFFSET(Datos!$D$1,1+A296,0,Config!$B$12,1)-OFFSET(Datos!$D$1,1,0,Config!$B$12,1))</f>
        <v>-0.499224750866877</v>
      </c>
    </row>
    <row r="297" customFormat="false" ht="15" hidden="false" customHeight="false" outlineLevel="0" collapsed="false">
      <c r="A297" s="2" t="n">
        <v>293</v>
      </c>
      <c r="B297" s="20" t="n">
        <f aca="false">A297*Config!$B$9</f>
        <v>14.65</v>
      </c>
      <c r="C297" s="18" t="n">
        <f aca="true" t="array" ref="C297:C297">SKEW(OFFSET(Datos!$D$1,1+A297,0,Config!$B$12,1)-OFFSET(Datos!$D$1,1,0,Config!$B$12,1))</f>
        <v>0.1591766334532</v>
      </c>
      <c r="D297" s="18" t="n">
        <f aca="true" t="array" ref="D297:D297">KURT(OFFSET(Datos!$D$1,1+A297,0,Config!$B$12,1)-OFFSET(Datos!$D$1,1,0,Config!$B$12,1))</f>
        <v>-0.470158430406844</v>
      </c>
    </row>
    <row r="298" customFormat="false" ht="15" hidden="false" customHeight="false" outlineLevel="0" collapsed="false">
      <c r="A298" s="2" t="n">
        <v>294</v>
      </c>
      <c r="B298" s="20" t="n">
        <f aca="false">A298*Config!$B$9</f>
        <v>14.7</v>
      </c>
      <c r="C298" s="18" t="n">
        <f aca="true" t="array" ref="C298:C298">SKEW(OFFSET(Datos!$D$1,1+A298,0,Config!$B$12,1)-OFFSET(Datos!$D$1,1,0,Config!$B$12,1))</f>
        <v>0.127307142303316</v>
      </c>
      <c r="D298" s="18" t="n">
        <f aca="true" t="array" ref="D298:D298">KURT(OFFSET(Datos!$D$1,1+A298,0,Config!$B$12,1)-OFFSET(Datos!$D$1,1,0,Config!$B$12,1))</f>
        <v>-0.530691137935718</v>
      </c>
    </row>
    <row r="299" customFormat="false" ht="15" hidden="false" customHeight="false" outlineLevel="0" collapsed="false">
      <c r="A299" s="2" t="n">
        <v>295</v>
      </c>
      <c r="B299" s="20" t="n">
        <f aca="false">A299*Config!$B$9</f>
        <v>14.75</v>
      </c>
      <c r="C299" s="18" t="n">
        <f aca="true" t="array" ref="C299:C299">SKEW(OFFSET(Datos!$D$1,1+A299,0,Config!$B$12,1)-OFFSET(Datos!$D$1,1,0,Config!$B$12,1))</f>
        <v>0.178901468111511</v>
      </c>
      <c r="D299" s="18" t="n">
        <f aca="true" t="array" ref="D299:D299">KURT(OFFSET(Datos!$D$1,1+A299,0,Config!$B$12,1)-OFFSET(Datos!$D$1,1,0,Config!$B$12,1))</f>
        <v>-0.58008169470675</v>
      </c>
    </row>
    <row r="300" customFormat="false" ht="15" hidden="false" customHeight="false" outlineLevel="0" collapsed="false">
      <c r="A300" s="2" t="n">
        <v>296</v>
      </c>
      <c r="B300" s="20" t="n">
        <f aca="false">A300*Config!$B$9</f>
        <v>14.8</v>
      </c>
      <c r="C300" s="18" t="n">
        <f aca="true" t="array" ref="C300:C300">SKEW(OFFSET(Datos!$D$1,1+A300,0,Config!$B$12,1)-OFFSET(Datos!$D$1,1,0,Config!$B$12,1))</f>
        <v>0.124115798378516</v>
      </c>
      <c r="D300" s="18" t="n">
        <f aca="true" t="array" ref="D300:D300">KURT(OFFSET(Datos!$D$1,1+A300,0,Config!$B$12,1)-OFFSET(Datos!$D$1,1,0,Config!$B$12,1))</f>
        <v>-0.476158212576268</v>
      </c>
    </row>
    <row r="301" customFormat="false" ht="15" hidden="false" customHeight="false" outlineLevel="0" collapsed="false">
      <c r="A301" s="2" t="n">
        <v>297</v>
      </c>
      <c r="B301" s="20" t="n">
        <f aca="false">A301*Config!$B$9</f>
        <v>14.85</v>
      </c>
      <c r="C301" s="18" t="n">
        <f aca="true" t="array" ref="C301:C301">SKEW(OFFSET(Datos!$D$1,1+A301,0,Config!$B$12,1)-OFFSET(Datos!$D$1,1,0,Config!$B$12,1))</f>
        <v>0.14365329854489</v>
      </c>
      <c r="D301" s="18" t="n">
        <f aca="true" t="array" ref="D301:D301">KURT(OFFSET(Datos!$D$1,1+A301,0,Config!$B$12,1)-OFFSET(Datos!$D$1,1,0,Config!$B$12,1))</f>
        <v>-0.52939331374847</v>
      </c>
    </row>
    <row r="302" customFormat="false" ht="15" hidden="false" customHeight="false" outlineLevel="0" collapsed="false">
      <c r="A302" s="2" t="n">
        <v>298</v>
      </c>
      <c r="B302" s="20" t="n">
        <f aca="false">A302*Config!$B$9</f>
        <v>14.9</v>
      </c>
      <c r="C302" s="18" t="n">
        <f aca="true" t="array" ref="C302:C302">SKEW(OFFSET(Datos!$D$1,1+A302,0,Config!$B$12,1)-OFFSET(Datos!$D$1,1,0,Config!$B$12,1))</f>
        <v>0.119860626493154</v>
      </c>
      <c r="D302" s="18" t="n">
        <f aca="true" t="array" ref="D302:D302">KURT(OFFSET(Datos!$D$1,1+A302,0,Config!$B$12,1)-OFFSET(Datos!$D$1,1,0,Config!$B$12,1))</f>
        <v>-0.507874889140469</v>
      </c>
    </row>
    <row r="303" customFormat="false" ht="15" hidden="false" customHeight="false" outlineLevel="0" collapsed="false">
      <c r="A303" s="2" t="n">
        <v>299</v>
      </c>
      <c r="B303" s="20" t="n">
        <f aca="false">A303*Config!$B$9</f>
        <v>14.95</v>
      </c>
      <c r="C303" s="18" t="n">
        <f aca="true" t="array" ref="C303:C303">SKEW(OFFSET(Datos!$D$1,1+A303,0,Config!$B$12,1)-OFFSET(Datos!$D$1,1,0,Config!$B$12,1))</f>
        <v>0.149000864073019</v>
      </c>
      <c r="D303" s="18" t="n">
        <f aca="true" t="array" ref="D303:D303">KURT(OFFSET(Datos!$D$1,1+A303,0,Config!$B$12,1)-OFFSET(Datos!$D$1,1,0,Config!$B$12,1))</f>
        <v>-0.499738607817393</v>
      </c>
    </row>
    <row r="304" customFormat="false" ht="15" hidden="false" customHeight="false" outlineLevel="0" collapsed="false">
      <c r="A304" s="2" t="n">
        <v>300</v>
      </c>
      <c r="B304" s="20" t="n">
        <f aca="false">A304*Config!$B$9</f>
        <v>15</v>
      </c>
      <c r="C304" s="18" t="n">
        <f aca="true" t="array" ref="C304:C304">SKEW(OFFSET(Datos!$D$1,1+A304,0,Config!$B$12,1)-OFFSET(Datos!$D$1,1,0,Config!$B$12,1))</f>
        <v>0.146623242927603</v>
      </c>
      <c r="D304" s="18" t="n">
        <f aca="true" t="array" ref="D304:D304">KURT(OFFSET(Datos!$D$1,1+A304,0,Config!$B$12,1)-OFFSET(Datos!$D$1,1,0,Config!$B$12,1))</f>
        <v>-0.50814488448033</v>
      </c>
    </row>
  </sheetData>
  <mergeCells count="2">
    <mergeCell ref="A1:D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4" t="s">
        <v>84</v>
      </c>
      <c r="B1" s="4"/>
      <c r="C1" s="4"/>
      <c r="D1" s="4"/>
    </row>
    <row r="2" customFormat="false" ht="15" hidden="false" customHeight="false" outlineLevel="0" collapsed="false">
      <c r="A2" s="19" t="s">
        <v>85</v>
      </c>
      <c r="B2" s="19"/>
      <c r="C2" s="19"/>
      <c r="D2" s="19"/>
      <c r="E2" s="19"/>
      <c r="F2" s="19"/>
    </row>
    <row r="4" customFormat="false" ht="15" hidden="false" customHeight="false" outlineLevel="0" collapsed="false">
      <c r="A4" s="5" t="s">
        <v>86</v>
      </c>
      <c r="B4" s="5" t="s">
        <v>87</v>
      </c>
      <c r="C4" s="5" t="s">
        <v>88</v>
      </c>
    </row>
    <row r="5" customFormat="false" ht="15" hidden="false" customHeight="false" outlineLevel="0" collapsed="false">
      <c r="A5" s="2" t="n">
        <v>1</v>
      </c>
      <c r="B5" s="13" t="n">
        <f aca="false">SMALL(Datos!$D$2:$D$1501,A5)</f>
        <v>144.713142713605</v>
      </c>
      <c r="C5" s="21" t="n">
        <f aca="false">(Config!$B$11-A5+1)/Config!$B$11</f>
        <v>1</v>
      </c>
    </row>
    <row r="6" customFormat="false" ht="15" hidden="false" customHeight="false" outlineLevel="0" collapsed="false">
      <c r="A6" s="2" t="n">
        <v>2</v>
      </c>
      <c r="B6" s="13" t="n">
        <f aca="false">SMALL(Datos!$D$2:$D$1501,A6)</f>
        <v>145.515954911213</v>
      </c>
      <c r="C6" s="21" t="n">
        <f aca="false">(Config!$B$11-A6+1)/Config!$B$11</f>
        <v>0.999333333333333</v>
      </c>
    </row>
    <row r="7" customFormat="false" ht="15" hidden="false" customHeight="false" outlineLevel="0" collapsed="false">
      <c r="A7" s="2" t="n">
        <v>3</v>
      </c>
      <c r="B7" s="13" t="n">
        <f aca="false">SMALL(Datos!$D$2:$D$1501,A7)</f>
        <v>145.551635453328</v>
      </c>
      <c r="C7" s="21" t="n">
        <f aca="false">(Config!$B$11-A7+1)/Config!$B$11</f>
        <v>0.998666666666667</v>
      </c>
    </row>
    <row r="8" customFormat="false" ht="15" hidden="false" customHeight="false" outlineLevel="0" collapsed="false">
      <c r="A8" s="2" t="n">
        <v>4</v>
      </c>
      <c r="B8" s="13" t="n">
        <f aca="false">SMALL(Datos!$D$2:$D$1501,A8)</f>
        <v>145.876328386583</v>
      </c>
      <c r="C8" s="21" t="n">
        <f aca="false">(Config!$B$11-A8+1)/Config!$B$11</f>
        <v>0.998</v>
      </c>
    </row>
    <row r="9" customFormat="false" ht="15" hidden="false" customHeight="false" outlineLevel="0" collapsed="false">
      <c r="A9" s="2" t="n">
        <v>5</v>
      </c>
      <c r="B9" s="13" t="n">
        <f aca="false">SMALL(Datos!$D$2:$D$1501,A9)</f>
        <v>145.908440874487</v>
      </c>
      <c r="C9" s="21" t="n">
        <f aca="false">(Config!$B$11-A9+1)/Config!$B$11</f>
        <v>0.997333333333333</v>
      </c>
    </row>
    <row r="10" customFormat="false" ht="15" hidden="false" customHeight="false" outlineLevel="0" collapsed="false">
      <c r="A10" s="2" t="n">
        <v>6</v>
      </c>
      <c r="B10" s="13" t="n">
        <f aca="false">SMALL(Datos!$D$2:$D$1501,A10)</f>
        <v>145.93698530818</v>
      </c>
      <c r="C10" s="21" t="n">
        <f aca="false">(Config!$B$11-A10+1)/Config!$B$11</f>
        <v>0.996666666666667</v>
      </c>
    </row>
    <row r="11" customFormat="false" ht="15" hidden="false" customHeight="false" outlineLevel="0" collapsed="false">
      <c r="A11" s="2" t="n">
        <v>7</v>
      </c>
      <c r="B11" s="13" t="n">
        <f aca="false">SMALL(Datos!$D$2:$D$1501,A11)</f>
        <v>146.154636615087</v>
      </c>
      <c r="C11" s="21" t="n">
        <f aca="false">(Config!$B$11-A11+1)/Config!$B$11</f>
        <v>0.996</v>
      </c>
    </row>
    <row r="12" customFormat="false" ht="15" hidden="false" customHeight="false" outlineLevel="0" collapsed="false">
      <c r="A12" s="2" t="n">
        <v>8</v>
      </c>
      <c r="B12" s="13" t="n">
        <f aca="false">SMALL(Datos!$D$2:$D$1501,A12)</f>
        <v>146.293790729339</v>
      </c>
      <c r="C12" s="21" t="n">
        <f aca="false">(Config!$B$11-A12+1)/Config!$B$11</f>
        <v>0.995333333333333</v>
      </c>
    </row>
    <row r="13" customFormat="false" ht="15" hidden="false" customHeight="false" outlineLevel="0" collapsed="false">
      <c r="A13" s="2" t="n">
        <v>9</v>
      </c>
      <c r="B13" s="13" t="n">
        <f aca="false">SMALL(Datos!$D$2:$D$1501,A13)</f>
        <v>146.311631000397</v>
      </c>
      <c r="C13" s="21" t="n">
        <f aca="false">(Config!$B$11-A13+1)/Config!$B$11</f>
        <v>0.994666666666667</v>
      </c>
    </row>
    <row r="14" customFormat="false" ht="15" hidden="false" customHeight="false" outlineLevel="0" collapsed="false">
      <c r="A14" s="2" t="n">
        <v>10</v>
      </c>
      <c r="B14" s="13" t="n">
        <f aca="false">SMALL(Datos!$D$2:$D$1501,A14)</f>
        <v>146.368719867782</v>
      </c>
      <c r="C14" s="21" t="n">
        <f aca="false">(Config!$B$11-A14+1)/Config!$B$11</f>
        <v>0.994</v>
      </c>
    </row>
    <row r="15" customFormat="false" ht="15" hidden="false" customHeight="false" outlineLevel="0" collapsed="false">
      <c r="A15" s="2" t="n">
        <v>11</v>
      </c>
      <c r="B15" s="13" t="n">
        <f aca="false">SMALL(Datos!$D$2:$D$1501,A15)</f>
        <v>146.393696247263</v>
      </c>
      <c r="C15" s="21" t="n">
        <f aca="false">(Config!$B$11-A15+1)/Config!$B$11</f>
        <v>0.993333333333333</v>
      </c>
    </row>
    <row r="16" customFormat="false" ht="15" hidden="false" customHeight="false" outlineLevel="0" collapsed="false">
      <c r="A16" s="2" t="n">
        <v>12</v>
      </c>
      <c r="B16" s="13" t="n">
        <f aca="false">SMALL(Datos!$D$2:$D$1501,A16)</f>
        <v>146.45435316886</v>
      </c>
      <c r="C16" s="21" t="n">
        <f aca="false">(Config!$B$11-A16+1)/Config!$B$11</f>
        <v>0.992666666666667</v>
      </c>
    </row>
    <row r="17" customFormat="false" ht="15" hidden="false" customHeight="false" outlineLevel="0" collapsed="false">
      <c r="A17" s="2" t="n">
        <v>13</v>
      </c>
      <c r="B17" s="13" t="n">
        <f aca="false">SMALL(Datos!$D$2:$D$1501,A17)</f>
        <v>146.486465656765</v>
      </c>
      <c r="C17" s="21" t="n">
        <f aca="false">(Config!$B$11-A17+1)/Config!$B$11</f>
        <v>0.992</v>
      </c>
    </row>
    <row r="18" customFormat="false" ht="15" hidden="false" customHeight="false" outlineLevel="0" collapsed="false">
      <c r="A18" s="2" t="n">
        <v>14</v>
      </c>
      <c r="B18" s="13" t="n">
        <f aca="false">SMALL(Datos!$D$2:$D$1501,A18)</f>
        <v>146.539986469938</v>
      </c>
      <c r="C18" s="21" t="n">
        <f aca="false">(Config!$B$11-A18+1)/Config!$B$11</f>
        <v>0.991333333333333</v>
      </c>
    </row>
    <row r="19" customFormat="false" ht="15" hidden="false" customHeight="false" outlineLevel="0" collapsed="false">
      <c r="A19" s="2" t="n">
        <v>15</v>
      </c>
      <c r="B19" s="13" t="n">
        <f aca="false">SMALL(Datos!$D$2:$D$1501,A19)</f>
        <v>146.550690632573</v>
      </c>
      <c r="C19" s="21" t="n">
        <f aca="false">(Config!$B$11-A19+1)/Config!$B$11</f>
        <v>0.990666666666667</v>
      </c>
    </row>
    <row r="20" customFormat="false" ht="15" hidden="false" customHeight="false" outlineLevel="0" collapsed="false">
      <c r="A20" s="2" t="n">
        <v>16</v>
      </c>
      <c r="B20" s="13" t="n">
        <f aca="false">SMALL(Datos!$D$2:$D$1501,A20)</f>
        <v>146.597075337324</v>
      </c>
      <c r="C20" s="21" t="n">
        <f aca="false">(Config!$B$11-A20+1)/Config!$B$11</f>
        <v>0.99</v>
      </c>
    </row>
    <row r="21" customFormat="false" ht="15" hidden="false" customHeight="false" outlineLevel="0" collapsed="false">
      <c r="A21" s="2" t="n">
        <v>17</v>
      </c>
      <c r="B21" s="13" t="n">
        <f aca="false">SMALL(Datos!$D$2:$D$1501,A21)</f>
        <v>146.600643391535</v>
      </c>
      <c r="C21" s="21" t="n">
        <f aca="false">(Config!$B$11-A21+1)/Config!$B$11</f>
        <v>0.989333333333333</v>
      </c>
    </row>
    <row r="22" customFormat="false" ht="15" hidden="false" customHeight="false" outlineLevel="0" collapsed="false">
      <c r="A22" s="2" t="n">
        <v>18</v>
      </c>
      <c r="B22" s="13" t="n">
        <f aca="false">SMALL(Datos!$D$2:$D$1501,A22)</f>
        <v>146.604211445747</v>
      </c>
      <c r="C22" s="21" t="n">
        <f aca="false">(Config!$B$11-A22+1)/Config!$B$11</f>
        <v>0.988666666666667</v>
      </c>
    </row>
    <row r="23" customFormat="false" ht="15" hidden="false" customHeight="false" outlineLevel="0" collapsed="false">
      <c r="A23" s="2" t="n">
        <v>19</v>
      </c>
      <c r="B23" s="13" t="n">
        <f aca="false">SMALL(Datos!$D$2:$D$1501,A23)</f>
        <v>146.647028096286</v>
      </c>
      <c r="C23" s="21" t="n">
        <f aca="false">(Config!$B$11-A23+1)/Config!$B$11</f>
        <v>0.988</v>
      </c>
    </row>
    <row r="24" customFormat="false" ht="15" hidden="false" customHeight="false" outlineLevel="0" collapsed="false">
      <c r="A24" s="2" t="n">
        <v>20</v>
      </c>
      <c r="B24" s="13" t="n">
        <f aca="false">SMALL(Datos!$D$2:$D$1501,A24)</f>
        <v>146.668436421556</v>
      </c>
      <c r="C24" s="21" t="n">
        <f aca="false">(Config!$B$11-A24+1)/Config!$B$11</f>
        <v>0.987333333333333</v>
      </c>
    </row>
    <row r="25" customFormat="false" ht="15" hidden="false" customHeight="false" outlineLevel="0" collapsed="false">
      <c r="A25" s="2" t="n">
        <v>21</v>
      </c>
      <c r="B25" s="13" t="n">
        <f aca="false">SMALL(Datos!$D$2:$D$1501,A25)</f>
        <v>146.689844746825</v>
      </c>
      <c r="C25" s="21" t="n">
        <f aca="false">(Config!$B$11-A25+1)/Config!$B$11</f>
        <v>0.986666666666667</v>
      </c>
    </row>
    <row r="26" customFormat="false" ht="15" hidden="false" customHeight="false" outlineLevel="0" collapsed="false">
      <c r="A26" s="2" t="n">
        <v>22</v>
      </c>
      <c r="B26" s="13" t="n">
        <f aca="false">SMALL(Datos!$D$2:$D$1501,A26)</f>
        <v>146.754069722634</v>
      </c>
      <c r="C26" s="21" t="n">
        <f aca="false">(Config!$B$11-A26+1)/Config!$B$11</f>
        <v>0.986</v>
      </c>
    </row>
    <row r="27" customFormat="false" ht="15" hidden="false" customHeight="false" outlineLevel="0" collapsed="false">
      <c r="A27" s="2" t="n">
        <v>23</v>
      </c>
      <c r="B27" s="13" t="n">
        <f aca="false">SMALL(Datos!$D$2:$D$1501,A27)</f>
        <v>146.754069722634</v>
      </c>
      <c r="C27" s="21" t="n">
        <f aca="false">(Config!$B$11-A27+1)/Config!$B$11</f>
        <v>0.985333333333333</v>
      </c>
    </row>
    <row r="28" customFormat="false" ht="15" hidden="false" customHeight="false" outlineLevel="0" collapsed="false">
      <c r="A28" s="2" t="n">
        <v>24</v>
      </c>
      <c r="B28" s="13" t="n">
        <f aca="false">SMALL(Datos!$D$2:$D$1501,A28)</f>
        <v>146.807590535808</v>
      </c>
      <c r="C28" s="21" t="n">
        <f aca="false">(Config!$B$11-A28+1)/Config!$B$11</f>
        <v>0.984666666666667</v>
      </c>
    </row>
    <row r="29" customFormat="false" ht="15" hidden="false" customHeight="false" outlineLevel="0" collapsed="false">
      <c r="A29" s="2" t="n">
        <v>25</v>
      </c>
      <c r="B29" s="13" t="n">
        <f aca="false">SMALL(Datos!$D$2:$D$1501,A29)</f>
        <v>146.878951620039</v>
      </c>
      <c r="C29" s="21" t="n">
        <f aca="false">(Config!$B$11-A29+1)/Config!$B$11</f>
        <v>0.984</v>
      </c>
    </row>
    <row r="30" customFormat="false" ht="15" hidden="false" customHeight="false" outlineLevel="0" collapsed="false">
      <c r="A30" s="2" t="n">
        <v>26</v>
      </c>
      <c r="B30" s="13" t="n">
        <f aca="false">SMALL(Datos!$D$2:$D$1501,A30)</f>
        <v>146.985993246387</v>
      </c>
      <c r="C30" s="21" t="n">
        <f aca="false">(Config!$B$11-A30+1)/Config!$B$11</f>
        <v>0.983333333333333</v>
      </c>
    </row>
    <row r="31" customFormat="false" ht="15" hidden="false" customHeight="false" outlineLevel="0" collapsed="false">
      <c r="A31" s="2" t="n">
        <v>27</v>
      </c>
      <c r="B31" s="13" t="n">
        <f aca="false">SMALL(Datos!$D$2:$D$1501,A31)</f>
        <v>147.025241842715</v>
      </c>
      <c r="C31" s="21" t="n">
        <f aca="false">(Config!$B$11-A31+1)/Config!$B$11</f>
        <v>0.982666666666667</v>
      </c>
    </row>
    <row r="32" customFormat="false" ht="15" hidden="false" customHeight="false" outlineLevel="0" collapsed="false">
      <c r="A32" s="2" t="n">
        <v>28</v>
      </c>
      <c r="B32" s="13" t="n">
        <f aca="false">SMALL(Datos!$D$2:$D$1501,A32)</f>
        <v>147.103739035369</v>
      </c>
      <c r="C32" s="21" t="n">
        <f aca="false">(Config!$B$11-A32+1)/Config!$B$11</f>
        <v>0.982</v>
      </c>
    </row>
    <row r="33" customFormat="false" ht="15" hidden="false" customHeight="false" outlineLevel="0" collapsed="false">
      <c r="A33" s="2" t="n">
        <v>29</v>
      </c>
      <c r="B33" s="13" t="n">
        <f aca="false">SMALL(Datos!$D$2:$D$1501,A33)</f>
        <v>147.460544456528</v>
      </c>
      <c r="C33" s="21" t="n">
        <f aca="false">(Config!$B$11-A33+1)/Config!$B$11</f>
        <v>0.981333333333333</v>
      </c>
    </row>
    <row r="34" customFormat="false" ht="15" hidden="false" customHeight="false" outlineLevel="0" collapsed="false">
      <c r="A34" s="2" t="n">
        <v>30</v>
      </c>
      <c r="B34" s="13" t="n">
        <f aca="false">SMALL(Datos!$D$2:$D$1501,A34)</f>
        <v>147.528337486548</v>
      </c>
      <c r="C34" s="21" t="n">
        <f aca="false">(Config!$B$11-A34+1)/Config!$B$11</f>
        <v>0.980666666666667</v>
      </c>
    </row>
    <row r="35" customFormat="false" ht="15" hidden="false" customHeight="false" outlineLevel="0" collapsed="false">
      <c r="A35" s="2" t="n">
        <v>31</v>
      </c>
      <c r="B35" s="13" t="n">
        <f aca="false">SMALL(Datos!$D$2:$D$1501,A35)</f>
        <v>147.581858299722</v>
      </c>
      <c r="C35" s="21" t="n">
        <f aca="false">(Config!$B$11-A35+1)/Config!$B$11</f>
        <v>0.98</v>
      </c>
    </row>
    <row r="36" customFormat="false" ht="15" hidden="false" customHeight="false" outlineLevel="0" collapsed="false">
      <c r="A36" s="2" t="n">
        <v>32</v>
      </c>
      <c r="B36" s="13" t="n">
        <f aca="false">SMALL(Datos!$D$2:$D$1501,A36)</f>
        <v>147.592562462357</v>
      </c>
      <c r="C36" s="21" t="n">
        <f aca="false">(Config!$B$11-A36+1)/Config!$B$11</f>
        <v>0.979333333333333</v>
      </c>
    </row>
    <row r="37" customFormat="false" ht="15" hidden="false" customHeight="false" outlineLevel="0" collapsed="false">
      <c r="A37" s="2" t="n">
        <v>33</v>
      </c>
      <c r="B37" s="13" t="n">
        <f aca="false">SMALL(Datos!$D$2:$D$1501,A37)</f>
        <v>147.59969857078</v>
      </c>
      <c r="C37" s="21" t="n">
        <f aca="false">(Config!$B$11-A37+1)/Config!$B$11</f>
        <v>0.978666666666667</v>
      </c>
    </row>
    <row r="38" customFormat="false" ht="15" hidden="false" customHeight="false" outlineLevel="0" collapsed="false">
      <c r="A38" s="2" t="n">
        <v>34</v>
      </c>
      <c r="B38" s="13" t="n">
        <f aca="false">SMALL(Datos!$D$2:$D$1501,A38)</f>
        <v>147.728148522397</v>
      </c>
      <c r="C38" s="21" t="n">
        <f aca="false">(Config!$B$11-A38+1)/Config!$B$11</f>
        <v>0.978</v>
      </c>
    </row>
    <row r="39" customFormat="false" ht="15" hidden="false" customHeight="false" outlineLevel="0" collapsed="false">
      <c r="A39" s="2" t="n">
        <v>35</v>
      </c>
      <c r="B39" s="13" t="n">
        <f aca="false">SMALL(Datos!$D$2:$D$1501,A39)</f>
        <v>148.013592859325</v>
      </c>
      <c r="C39" s="21" t="n">
        <f aca="false">(Config!$B$11-A39+1)/Config!$B$11</f>
        <v>0.977333333333333</v>
      </c>
    </row>
    <row r="40" customFormat="false" ht="15" hidden="false" customHeight="false" outlineLevel="0" collapsed="false">
      <c r="A40" s="2" t="n">
        <v>36</v>
      </c>
      <c r="B40" s="13" t="n">
        <f aca="false">SMALL(Datos!$D$2:$D$1501,A40)</f>
        <v>148.188427515692</v>
      </c>
      <c r="C40" s="21" t="n">
        <f aca="false">(Config!$B$11-A40+1)/Config!$B$11</f>
        <v>0.976666666666667</v>
      </c>
    </row>
    <row r="41" customFormat="false" ht="15" hidden="false" customHeight="false" outlineLevel="0" collapsed="false">
      <c r="A41" s="2" t="n">
        <v>37</v>
      </c>
      <c r="B41" s="13" t="n">
        <f aca="false">SMALL(Datos!$D$2:$D$1501,A41)</f>
        <v>148.224108057808</v>
      </c>
      <c r="C41" s="21" t="n">
        <f aca="false">(Config!$B$11-A41+1)/Config!$B$11</f>
        <v>0.976</v>
      </c>
    </row>
    <row r="42" customFormat="false" ht="15" hidden="false" customHeight="false" outlineLevel="0" collapsed="false">
      <c r="A42" s="2" t="n">
        <v>38</v>
      </c>
      <c r="B42" s="13" t="n">
        <f aca="false">SMALL(Datos!$D$2:$D$1501,A42)</f>
        <v>148.327581629944</v>
      </c>
      <c r="C42" s="21" t="n">
        <f aca="false">(Config!$B$11-A42+1)/Config!$B$11</f>
        <v>0.975333333333333</v>
      </c>
    </row>
    <row r="43" customFormat="false" ht="15" hidden="false" customHeight="false" outlineLevel="0" collapsed="false">
      <c r="A43" s="2" t="n">
        <v>39</v>
      </c>
      <c r="B43" s="13" t="n">
        <f aca="false">SMALL(Datos!$D$2:$D$1501,A43)</f>
        <v>148.334717738367</v>
      </c>
      <c r="C43" s="21" t="n">
        <f aca="false">(Config!$B$11-A43+1)/Config!$B$11</f>
        <v>0.974666666666667</v>
      </c>
    </row>
    <row r="44" customFormat="false" ht="15" hidden="false" customHeight="false" outlineLevel="0" collapsed="false">
      <c r="A44" s="2" t="n">
        <v>40</v>
      </c>
      <c r="B44" s="13" t="n">
        <f aca="false">SMALL(Datos!$D$2:$D$1501,A44)</f>
        <v>148.434623256292</v>
      </c>
      <c r="C44" s="21" t="n">
        <f aca="false">(Config!$B$11-A44+1)/Config!$B$11</f>
        <v>0.974</v>
      </c>
    </row>
    <row r="45" customFormat="false" ht="15" hidden="false" customHeight="false" outlineLevel="0" collapsed="false">
      <c r="A45" s="2" t="n">
        <v>41</v>
      </c>
      <c r="B45" s="13" t="n">
        <f aca="false">SMALL(Datos!$D$2:$D$1501,A45)</f>
        <v>148.552369045274</v>
      </c>
      <c r="C45" s="21" t="n">
        <f aca="false">(Config!$B$11-A45+1)/Config!$B$11</f>
        <v>0.973333333333333</v>
      </c>
    </row>
    <row r="46" customFormat="false" ht="15" hidden="false" customHeight="false" outlineLevel="0" collapsed="false">
      <c r="A46" s="2" t="n">
        <v>42</v>
      </c>
      <c r="B46" s="13" t="n">
        <f aca="false">SMALL(Datos!$D$2:$D$1501,A46)</f>
        <v>148.687955105315</v>
      </c>
      <c r="C46" s="21" t="n">
        <f aca="false">(Config!$B$11-A46+1)/Config!$B$11</f>
        <v>0.972666666666667</v>
      </c>
    </row>
    <row r="47" customFormat="false" ht="15" hidden="false" customHeight="false" outlineLevel="0" collapsed="false">
      <c r="A47" s="2" t="n">
        <v>43</v>
      </c>
      <c r="B47" s="13" t="n">
        <f aca="false">SMALL(Datos!$D$2:$D$1501,A47)</f>
        <v>148.752180081123</v>
      </c>
      <c r="C47" s="21" t="n">
        <f aca="false">(Config!$B$11-A47+1)/Config!$B$11</f>
        <v>0.972</v>
      </c>
    </row>
    <row r="48" customFormat="false" ht="15" hidden="false" customHeight="false" outlineLevel="0" collapsed="false">
      <c r="A48" s="2" t="n">
        <v>44</v>
      </c>
      <c r="B48" s="13" t="n">
        <f aca="false">SMALL(Datos!$D$2:$D$1501,A48)</f>
        <v>148.859221707471</v>
      </c>
      <c r="C48" s="21" t="n">
        <f aca="false">(Config!$B$11-A48+1)/Config!$B$11</f>
        <v>0.971333333333333</v>
      </c>
    </row>
    <row r="49" customFormat="false" ht="15" hidden="false" customHeight="false" outlineLevel="0" collapsed="false">
      <c r="A49" s="2" t="n">
        <v>45</v>
      </c>
      <c r="B49" s="13" t="n">
        <f aca="false">SMALL(Datos!$D$2:$D$1501,A49)</f>
        <v>148.941286954338</v>
      </c>
      <c r="C49" s="21" t="n">
        <f aca="false">(Config!$B$11-A49+1)/Config!$B$11</f>
        <v>0.970666666666667</v>
      </c>
    </row>
    <row r="50" customFormat="false" ht="15" hidden="false" customHeight="false" outlineLevel="0" collapsed="false">
      <c r="A50" s="2" t="n">
        <v>46</v>
      </c>
      <c r="B50" s="13" t="n">
        <f aca="false">SMALL(Datos!$D$2:$D$1501,A50)</f>
        <v>148.994807767511</v>
      </c>
      <c r="C50" s="21" t="n">
        <f aca="false">(Config!$B$11-A50+1)/Config!$B$11</f>
        <v>0.97</v>
      </c>
    </row>
    <row r="51" customFormat="false" ht="15" hidden="false" customHeight="false" outlineLevel="0" collapsed="false">
      <c r="A51" s="2" t="n">
        <v>47</v>
      </c>
      <c r="B51" s="13" t="n">
        <f aca="false">SMALL(Datos!$D$2:$D$1501,A51)</f>
        <v>149.098281339647</v>
      </c>
      <c r="C51" s="21" t="n">
        <f aca="false">(Config!$B$11-A51+1)/Config!$B$11</f>
        <v>0.969333333333333</v>
      </c>
    </row>
    <row r="52" customFormat="false" ht="15" hidden="false" customHeight="false" outlineLevel="0" collapsed="false">
      <c r="A52" s="2" t="n">
        <v>48</v>
      </c>
      <c r="B52" s="13" t="n">
        <f aca="false">SMALL(Datos!$D$2:$D$1501,A52)</f>
        <v>149.176778532302</v>
      </c>
      <c r="C52" s="21" t="n">
        <f aca="false">(Config!$B$11-A52+1)/Config!$B$11</f>
        <v>0.968666666666667</v>
      </c>
    </row>
    <row r="53" customFormat="false" ht="15" hidden="false" customHeight="false" outlineLevel="0" collapsed="false">
      <c r="A53" s="2" t="n">
        <v>49</v>
      </c>
      <c r="B53" s="13" t="n">
        <f aca="false">SMALL(Datos!$D$2:$D$1501,A53)</f>
        <v>149.319500700766</v>
      </c>
      <c r="C53" s="21" t="n">
        <f aca="false">(Config!$B$11-A53+1)/Config!$B$11</f>
        <v>0.968</v>
      </c>
    </row>
    <row r="54" customFormat="false" ht="15" hidden="false" customHeight="false" outlineLevel="0" collapsed="false">
      <c r="A54" s="2" t="n">
        <v>50</v>
      </c>
      <c r="B54" s="13" t="n">
        <f aca="false">SMALL(Datos!$D$2:$D$1501,A54)</f>
        <v>149.451518706595</v>
      </c>
      <c r="C54" s="21" t="n">
        <f aca="false">(Config!$B$11-A54+1)/Config!$B$11</f>
        <v>0.967333333333333</v>
      </c>
    </row>
    <row r="55" customFormat="false" ht="15" hidden="false" customHeight="false" outlineLevel="0" collapsed="false">
      <c r="A55" s="2" t="n">
        <v>51</v>
      </c>
      <c r="B55" s="13" t="n">
        <f aca="false">SMALL(Datos!$D$2:$D$1501,A55)</f>
        <v>149.744099151945</v>
      </c>
      <c r="C55" s="21" t="n">
        <f aca="false">(Config!$B$11-A55+1)/Config!$B$11</f>
        <v>0.966666666666667</v>
      </c>
    </row>
    <row r="56" customFormat="false" ht="15" hidden="false" customHeight="false" outlineLevel="0" collapsed="false">
      <c r="A56" s="2" t="n">
        <v>52</v>
      </c>
      <c r="B56" s="13" t="n">
        <f aca="false">SMALL(Datos!$D$2:$D$1501,A56)</f>
        <v>149.776211639849</v>
      </c>
      <c r="C56" s="21" t="n">
        <f aca="false">(Config!$B$11-A56+1)/Config!$B$11</f>
        <v>0.966</v>
      </c>
    </row>
    <row r="57" customFormat="false" ht="15" hidden="false" customHeight="false" outlineLevel="0" collapsed="false">
      <c r="A57" s="2" t="n">
        <v>53</v>
      </c>
      <c r="B57" s="13" t="n">
        <f aca="false">SMALL(Datos!$D$2:$D$1501,A57)</f>
        <v>149.918933808313</v>
      </c>
      <c r="C57" s="21" t="n">
        <f aca="false">(Config!$B$11-A57+1)/Config!$B$11</f>
        <v>0.965333333333333</v>
      </c>
    </row>
    <row r="58" customFormat="false" ht="15" hidden="false" customHeight="false" outlineLevel="0" collapsed="false">
      <c r="A58" s="2" t="n">
        <v>54</v>
      </c>
      <c r="B58" s="13" t="n">
        <f aca="false">SMALL(Datos!$D$2:$D$1501,A58)</f>
        <v>150.008135163602</v>
      </c>
      <c r="C58" s="21" t="n">
        <f aca="false">(Config!$B$11-A58+1)/Config!$B$11</f>
        <v>0.964666666666667</v>
      </c>
    </row>
    <row r="59" customFormat="false" ht="15" hidden="false" customHeight="false" outlineLevel="0" collapsed="false">
      <c r="A59" s="2" t="n">
        <v>55</v>
      </c>
      <c r="B59" s="13" t="n">
        <f aca="false">SMALL(Datos!$D$2:$D$1501,A59)</f>
        <v>150.104472627315</v>
      </c>
      <c r="C59" s="21" t="n">
        <f aca="false">(Config!$B$11-A59+1)/Config!$B$11</f>
        <v>0.964</v>
      </c>
    </row>
    <row r="60" customFormat="false" ht="15" hidden="false" customHeight="false" outlineLevel="0" collapsed="false">
      <c r="A60" s="2" t="n">
        <v>56</v>
      </c>
      <c r="B60" s="13" t="n">
        <f aca="false">SMALL(Datos!$D$2:$D$1501,A60)</f>
        <v>150.104472627315</v>
      </c>
      <c r="C60" s="21" t="n">
        <f aca="false">(Config!$B$11-A60+1)/Config!$B$11</f>
        <v>0.963333333333333</v>
      </c>
    </row>
    <row r="61" customFormat="false" ht="15" hidden="false" customHeight="false" outlineLevel="0" collapsed="false">
      <c r="A61" s="2" t="n">
        <v>57</v>
      </c>
      <c r="B61" s="13" t="n">
        <f aca="false">SMALL(Datos!$D$2:$D$1501,A61)</f>
        <v>150.104472627315</v>
      </c>
      <c r="C61" s="21" t="n">
        <f aca="false">(Config!$B$11-A61+1)/Config!$B$11</f>
        <v>0.962666666666667</v>
      </c>
    </row>
    <row r="62" customFormat="false" ht="15" hidden="false" customHeight="false" outlineLevel="0" collapsed="false">
      <c r="A62" s="2" t="n">
        <v>58</v>
      </c>
      <c r="B62" s="13" t="n">
        <f aca="false">SMALL(Datos!$D$2:$D$1501,A62)</f>
        <v>150.140153169431</v>
      </c>
      <c r="C62" s="21" t="n">
        <f aca="false">(Config!$B$11-A62+1)/Config!$B$11</f>
        <v>0.962</v>
      </c>
    </row>
    <row r="63" customFormat="false" ht="15" hidden="false" customHeight="false" outlineLevel="0" collapsed="false">
      <c r="A63" s="2" t="n">
        <v>59</v>
      </c>
      <c r="B63" s="13" t="n">
        <f aca="false">SMALL(Datos!$D$2:$D$1501,A63)</f>
        <v>150.147289277854</v>
      </c>
      <c r="C63" s="21" t="n">
        <f aca="false">(Config!$B$11-A63+1)/Config!$B$11</f>
        <v>0.961333333333333</v>
      </c>
    </row>
    <row r="64" customFormat="false" ht="15" hidden="false" customHeight="false" outlineLevel="0" collapsed="false">
      <c r="A64" s="2" t="n">
        <v>60</v>
      </c>
      <c r="B64" s="13" t="n">
        <f aca="false">SMALL(Datos!$D$2:$D$1501,A64)</f>
        <v>150.443437777416</v>
      </c>
      <c r="C64" s="21" t="n">
        <f aca="false">(Config!$B$11-A64+1)/Config!$B$11</f>
        <v>0.960666666666667</v>
      </c>
    </row>
    <row r="65" customFormat="false" ht="15" hidden="false" customHeight="false" outlineLevel="0" collapsed="false">
      <c r="A65" s="2" t="n">
        <v>61</v>
      </c>
      <c r="B65" s="13" t="n">
        <f aca="false">SMALL(Datos!$D$2:$D$1501,A65)</f>
        <v>150.514798861648</v>
      </c>
      <c r="C65" s="21" t="n">
        <f aca="false">(Config!$B$11-A65+1)/Config!$B$11</f>
        <v>0.96</v>
      </c>
    </row>
    <row r="66" customFormat="false" ht="15" hidden="false" customHeight="false" outlineLevel="0" collapsed="false">
      <c r="A66" s="2" t="n">
        <v>62</v>
      </c>
      <c r="B66" s="13" t="n">
        <f aca="false">SMALL(Datos!$D$2:$D$1501,A66)</f>
        <v>150.536207186918</v>
      </c>
      <c r="C66" s="21" t="n">
        <f aca="false">(Config!$B$11-A66+1)/Config!$B$11</f>
        <v>0.959333333333333</v>
      </c>
    </row>
    <row r="67" customFormat="false" ht="15" hidden="false" customHeight="false" outlineLevel="0" collapsed="false">
      <c r="A67" s="2" t="n">
        <v>63</v>
      </c>
      <c r="B67" s="13" t="n">
        <f aca="false">SMALL(Datos!$D$2:$D$1501,A67)</f>
        <v>150.67536130117</v>
      </c>
      <c r="C67" s="21" t="n">
        <f aca="false">(Config!$B$11-A67+1)/Config!$B$11</f>
        <v>0.958666666666667</v>
      </c>
    </row>
    <row r="68" customFormat="false" ht="15" hidden="false" customHeight="false" outlineLevel="0" collapsed="false">
      <c r="A68" s="2" t="n">
        <v>64</v>
      </c>
      <c r="B68" s="13" t="n">
        <f aca="false">SMALL(Datos!$D$2:$D$1501,A68)</f>
        <v>150.703905734862</v>
      </c>
      <c r="C68" s="21" t="n">
        <f aca="false">(Config!$B$11-A68+1)/Config!$B$11</f>
        <v>0.958</v>
      </c>
    </row>
    <row r="69" customFormat="false" ht="15" hidden="false" customHeight="false" outlineLevel="0" collapsed="false">
      <c r="A69" s="2" t="n">
        <v>65</v>
      </c>
      <c r="B69" s="13" t="n">
        <f aca="false">SMALL(Datos!$D$2:$D$1501,A69)</f>
        <v>150.707473789074</v>
      </c>
      <c r="C69" s="21" t="n">
        <f aca="false">(Config!$B$11-A69+1)/Config!$B$11</f>
        <v>0.957333333333333</v>
      </c>
    </row>
    <row r="70" customFormat="false" ht="15" hidden="false" customHeight="false" outlineLevel="0" collapsed="false">
      <c r="A70" s="2" t="n">
        <v>66</v>
      </c>
      <c r="B70" s="13" t="n">
        <f aca="false">SMALL(Datos!$D$2:$D$1501,A70)</f>
        <v>150.714609897497</v>
      </c>
      <c r="C70" s="21" t="n">
        <f aca="false">(Config!$B$11-A70+1)/Config!$B$11</f>
        <v>0.956666666666667</v>
      </c>
    </row>
    <row r="71" customFormat="false" ht="15" hidden="false" customHeight="false" outlineLevel="0" collapsed="false">
      <c r="A71" s="2" t="n">
        <v>67</v>
      </c>
      <c r="B71" s="13" t="n">
        <f aca="false">SMALL(Datos!$D$2:$D$1501,A71)</f>
        <v>150.725314060132</v>
      </c>
      <c r="C71" s="21" t="n">
        <f aca="false">(Config!$B$11-A71+1)/Config!$B$11</f>
        <v>0.956</v>
      </c>
    </row>
    <row r="72" customFormat="false" ht="15" hidden="false" customHeight="false" outlineLevel="0" collapsed="false">
      <c r="A72" s="2" t="n">
        <v>68</v>
      </c>
      <c r="B72" s="13" t="n">
        <f aca="false">SMALL(Datos!$D$2:$D$1501,A72)</f>
        <v>150.825219578056</v>
      </c>
      <c r="C72" s="21" t="n">
        <f aca="false">(Config!$B$11-A72+1)/Config!$B$11</f>
        <v>0.955333333333333</v>
      </c>
    </row>
    <row r="73" customFormat="false" ht="15" hidden="false" customHeight="false" outlineLevel="0" collapsed="false">
      <c r="A73" s="2" t="n">
        <v>69</v>
      </c>
      <c r="B73" s="13" t="n">
        <f aca="false">SMALL(Datos!$D$2:$D$1501,A73)</f>
        <v>150.87874039123</v>
      </c>
      <c r="C73" s="21" t="n">
        <f aca="false">(Config!$B$11-A73+1)/Config!$B$11</f>
        <v>0.954666666666667</v>
      </c>
    </row>
    <row r="74" customFormat="false" ht="15" hidden="false" customHeight="false" outlineLevel="0" collapsed="false">
      <c r="A74" s="2" t="n">
        <v>70</v>
      </c>
      <c r="B74" s="13" t="n">
        <f aca="false">SMALL(Datos!$D$2:$D$1501,A74)</f>
        <v>150.939397312827</v>
      </c>
      <c r="C74" s="21" t="n">
        <f aca="false">(Config!$B$11-A74+1)/Config!$B$11</f>
        <v>0.954</v>
      </c>
    </row>
    <row r="75" customFormat="false" ht="15" hidden="false" customHeight="false" outlineLevel="0" collapsed="false">
      <c r="A75" s="2" t="n">
        <v>71</v>
      </c>
      <c r="B75" s="13" t="n">
        <f aca="false">SMALL(Datos!$D$2:$D$1501,A75)</f>
        <v>150.960805638097</v>
      </c>
      <c r="C75" s="21" t="n">
        <f aca="false">(Config!$B$11-A75+1)/Config!$B$11</f>
        <v>0.953333333333333</v>
      </c>
    </row>
    <row r="76" customFormat="false" ht="15" hidden="false" customHeight="false" outlineLevel="0" collapsed="false">
      <c r="A76" s="2" t="n">
        <v>72</v>
      </c>
      <c r="B76" s="13" t="n">
        <f aca="false">SMALL(Datos!$D$2:$D$1501,A76)</f>
        <v>150.978645909155</v>
      </c>
      <c r="C76" s="21" t="n">
        <f aca="false">(Config!$B$11-A76+1)/Config!$B$11</f>
        <v>0.952666666666667</v>
      </c>
    </row>
    <row r="77" customFormat="false" ht="15" hidden="false" customHeight="false" outlineLevel="0" collapsed="false">
      <c r="A77" s="2" t="n">
        <v>73</v>
      </c>
      <c r="B77" s="13" t="n">
        <f aca="false">SMALL(Datos!$D$2:$D$1501,A77)</f>
        <v>151.067847264444</v>
      </c>
      <c r="C77" s="21" t="n">
        <f aca="false">(Config!$B$11-A77+1)/Config!$B$11</f>
        <v>0.952</v>
      </c>
    </row>
    <row r="78" customFormat="false" ht="15" hidden="false" customHeight="false" outlineLevel="0" collapsed="false">
      <c r="A78" s="2" t="n">
        <v>74</v>
      </c>
      <c r="B78" s="13" t="n">
        <f aca="false">SMALL(Datos!$D$2:$D$1501,A78)</f>
        <v>151.132072240253</v>
      </c>
      <c r="C78" s="21" t="n">
        <f aca="false">(Config!$B$11-A78+1)/Config!$B$11</f>
        <v>0.951333333333333</v>
      </c>
    </row>
    <row r="79" customFormat="false" ht="15" hidden="false" customHeight="false" outlineLevel="0" collapsed="false">
      <c r="A79" s="2" t="n">
        <v>75</v>
      </c>
      <c r="B79" s="13" t="n">
        <f aca="false">SMALL(Datos!$D$2:$D$1501,A79)</f>
        <v>151.146344457099</v>
      </c>
      <c r="C79" s="21" t="n">
        <f aca="false">(Config!$B$11-A79+1)/Config!$B$11</f>
        <v>0.950666666666667</v>
      </c>
    </row>
    <row r="80" customFormat="false" ht="15" hidden="false" customHeight="false" outlineLevel="0" collapsed="false">
      <c r="A80" s="2" t="n">
        <v>76</v>
      </c>
      <c r="B80" s="13" t="n">
        <f aca="false">SMALL(Datos!$D$2:$D$1501,A80)</f>
        <v>151.157048619734</v>
      </c>
      <c r="C80" s="21" t="n">
        <f aca="false">(Config!$B$11-A80+1)/Config!$B$11</f>
        <v>0.95</v>
      </c>
    </row>
    <row r="81" customFormat="false" ht="15" hidden="false" customHeight="false" outlineLevel="0" collapsed="false">
      <c r="A81" s="2" t="n">
        <v>77</v>
      </c>
      <c r="B81" s="13" t="n">
        <f aca="false">SMALL(Datos!$D$2:$D$1501,A81)</f>
        <v>151.196297216061</v>
      </c>
      <c r="C81" s="21" t="n">
        <f aca="false">(Config!$B$11-A81+1)/Config!$B$11</f>
        <v>0.949333333333333</v>
      </c>
    </row>
    <row r="82" customFormat="false" ht="15" hidden="false" customHeight="false" outlineLevel="0" collapsed="false">
      <c r="A82" s="2" t="n">
        <v>78</v>
      </c>
      <c r="B82" s="13" t="n">
        <f aca="false">SMALL(Datos!$D$2:$D$1501,A82)</f>
        <v>151.214137487119</v>
      </c>
      <c r="C82" s="21" t="n">
        <f aca="false">(Config!$B$11-A82+1)/Config!$B$11</f>
        <v>0.948666666666667</v>
      </c>
    </row>
    <row r="83" customFormat="false" ht="15" hidden="false" customHeight="false" outlineLevel="0" collapsed="false">
      <c r="A83" s="2" t="n">
        <v>79</v>
      </c>
      <c r="B83" s="13" t="n">
        <f aca="false">SMALL(Datos!$D$2:$D$1501,A83)</f>
        <v>151.224841649754</v>
      </c>
      <c r="C83" s="21" t="n">
        <f aca="false">(Config!$B$11-A83+1)/Config!$B$11</f>
        <v>0.948</v>
      </c>
    </row>
    <row r="84" customFormat="false" ht="15" hidden="false" customHeight="false" outlineLevel="0" collapsed="false">
      <c r="A84" s="2" t="n">
        <v>80</v>
      </c>
      <c r="B84" s="13" t="n">
        <f aca="false">SMALL(Datos!$D$2:$D$1501,A84)</f>
        <v>151.249818029235</v>
      </c>
      <c r="C84" s="21" t="n">
        <f aca="false">(Config!$B$11-A84+1)/Config!$B$11</f>
        <v>0.947333333333333</v>
      </c>
    </row>
    <row r="85" customFormat="false" ht="15" hidden="false" customHeight="false" outlineLevel="0" collapsed="false">
      <c r="A85" s="2" t="n">
        <v>81</v>
      </c>
      <c r="B85" s="13" t="n">
        <f aca="false">SMALL(Datos!$D$2:$D$1501,A85)</f>
        <v>151.299770788198</v>
      </c>
      <c r="C85" s="21" t="n">
        <f aca="false">(Config!$B$11-A85+1)/Config!$B$11</f>
        <v>0.946666666666667</v>
      </c>
    </row>
    <row r="86" customFormat="false" ht="15" hidden="false" customHeight="false" outlineLevel="0" collapsed="false">
      <c r="A86" s="2" t="n">
        <v>82</v>
      </c>
      <c r="B86" s="13" t="n">
        <f aca="false">SMALL(Datos!$D$2:$D$1501,A86)</f>
        <v>151.331883276102</v>
      </c>
      <c r="C86" s="21" t="n">
        <f aca="false">(Config!$B$11-A86+1)/Config!$B$11</f>
        <v>0.946</v>
      </c>
    </row>
    <row r="87" customFormat="false" ht="15" hidden="false" customHeight="false" outlineLevel="0" collapsed="false">
      <c r="A87" s="2" t="n">
        <v>83</v>
      </c>
      <c r="B87" s="13" t="n">
        <f aca="false">SMALL(Datos!$D$2:$D$1501,A87)</f>
        <v>151.367563818218</v>
      </c>
      <c r="C87" s="21" t="n">
        <f aca="false">(Config!$B$11-A87+1)/Config!$B$11</f>
        <v>0.945333333333333</v>
      </c>
    </row>
    <row r="88" customFormat="false" ht="15" hidden="false" customHeight="false" outlineLevel="0" collapsed="false">
      <c r="A88" s="2" t="n">
        <v>84</v>
      </c>
      <c r="B88" s="13" t="n">
        <f aca="false">SMALL(Datos!$D$2:$D$1501,A88)</f>
        <v>151.488877661412</v>
      </c>
      <c r="C88" s="21" t="n">
        <f aca="false">(Config!$B$11-A88+1)/Config!$B$11</f>
        <v>0.944666666666667</v>
      </c>
    </row>
    <row r="89" customFormat="false" ht="15" hidden="false" customHeight="false" outlineLevel="0" collapsed="false">
      <c r="A89" s="2" t="n">
        <v>85</v>
      </c>
      <c r="B89" s="13" t="n">
        <f aca="false">SMALL(Datos!$D$2:$D$1501,A89)</f>
        <v>151.524558203528</v>
      </c>
      <c r="C89" s="21" t="n">
        <f aca="false">(Config!$B$11-A89+1)/Config!$B$11</f>
        <v>0.944</v>
      </c>
    </row>
    <row r="90" customFormat="false" ht="15" hidden="false" customHeight="false" outlineLevel="0" collapsed="false">
      <c r="A90" s="2" t="n">
        <v>86</v>
      </c>
      <c r="B90" s="13" t="n">
        <f aca="false">SMALL(Datos!$D$2:$D$1501,A90)</f>
        <v>151.55310263722</v>
      </c>
      <c r="C90" s="21" t="n">
        <f aca="false">(Config!$B$11-A90+1)/Config!$B$11</f>
        <v>0.943333333333333</v>
      </c>
    </row>
    <row r="91" customFormat="false" ht="15" hidden="false" customHeight="false" outlineLevel="0" collapsed="false">
      <c r="A91" s="2" t="n">
        <v>87</v>
      </c>
      <c r="B91" s="13" t="n">
        <f aca="false">SMALL(Datos!$D$2:$D$1501,A91)</f>
        <v>151.560238745643</v>
      </c>
      <c r="C91" s="21" t="n">
        <f aca="false">(Config!$B$11-A91+1)/Config!$B$11</f>
        <v>0.942666666666667</v>
      </c>
    </row>
    <row r="92" customFormat="false" ht="15" hidden="false" customHeight="false" outlineLevel="0" collapsed="false">
      <c r="A92" s="2" t="n">
        <v>88</v>
      </c>
      <c r="B92" s="13" t="n">
        <f aca="false">SMALL(Datos!$D$2:$D$1501,A92)</f>
        <v>151.617327613029</v>
      </c>
      <c r="C92" s="21" t="n">
        <f aca="false">(Config!$B$11-A92+1)/Config!$B$11</f>
        <v>0.942</v>
      </c>
    </row>
    <row r="93" customFormat="false" ht="15" hidden="false" customHeight="false" outlineLevel="0" collapsed="false">
      <c r="A93" s="2" t="n">
        <v>89</v>
      </c>
      <c r="B93" s="13" t="n">
        <f aca="false">SMALL(Datos!$D$2:$D$1501,A93)</f>
        <v>151.702960914107</v>
      </c>
      <c r="C93" s="21" t="n">
        <f aca="false">(Config!$B$11-A93+1)/Config!$B$11</f>
        <v>0.941333333333333</v>
      </c>
    </row>
    <row r="94" customFormat="false" ht="15" hidden="false" customHeight="false" outlineLevel="0" collapsed="false">
      <c r="A94" s="2" t="n">
        <v>90</v>
      </c>
      <c r="B94" s="13" t="n">
        <f aca="false">SMALL(Datos!$D$2:$D$1501,A94)</f>
        <v>151.735073402011</v>
      </c>
      <c r="C94" s="21" t="n">
        <f aca="false">(Config!$B$11-A94+1)/Config!$B$11</f>
        <v>0.940666666666667</v>
      </c>
    </row>
    <row r="95" customFormat="false" ht="15" hidden="false" customHeight="false" outlineLevel="0" collapsed="false">
      <c r="A95" s="2" t="n">
        <v>91</v>
      </c>
      <c r="B95" s="13" t="n">
        <f aca="false">SMALL(Datos!$D$2:$D$1501,A95)</f>
        <v>151.738641456223</v>
      </c>
      <c r="C95" s="21" t="n">
        <f aca="false">(Config!$B$11-A95+1)/Config!$B$11</f>
        <v>0.94</v>
      </c>
    </row>
    <row r="96" customFormat="false" ht="15" hidden="false" customHeight="false" outlineLevel="0" collapsed="false">
      <c r="A96" s="2" t="n">
        <v>92</v>
      </c>
      <c r="B96" s="13" t="n">
        <f aca="false">SMALL(Datos!$D$2:$D$1501,A96)</f>
        <v>151.795730323608</v>
      </c>
      <c r="C96" s="21" t="n">
        <f aca="false">(Config!$B$11-A96+1)/Config!$B$11</f>
        <v>0.939333333333333</v>
      </c>
    </row>
    <row r="97" customFormat="false" ht="15" hidden="false" customHeight="false" outlineLevel="0" collapsed="false">
      <c r="A97" s="2" t="n">
        <v>93</v>
      </c>
      <c r="B97" s="13" t="n">
        <f aca="false">SMALL(Datos!$D$2:$D$1501,A97)</f>
        <v>151.802866432031</v>
      </c>
      <c r="C97" s="21" t="n">
        <f aca="false">(Config!$B$11-A97+1)/Config!$B$11</f>
        <v>0.938666666666667</v>
      </c>
    </row>
    <row r="98" customFormat="false" ht="15" hidden="false" customHeight="false" outlineLevel="0" collapsed="false">
      <c r="A98" s="2" t="n">
        <v>94</v>
      </c>
      <c r="B98" s="13" t="n">
        <f aca="false">SMALL(Datos!$D$2:$D$1501,A98)</f>
        <v>151.899203895744</v>
      </c>
      <c r="C98" s="21" t="n">
        <f aca="false">(Config!$B$11-A98+1)/Config!$B$11</f>
        <v>0.938</v>
      </c>
    </row>
    <row r="99" customFormat="false" ht="15" hidden="false" customHeight="false" outlineLevel="0" collapsed="false">
      <c r="A99" s="2" t="n">
        <v>95</v>
      </c>
      <c r="B99" s="13" t="n">
        <f aca="false">SMALL(Datos!$D$2:$D$1501,A99)</f>
        <v>151.913476112591</v>
      </c>
      <c r="C99" s="21" t="n">
        <f aca="false">(Config!$B$11-A99+1)/Config!$B$11</f>
        <v>0.937333333333333</v>
      </c>
    </row>
    <row r="100" customFormat="false" ht="15" hidden="false" customHeight="false" outlineLevel="0" collapsed="false">
      <c r="A100" s="2" t="n">
        <v>96</v>
      </c>
      <c r="B100" s="13" t="n">
        <f aca="false">SMALL(Datos!$D$2:$D$1501,A100)</f>
        <v>151.977701088399</v>
      </c>
      <c r="C100" s="21" t="n">
        <f aca="false">(Config!$B$11-A100+1)/Config!$B$11</f>
        <v>0.936666666666667</v>
      </c>
    </row>
    <row r="101" customFormat="false" ht="15" hidden="false" customHeight="false" outlineLevel="0" collapsed="false">
      <c r="A101" s="2" t="n">
        <v>97</v>
      </c>
      <c r="B101" s="13" t="n">
        <f aca="false">SMALL(Datos!$D$2:$D$1501,A101)</f>
        <v>151.988405251034</v>
      </c>
      <c r="C101" s="21" t="n">
        <f aca="false">(Config!$B$11-A101+1)/Config!$B$11</f>
        <v>0.936</v>
      </c>
    </row>
    <row r="102" customFormat="false" ht="15" hidden="false" customHeight="false" outlineLevel="0" collapsed="false">
      <c r="A102" s="2" t="n">
        <v>98</v>
      </c>
      <c r="B102" s="13" t="n">
        <f aca="false">SMALL(Datos!$D$2:$D$1501,A102)</f>
        <v>152.077606606324</v>
      </c>
      <c r="C102" s="21" t="n">
        <f aca="false">(Config!$B$11-A102+1)/Config!$B$11</f>
        <v>0.935333333333333</v>
      </c>
    </row>
    <row r="103" customFormat="false" ht="15" hidden="false" customHeight="false" outlineLevel="0" collapsed="false">
      <c r="A103" s="2" t="n">
        <v>99</v>
      </c>
      <c r="B103" s="13" t="n">
        <f aca="false">SMALL(Datos!$D$2:$D$1501,A103)</f>
        <v>152.099014931593</v>
      </c>
      <c r="C103" s="21" t="n">
        <f aca="false">(Config!$B$11-A103+1)/Config!$B$11</f>
        <v>0.934666666666667</v>
      </c>
    </row>
    <row r="104" customFormat="false" ht="15" hidden="false" customHeight="false" outlineLevel="0" collapsed="false">
      <c r="A104" s="2" t="n">
        <v>100</v>
      </c>
      <c r="B104" s="13" t="n">
        <f aca="false">SMALL(Datos!$D$2:$D$1501,A104)</f>
        <v>152.106151040016</v>
      </c>
      <c r="C104" s="21" t="n">
        <f aca="false">(Config!$B$11-A104+1)/Config!$B$11</f>
        <v>0.934</v>
      </c>
    </row>
    <row r="105" customFormat="false" ht="15" hidden="false" customHeight="false" outlineLevel="0" collapsed="false">
      <c r="A105" s="2" t="n">
        <v>101</v>
      </c>
      <c r="B105" s="13" t="n">
        <f aca="false">SMALL(Datos!$D$2:$D$1501,A105)</f>
        <v>152.120423256863</v>
      </c>
      <c r="C105" s="21" t="n">
        <f aca="false">(Config!$B$11-A105+1)/Config!$B$11</f>
        <v>0.933333333333333</v>
      </c>
    </row>
    <row r="106" customFormat="false" ht="15" hidden="false" customHeight="false" outlineLevel="0" collapsed="false">
      <c r="A106" s="2" t="n">
        <v>102</v>
      </c>
      <c r="B106" s="13" t="n">
        <f aca="false">SMALL(Datos!$D$2:$D$1501,A106)</f>
        <v>152.24887320848</v>
      </c>
      <c r="C106" s="21" t="n">
        <f aca="false">(Config!$B$11-A106+1)/Config!$B$11</f>
        <v>0.932666666666667</v>
      </c>
    </row>
    <row r="107" customFormat="false" ht="15" hidden="false" customHeight="false" outlineLevel="0" collapsed="false">
      <c r="A107" s="2" t="n">
        <v>103</v>
      </c>
      <c r="B107" s="13" t="n">
        <f aca="false">SMALL(Datos!$D$2:$D$1501,A107)</f>
        <v>152.298825967442</v>
      </c>
      <c r="C107" s="21" t="n">
        <f aca="false">(Config!$B$11-A107+1)/Config!$B$11</f>
        <v>0.932</v>
      </c>
    </row>
    <row r="108" customFormat="false" ht="15" hidden="false" customHeight="false" outlineLevel="0" collapsed="false">
      <c r="A108" s="2" t="n">
        <v>104</v>
      </c>
      <c r="B108" s="13" t="n">
        <f aca="false">SMALL(Datos!$D$2:$D$1501,A108)</f>
        <v>152.352346780616</v>
      </c>
      <c r="C108" s="21" t="n">
        <f aca="false">(Config!$B$11-A108+1)/Config!$B$11</f>
        <v>0.931333333333333</v>
      </c>
    </row>
    <row r="109" customFormat="false" ht="15" hidden="false" customHeight="false" outlineLevel="0" collapsed="false">
      <c r="A109" s="2" t="n">
        <v>105</v>
      </c>
      <c r="B109" s="13" t="n">
        <f aca="false">SMALL(Datos!$D$2:$D$1501,A109)</f>
        <v>152.413003702213</v>
      </c>
      <c r="C109" s="21" t="n">
        <f aca="false">(Config!$B$11-A109+1)/Config!$B$11</f>
        <v>0.930666666666667</v>
      </c>
    </row>
    <row r="110" customFormat="false" ht="15" hidden="false" customHeight="false" outlineLevel="0" collapsed="false">
      <c r="A110" s="2" t="n">
        <v>106</v>
      </c>
      <c r="B110" s="13" t="n">
        <f aca="false">SMALL(Datos!$D$2:$D$1501,A110)</f>
        <v>152.484364786445</v>
      </c>
      <c r="C110" s="21" t="n">
        <f aca="false">(Config!$B$11-A110+1)/Config!$B$11</f>
        <v>0.93</v>
      </c>
    </row>
    <row r="111" customFormat="false" ht="15" hidden="false" customHeight="false" outlineLevel="0" collapsed="false">
      <c r="A111" s="2" t="n">
        <v>107</v>
      </c>
      <c r="B111" s="13" t="n">
        <f aca="false">SMALL(Datos!$D$2:$D$1501,A111)</f>
        <v>152.498637003291</v>
      </c>
      <c r="C111" s="21" t="n">
        <f aca="false">(Config!$B$11-A111+1)/Config!$B$11</f>
        <v>0.929333333333333</v>
      </c>
    </row>
    <row r="112" customFormat="false" ht="15" hidden="false" customHeight="false" outlineLevel="0" collapsed="false">
      <c r="A112" s="2" t="n">
        <v>108</v>
      </c>
      <c r="B112" s="13" t="n">
        <f aca="false">SMALL(Datos!$D$2:$D$1501,A112)</f>
        <v>152.555725870677</v>
      </c>
      <c r="C112" s="21" t="n">
        <f aca="false">(Config!$B$11-A112+1)/Config!$B$11</f>
        <v>0.928666666666667</v>
      </c>
    </row>
    <row r="113" customFormat="false" ht="15" hidden="false" customHeight="false" outlineLevel="0" collapsed="false">
      <c r="A113" s="2" t="n">
        <v>109</v>
      </c>
      <c r="B113" s="13" t="n">
        <f aca="false">SMALL(Datos!$D$2:$D$1501,A113)</f>
        <v>152.612814738062</v>
      </c>
      <c r="C113" s="21" t="n">
        <f aca="false">(Config!$B$11-A113+1)/Config!$B$11</f>
        <v>0.928</v>
      </c>
    </row>
    <row r="114" customFormat="false" ht="15" hidden="false" customHeight="false" outlineLevel="0" collapsed="false">
      <c r="A114" s="2" t="n">
        <v>110</v>
      </c>
      <c r="B114" s="13" t="n">
        <f aca="false">SMALL(Datos!$D$2:$D$1501,A114)</f>
        <v>152.694879984929</v>
      </c>
      <c r="C114" s="21" t="n">
        <f aca="false">(Config!$B$11-A114+1)/Config!$B$11</f>
        <v>0.927333333333333</v>
      </c>
    </row>
    <row r="115" customFormat="false" ht="15" hidden="false" customHeight="false" outlineLevel="0" collapsed="false">
      <c r="A115" s="2" t="n">
        <v>111</v>
      </c>
      <c r="B115" s="13" t="n">
        <f aca="false">SMALL(Datos!$D$2:$D$1501,A115)</f>
        <v>152.69844803914</v>
      </c>
      <c r="C115" s="21" t="n">
        <f aca="false">(Config!$B$11-A115+1)/Config!$B$11</f>
        <v>0.926666666666667</v>
      </c>
    </row>
    <row r="116" customFormat="false" ht="15" hidden="false" customHeight="false" outlineLevel="0" collapsed="false">
      <c r="A116" s="2" t="n">
        <v>112</v>
      </c>
      <c r="B116" s="13" t="n">
        <f aca="false">SMALL(Datos!$D$2:$D$1501,A116)</f>
        <v>152.730560527044</v>
      </c>
      <c r="C116" s="21" t="n">
        <f aca="false">(Config!$B$11-A116+1)/Config!$B$11</f>
        <v>0.926</v>
      </c>
    </row>
    <row r="117" customFormat="false" ht="15" hidden="false" customHeight="false" outlineLevel="0" collapsed="false">
      <c r="A117" s="2" t="n">
        <v>113</v>
      </c>
      <c r="B117" s="13" t="n">
        <f aca="false">SMALL(Datos!$D$2:$D$1501,A117)</f>
        <v>152.744832743891</v>
      </c>
      <c r="C117" s="21" t="n">
        <f aca="false">(Config!$B$11-A117+1)/Config!$B$11</f>
        <v>0.925333333333333</v>
      </c>
    </row>
    <row r="118" customFormat="false" ht="15" hidden="false" customHeight="false" outlineLevel="0" collapsed="false">
      <c r="A118" s="2" t="n">
        <v>114</v>
      </c>
      <c r="B118" s="13" t="n">
        <f aca="false">SMALL(Datos!$D$2:$D$1501,A118)</f>
        <v>152.826897990757</v>
      </c>
      <c r="C118" s="21" t="n">
        <f aca="false">(Config!$B$11-A118+1)/Config!$B$11</f>
        <v>0.924666666666667</v>
      </c>
    </row>
    <row r="119" customFormat="false" ht="15" hidden="false" customHeight="false" outlineLevel="0" collapsed="false">
      <c r="A119" s="2" t="n">
        <v>115</v>
      </c>
      <c r="B119" s="13" t="n">
        <f aca="false">SMALL(Datos!$D$2:$D$1501,A119)</f>
        <v>152.866146587085</v>
      </c>
      <c r="C119" s="21" t="n">
        <f aca="false">(Config!$B$11-A119+1)/Config!$B$11</f>
        <v>0.924</v>
      </c>
    </row>
    <row r="120" customFormat="false" ht="15" hidden="false" customHeight="false" outlineLevel="0" collapsed="false">
      <c r="A120" s="2" t="n">
        <v>116</v>
      </c>
      <c r="B120" s="13" t="n">
        <f aca="false">SMALL(Datos!$D$2:$D$1501,A120)</f>
        <v>152.901827129201</v>
      </c>
      <c r="C120" s="21" t="n">
        <f aca="false">(Config!$B$11-A120+1)/Config!$B$11</f>
        <v>0.923333333333333</v>
      </c>
    </row>
    <row r="121" customFormat="false" ht="15" hidden="false" customHeight="false" outlineLevel="0" collapsed="false">
      <c r="A121" s="2" t="n">
        <v>117</v>
      </c>
      <c r="B121" s="13" t="n">
        <f aca="false">SMALL(Datos!$D$2:$D$1501,A121)</f>
        <v>152.912531291835</v>
      </c>
      <c r="C121" s="21" t="n">
        <f aca="false">(Config!$B$11-A121+1)/Config!$B$11</f>
        <v>0.922666666666667</v>
      </c>
    </row>
    <row r="122" customFormat="false" ht="15" hidden="false" customHeight="false" outlineLevel="0" collapsed="false">
      <c r="A122" s="2" t="n">
        <v>118</v>
      </c>
      <c r="B122" s="13" t="n">
        <f aca="false">SMALL(Datos!$D$2:$D$1501,A122)</f>
        <v>152.919667400259</v>
      </c>
      <c r="C122" s="21" t="n">
        <f aca="false">(Config!$B$11-A122+1)/Config!$B$11</f>
        <v>0.922</v>
      </c>
    </row>
    <row r="123" customFormat="false" ht="15" hidden="false" customHeight="false" outlineLevel="0" collapsed="false">
      <c r="A123" s="2" t="n">
        <v>119</v>
      </c>
      <c r="B123" s="13" t="n">
        <f aca="false">SMALL(Datos!$D$2:$D$1501,A123)</f>
        <v>152.941075725528</v>
      </c>
      <c r="C123" s="21" t="n">
        <f aca="false">(Config!$B$11-A123+1)/Config!$B$11</f>
        <v>0.921333333333333</v>
      </c>
    </row>
    <row r="124" customFormat="false" ht="15" hidden="false" customHeight="false" outlineLevel="0" collapsed="false">
      <c r="A124" s="2" t="n">
        <v>120</v>
      </c>
      <c r="B124" s="13" t="n">
        <f aca="false">SMALL(Datos!$D$2:$D$1501,A124)</f>
        <v>152.958915996586</v>
      </c>
      <c r="C124" s="21" t="n">
        <f aca="false">(Config!$B$11-A124+1)/Config!$B$11</f>
        <v>0.920666666666667</v>
      </c>
    </row>
    <row r="125" customFormat="false" ht="15" hidden="false" customHeight="false" outlineLevel="0" collapsed="false">
      <c r="A125" s="2" t="n">
        <v>121</v>
      </c>
      <c r="B125" s="13" t="n">
        <f aca="false">SMALL(Datos!$D$2:$D$1501,A125)</f>
        <v>152.958915996586</v>
      </c>
      <c r="C125" s="21" t="n">
        <f aca="false">(Config!$B$11-A125+1)/Config!$B$11</f>
        <v>0.92</v>
      </c>
    </row>
    <row r="126" customFormat="false" ht="15" hidden="false" customHeight="false" outlineLevel="0" collapsed="false">
      <c r="A126" s="2" t="n">
        <v>122</v>
      </c>
      <c r="B126" s="13" t="n">
        <f aca="false">SMALL(Datos!$D$2:$D$1501,A126)</f>
        <v>152.99102848449</v>
      </c>
      <c r="C126" s="21" t="n">
        <f aca="false">(Config!$B$11-A126+1)/Config!$B$11</f>
        <v>0.919333333333333</v>
      </c>
    </row>
    <row r="127" customFormat="false" ht="15" hidden="false" customHeight="false" outlineLevel="0" collapsed="false">
      <c r="A127" s="2" t="n">
        <v>123</v>
      </c>
      <c r="B127" s="13" t="n">
        <f aca="false">SMALL(Datos!$D$2:$D$1501,A127)</f>
        <v>152.994596538702</v>
      </c>
      <c r="C127" s="21" t="n">
        <f aca="false">(Config!$B$11-A127+1)/Config!$B$11</f>
        <v>0.918666666666667</v>
      </c>
    </row>
    <row r="128" customFormat="false" ht="15" hidden="false" customHeight="false" outlineLevel="0" collapsed="false">
      <c r="A128" s="2" t="n">
        <v>124</v>
      </c>
      <c r="B128" s="13" t="n">
        <f aca="false">SMALL(Datos!$D$2:$D$1501,A128)</f>
        <v>153.055253460299</v>
      </c>
      <c r="C128" s="21" t="n">
        <f aca="false">(Config!$B$11-A128+1)/Config!$B$11</f>
        <v>0.918</v>
      </c>
    </row>
    <row r="129" customFormat="false" ht="15" hidden="false" customHeight="false" outlineLevel="0" collapsed="false">
      <c r="A129" s="2" t="n">
        <v>125</v>
      </c>
      <c r="B129" s="13" t="n">
        <f aca="false">SMALL(Datos!$D$2:$D$1501,A129)</f>
        <v>153.058821514511</v>
      </c>
      <c r="C129" s="21" t="n">
        <f aca="false">(Config!$B$11-A129+1)/Config!$B$11</f>
        <v>0.917333333333333</v>
      </c>
    </row>
    <row r="130" customFormat="false" ht="15" hidden="false" customHeight="false" outlineLevel="0" collapsed="false">
      <c r="A130" s="2" t="n">
        <v>126</v>
      </c>
      <c r="B130" s="13" t="n">
        <f aca="false">SMALL(Datos!$D$2:$D$1501,A130)</f>
        <v>153.076661785569</v>
      </c>
      <c r="C130" s="21" t="n">
        <f aca="false">(Config!$B$11-A130+1)/Config!$B$11</f>
        <v>0.916666666666667</v>
      </c>
    </row>
    <row r="131" customFormat="false" ht="15" hidden="false" customHeight="false" outlineLevel="0" collapsed="false">
      <c r="A131" s="2" t="n">
        <v>127</v>
      </c>
      <c r="B131" s="13" t="n">
        <f aca="false">SMALL(Datos!$D$2:$D$1501,A131)</f>
        <v>153.105206219261</v>
      </c>
      <c r="C131" s="21" t="n">
        <f aca="false">(Config!$B$11-A131+1)/Config!$B$11</f>
        <v>0.916</v>
      </c>
    </row>
    <row r="132" customFormat="false" ht="15" hidden="false" customHeight="false" outlineLevel="0" collapsed="false">
      <c r="A132" s="2" t="n">
        <v>128</v>
      </c>
      <c r="B132" s="13" t="n">
        <f aca="false">SMALL(Datos!$D$2:$D$1501,A132)</f>
        <v>153.105206219261</v>
      </c>
      <c r="C132" s="21" t="n">
        <f aca="false">(Config!$B$11-A132+1)/Config!$B$11</f>
        <v>0.915333333333333</v>
      </c>
    </row>
    <row r="133" customFormat="false" ht="15" hidden="false" customHeight="false" outlineLevel="0" collapsed="false">
      <c r="A133" s="2" t="n">
        <v>129</v>
      </c>
      <c r="B133" s="13" t="n">
        <f aca="false">SMALL(Datos!$D$2:$D$1501,A133)</f>
        <v>153.172999249281</v>
      </c>
      <c r="C133" s="21" t="n">
        <f aca="false">(Config!$B$11-A133+1)/Config!$B$11</f>
        <v>0.914666666666667</v>
      </c>
    </row>
    <row r="134" customFormat="false" ht="15" hidden="false" customHeight="false" outlineLevel="0" collapsed="false">
      <c r="A134" s="2" t="n">
        <v>130</v>
      </c>
      <c r="B134" s="13" t="n">
        <f aca="false">SMALL(Datos!$D$2:$D$1501,A134)</f>
        <v>153.201543682974</v>
      </c>
      <c r="C134" s="21" t="n">
        <f aca="false">(Config!$B$11-A134+1)/Config!$B$11</f>
        <v>0.914</v>
      </c>
    </row>
    <row r="135" customFormat="false" ht="15" hidden="false" customHeight="false" outlineLevel="0" collapsed="false">
      <c r="A135" s="2" t="n">
        <v>131</v>
      </c>
      <c r="B135" s="13" t="n">
        <f aca="false">SMALL(Datos!$D$2:$D$1501,A135)</f>
        <v>153.247928387725</v>
      </c>
      <c r="C135" s="21" t="n">
        <f aca="false">(Config!$B$11-A135+1)/Config!$B$11</f>
        <v>0.913333333333333</v>
      </c>
    </row>
    <row r="136" customFormat="false" ht="15" hidden="false" customHeight="false" outlineLevel="0" collapsed="false">
      <c r="A136" s="2" t="n">
        <v>132</v>
      </c>
      <c r="B136" s="13" t="n">
        <f aca="false">SMALL(Datos!$D$2:$D$1501,A136)</f>
        <v>153.283608929841</v>
      </c>
      <c r="C136" s="21" t="n">
        <f aca="false">(Config!$B$11-A136+1)/Config!$B$11</f>
        <v>0.912666666666667</v>
      </c>
    </row>
    <row r="137" customFormat="false" ht="15" hidden="false" customHeight="false" outlineLevel="0" collapsed="false">
      <c r="A137" s="2" t="n">
        <v>133</v>
      </c>
      <c r="B137" s="13" t="n">
        <f aca="false">SMALL(Datos!$D$2:$D$1501,A137)</f>
        <v>153.32642558038</v>
      </c>
      <c r="C137" s="21" t="n">
        <f aca="false">(Config!$B$11-A137+1)/Config!$B$11</f>
        <v>0.912</v>
      </c>
    </row>
    <row r="138" customFormat="false" ht="15" hidden="false" customHeight="false" outlineLevel="0" collapsed="false">
      <c r="A138" s="2" t="n">
        <v>134</v>
      </c>
      <c r="B138" s="13" t="n">
        <f aca="false">SMALL(Datos!$D$2:$D$1501,A138)</f>
        <v>153.333561688803</v>
      </c>
      <c r="C138" s="21" t="n">
        <f aca="false">(Config!$B$11-A138+1)/Config!$B$11</f>
        <v>0.911333333333333</v>
      </c>
    </row>
    <row r="139" customFormat="false" ht="15" hidden="false" customHeight="false" outlineLevel="0" collapsed="false">
      <c r="A139" s="2" t="n">
        <v>135</v>
      </c>
      <c r="B139" s="13" t="n">
        <f aca="false">SMALL(Datos!$D$2:$D$1501,A139)</f>
        <v>153.340697797226</v>
      </c>
      <c r="C139" s="21" t="n">
        <f aca="false">(Config!$B$11-A139+1)/Config!$B$11</f>
        <v>0.910666666666667</v>
      </c>
    </row>
    <row r="140" customFormat="false" ht="15" hidden="false" customHeight="false" outlineLevel="0" collapsed="false">
      <c r="A140" s="2" t="n">
        <v>136</v>
      </c>
      <c r="B140" s="13" t="n">
        <f aca="false">SMALL(Datos!$D$2:$D$1501,A140)</f>
        <v>153.369242230919</v>
      </c>
      <c r="C140" s="21" t="n">
        <f aca="false">(Config!$B$11-A140+1)/Config!$B$11</f>
        <v>0.91</v>
      </c>
    </row>
    <row r="141" customFormat="false" ht="15" hidden="false" customHeight="false" outlineLevel="0" collapsed="false">
      <c r="A141" s="2" t="n">
        <v>137</v>
      </c>
      <c r="B141" s="13" t="n">
        <f aca="false">SMALL(Datos!$D$2:$D$1501,A141)</f>
        <v>153.37281028513</v>
      </c>
      <c r="C141" s="21" t="n">
        <f aca="false">(Config!$B$11-A141+1)/Config!$B$11</f>
        <v>0.909333333333333</v>
      </c>
    </row>
    <row r="142" customFormat="false" ht="15" hidden="false" customHeight="false" outlineLevel="0" collapsed="false">
      <c r="A142" s="2" t="n">
        <v>138</v>
      </c>
      <c r="B142" s="13" t="n">
        <f aca="false">SMALL(Datos!$D$2:$D$1501,A142)</f>
        <v>153.37281028513</v>
      </c>
      <c r="C142" s="21" t="n">
        <f aca="false">(Config!$B$11-A142+1)/Config!$B$11</f>
        <v>0.908666666666667</v>
      </c>
    </row>
    <row r="143" customFormat="false" ht="15" hidden="false" customHeight="false" outlineLevel="0" collapsed="false">
      <c r="A143" s="2" t="n">
        <v>139</v>
      </c>
      <c r="B143" s="13" t="n">
        <f aca="false">SMALL(Datos!$D$2:$D$1501,A143)</f>
        <v>153.390650556188</v>
      </c>
      <c r="C143" s="21" t="n">
        <f aca="false">(Config!$B$11-A143+1)/Config!$B$11</f>
        <v>0.908</v>
      </c>
    </row>
    <row r="144" customFormat="false" ht="15" hidden="false" customHeight="false" outlineLevel="0" collapsed="false">
      <c r="A144" s="2" t="n">
        <v>140</v>
      </c>
      <c r="B144" s="13" t="n">
        <f aca="false">SMALL(Datos!$D$2:$D$1501,A144)</f>
        <v>153.422763044093</v>
      </c>
      <c r="C144" s="21" t="n">
        <f aca="false">(Config!$B$11-A144+1)/Config!$B$11</f>
        <v>0.907333333333333</v>
      </c>
    </row>
    <row r="145" customFormat="false" ht="15" hidden="false" customHeight="false" outlineLevel="0" collapsed="false">
      <c r="A145" s="2" t="n">
        <v>141</v>
      </c>
      <c r="B145" s="13" t="n">
        <f aca="false">SMALL(Datos!$D$2:$D$1501,A145)</f>
        <v>153.429899152516</v>
      </c>
      <c r="C145" s="21" t="n">
        <f aca="false">(Config!$B$11-A145+1)/Config!$B$11</f>
        <v>0.906666666666667</v>
      </c>
    </row>
    <row r="146" customFormat="false" ht="15" hidden="false" customHeight="false" outlineLevel="0" collapsed="false">
      <c r="A146" s="2" t="n">
        <v>142</v>
      </c>
      <c r="B146" s="13" t="n">
        <f aca="false">SMALL(Datos!$D$2:$D$1501,A146)</f>
        <v>153.437035260939</v>
      </c>
      <c r="C146" s="21" t="n">
        <f aca="false">(Config!$B$11-A146+1)/Config!$B$11</f>
        <v>0.906</v>
      </c>
    </row>
    <row r="147" customFormat="false" ht="15" hidden="false" customHeight="false" outlineLevel="0" collapsed="false">
      <c r="A147" s="2" t="n">
        <v>143</v>
      </c>
      <c r="B147" s="13" t="n">
        <f aca="false">SMALL(Datos!$D$2:$D$1501,A147)</f>
        <v>153.447739423574</v>
      </c>
      <c r="C147" s="21" t="n">
        <f aca="false">(Config!$B$11-A147+1)/Config!$B$11</f>
        <v>0.905333333333333</v>
      </c>
    </row>
    <row r="148" customFormat="false" ht="15" hidden="false" customHeight="false" outlineLevel="0" collapsed="false">
      <c r="A148" s="2" t="n">
        <v>144</v>
      </c>
      <c r="B148" s="13" t="n">
        <f aca="false">SMALL(Datos!$D$2:$D$1501,A148)</f>
        <v>153.469147748843</v>
      </c>
      <c r="C148" s="21" t="n">
        <f aca="false">(Config!$B$11-A148+1)/Config!$B$11</f>
        <v>0.904666666666667</v>
      </c>
    </row>
    <row r="149" customFormat="false" ht="15" hidden="false" customHeight="false" outlineLevel="0" collapsed="false">
      <c r="A149" s="2" t="n">
        <v>145</v>
      </c>
      <c r="B149" s="13" t="n">
        <f aca="false">SMALL(Datos!$D$2:$D$1501,A149)</f>
        <v>153.494124128324</v>
      </c>
      <c r="C149" s="21" t="n">
        <f aca="false">(Config!$B$11-A149+1)/Config!$B$11</f>
        <v>0.904</v>
      </c>
    </row>
    <row r="150" customFormat="false" ht="15" hidden="false" customHeight="false" outlineLevel="0" collapsed="false">
      <c r="A150" s="2" t="n">
        <v>146</v>
      </c>
      <c r="B150" s="13" t="n">
        <f aca="false">SMALL(Datos!$D$2:$D$1501,A150)</f>
        <v>153.501260236748</v>
      </c>
      <c r="C150" s="21" t="n">
        <f aca="false">(Config!$B$11-A150+1)/Config!$B$11</f>
        <v>0.903333333333333</v>
      </c>
    </row>
    <row r="151" customFormat="false" ht="15" hidden="false" customHeight="false" outlineLevel="0" collapsed="false">
      <c r="A151" s="2" t="n">
        <v>147</v>
      </c>
      <c r="B151" s="13" t="n">
        <f aca="false">SMALL(Datos!$D$2:$D$1501,A151)</f>
        <v>153.504828290959</v>
      </c>
      <c r="C151" s="21" t="n">
        <f aca="false">(Config!$B$11-A151+1)/Config!$B$11</f>
        <v>0.902666666666667</v>
      </c>
    </row>
    <row r="152" customFormat="false" ht="15" hidden="false" customHeight="false" outlineLevel="0" collapsed="false">
      <c r="A152" s="2" t="n">
        <v>148</v>
      </c>
      <c r="B152" s="13" t="n">
        <f aca="false">SMALL(Datos!$D$2:$D$1501,A152)</f>
        <v>153.508396345171</v>
      </c>
      <c r="C152" s="21" t="n">
        <f aca="false">(Config!$B$11-A152+1)/Config!$B$11</f>
        <v>0.902</v>
      </c>
    </row>
    <row r="153" customFormat="false" ht="15" hidden="false" customHeight="false" outlineLevel="0" collapsed="false">
      <c r="A153" s="2" t="n">
        <v>149</v>
      </c>
      <c r="B153" s="13" t="n">
        <f aca="false">SMALL(Datos!$D$2:$D$1501,A153)</f>
        <v>153.558349104133</v>
      </c>
      <c r="C153" s="21" t="n">
        <f aca="false">(Config!$B$11-A153+1)/Config!$B$11</f>
        <v>0.901333333333333</v>
      </c>
    </row>
    <row r="154" customFormat="false" ht="15" hidden="false" customHeight="false" outlineLevel="0" collapsed="false">
      <c r="A154" s="2" t="n">
        <v>150</v>
      </c>
      <c r="B154" s="13" t="n">
        <f aca="false">SMALL(Datos!$D$2:$D$1501,A154)</f>
        <v>153.569053266768</v>
      </c>
      <c r="C154" s="21" t="n">
        <f aca="false">(Config!$B$11-A154+1)/Config!$B$11</f>
        <v>0.900666666666667</v>
      </c>
    </row>
    <row r="155" customFormat="false" ht="15" hidden="false" customHeight="false" outlineLevel="0" collapsed="false">
      <c r="A155" s="2" t="n">
        <v>151</v>
      </c>
      <c r="B155" s="13" t="n">
        <f aca="false">SMALL(Datos!$D$2:$D$1501,A155)</f>
        <v>153.615437971518</v>
      </c>
      <c r="C155" s="21" t="n">
        <f aca="false">(Config!$B$11-A155+1)/Config!$B$11</f>
        <v>0.9</v>
      </c>
    </row>
    <row r="156" customFormat="false" ht="15" hidden="false" customHeight="false" outlineLevel="0" collapsed="false">
      <c r="A156" s="2" t="n">
        <v>152</v>
      </c>
      <c r="B156" s="13" t="n">
        <f aca="false">SMALL(Datos!$D$2:$D$1501,A156)</f>
        <v>153.61900602573</v>
      </c>
      <c r="C156" s="21" t="n">
        <f aca="false">(Config!$B$11-A156+1)/Config!$B$11</f>
        <v>0.899333333333333</v>
      </c>
    </row>
    <row r="157" customFormat="false" ht="15" hidden="false" customHeight="false" outlineLevel="0" collapsed="false">
      <c r="A157" s="2" t="n">
        <v>153</v>
      </c>
      <c r="B157" s="13" t="n">
        <f aca="false">SMALL(Datos!$D$2:$D$1501,A157)</f>
        <v>153.651118513634</v>
      </c>
      <c r="C157" s="21" t="n">
        <f aca="false">(Config!$B$11-A157+1)/Config!$B$11</f>
        <v>0.898666666666667</v>
      </c>
    </row>
    <row r="158" customFormat="false" ht="15" hidden="false" customHeight="false" outlineLevel="0" collapsed="false">
      <c r="A158" s="2" t="n">
        <v>154</v>
      </c>
      <c r="B158" s="13" t="n">
        <f aca="false">SMALL(Datos!$D$2:$D$1501,A158)</f>
        <v>153.654686567846</v>
      </c>
      <c r="C158" s="21" t="n">
        <f aca="false">(Config!$B$11-A158+1)/Config!$B$11</f>
        <v>0.898</v>
      </c>
    </row>
    <row r="159" customFormat="false" ht="15" hidden="false" customHeight="false" outlineLevel="0" collapsed="false">
      <c r="A159" s="2" t="n">
        <v>155</v>
      </c>
      <c r="B159" s="13" t="n">
        <f aca="false">SMALL(Datos!$D$2:$D$1501,A159)</f>
        <v>153.654686567846</v>
      </c>
      <c r="C159" s="21" t="n">
        <f aca="false">(Config!$B$11-A159+1)/Config!$B$11</f>
        <v>0.897333333333333</v>
      </c>
    </row>
    <row r="160" customFormat="false" ht="15" hidden="false" customHeight="false" outlineLevel="0" collapsed="false">
      <c r="A160" s="2" t="n">
        <v>156</v>
      </c>
      <c r="B160" s="13" t="n">
        <f aca="false">SMALL(Datos!$D$2:$D$1501,A160)</f>
        <v>153.658254622057</v>
      </c>
      <c r="C160" s="21" t="n">
        <f aca="false">(Config!$B$11-A160+1)/Config!$B$11</f>
        <v>0.896666666666667</v>
      </c>
    </row>
    <row r="161" customFormat="false" ht="15" hidden="false" customHeight="false" outlineLevel="0" collapsed="false">
      <c r="A161" s="2" t="n">
        <v>157</v>
      </c>
      <c r="B161" s="13" t="n">
        <f aca="false">SMALL(Datos!$D$2:$D$1501,A161)</f>
        <v>153.658254622057</v>
      </c>
      <c r="C161" s="21" t="n">
        <f aca="false">(Config!$B$11-A161+1)/Config!$B$11</f>
        <v>0.896</v>
      </c>
    </row>
    <row r="162" customFormat="false" ht="15" hidden="false" customHeight="false" outlineLevel="0" collapsed="false">
      <c r="A162" s="2" t="n">
        <v>158</v>
      </c>
      <c r="B162" s="13" t="n">
        <f aca="false">SMALL(Datos!$D$2:$D$1501,A162)</f>
        <v>153.661822676269</v>
      </c>
      <c r="C162" s="21" t="n">
        <f aca="false">(Config!$B$11-A162+1)/Config!$B$11</f>
        <v>0.895333333333333</v>
      </c>
    </row>
    <row r="163" customFormat="false" ht="15" hidden="false" customHeight="false" outlineLevel="0" collapsed="false">
      <c r="A163" s="2" t="n">
        <v>159</v>
      </c>
      <c r="B163" s="13" t="n">
        <f aca="false">SMALL(Datos!$D$2:$D$1501,A163)</f>
        <v>153.665390730481</v>
      </c>
      <c r="C163" s="21" t="n">
        <f aca="false">(Config!$B$11-A163+1)/Config!$B$11</f>
        <v>0.894666666666667</v>
      </c>
    </row>
    <row r="164" customFormat="false" ht="15" hidden="false" customHeight="false" outlineLevel="0" collapsed="false">
      <c r="A164" s="2" t="n">
        <v>160</v>
      </c>
      <c r="B164" s="13" t="n">
        <f aca="false">SMALL(Datos!$D$2:$D$1501,A164)</f>
        <v>153.668958784692</v>
      </c>
      <c r="C164" s="21" t="n">
        <f aca="false">(Config!$B$11-A164+1)/Config!$B$11</f>
        <v>0.894</v>
      </c>
    </row>
    <row r="165" customFormat="false" ht="15" hidden="false" customHeight="false" outlineLevel="0" collapsed="false">
      <c r="A165" s="2" t="n">
        <v>161</v>
      </c>
      <c r="B165" s="13" t="n">
        <f aca="false">SMALL(Datos!$D$2:$D$1501,A165)</f>
        <v>153.711775435231</v>
      </c>
      <c r="C165" s="21" t="n">
        <f aca="false">(Config!$B$11-A165+1)/Config!$B$11</f>
        <v>0.893333333333333</v>
      </c>
    </row>
    <row r="166" customFormat="false" ht="15" hidden="false" customHeight="false" outlineLevel="0" collapsed="false">
      <c r="A166" s="2" t="n">
        <v>162</v>
      </c>
      <c r="B166" s="13" t="n">
        <f aca="false">SMALL(Datos!$D$2:$D$1501,A166)</f>
        <v>153.733183760501</v>
      </c>
      <c r="C166" s="21" t="n">
        <f aca="false">(Config!$B$11-A166+1)/Config!$B$11</f>
        <v>0.892666666666667</v>
      </c>
    </row>
    <row r="167" customFormat="false" ht="15" hidden="false" customHeight="false" outlineLevel="0" collapsed="false">
      <c r="A167" s="2" t="n">
        <v>163</v>
      </c>
      <c r="B167" s="13" t="n">
        <f aca="false">SMALL(Datos!$D$2:$D$1501,A167)</f>
        <v>153.733183760501</v>
      </c>
      <c r="C167" s="21" t="n">
        <f aca="false">(Config!$B$11-A167+1)/Config!$B$11</f>
        <v>0.892</v>
      </c>
    </row>
    <row r="168" customFormat="false" ht="15" hidden="false" customHeight="false" outlineLevel="0" collapsed="false">
      <c r="A168" s="2" t="n">
        <v>164</v>
      </c>
      <c r="B168" s="13" t="n">
        <f aca="false">SMALL(Datos!$D$2:$D$1501,A168)</f>
        <v>153.736751814712</v>
      </c>
      <c r="C168" s="21" t="n">
        <f aca="false">(Config!$B$11-A168+1)/Config!$B$11</f>
        <v>0.891333333333333</v>
      </c>
    </row>
    <row r="169" customFormat="false" ht="15" hidden="false" customHeight="false" outlineLevel="0" collapsed="false">
      <c r="A169" s="2" t="n">
        <v>165</v>
      </c>
      <c r="B169" s="13" t="n">
        <f aca="false">SMALL(Datos!$D$2:$D$1501,A169)</f>
        <v>153.751024031559</v>
      </c>
      <c r="C169" s="21" t="n">
        <f aca="false">(Config!$B$11-A169+1)/Config!$B$11</f>
        <v>0.890666666666667</v>
      </c>
    </row>
    <row r="170" customFormat="false" ht="15" hidden="false" customHeight="false" outlineLevel="0" collapsed="false">
      <c r="A170" s="2" t="n">
        <v>166</v>
      </c>
      <c r="B170" s="13" t="n">
        <f aca="false">SMALL(Datos!$D$2:$D$1501,A170)</f>
        <v>153.758160139982</v>
      </c>
      <c r="C170" s="21" t="n">
        <f aca="false">(Config!$B$11-A170+1)/Config!$B$11</f>
        <v>0.89</v>
      </c>
    </row>
    <row r="171" customFormat="false" ht="15" hidden="false" customHeight="false" outlineLevel="0" collapsed="false">
      <c r="A171" s="2" t="n">
        <v>167</v>
      </c>
      <c r="B171" s="13" t="n">
        <f aca="false">SMALL(Datos!$D$2:$D$1501,A171)</f>
        <v>153.779568465252</v>
      </c>
      <c r="C171" s="21" t="n">
        <f aca="false">(Config!$B$11-A171+1)/Config!$B$11</f>
        <v>0.889333333333333</v>
      </c>
    </row>
    <row r="172" customFormat="false" ht="15" hidden="false" customHeight="false" outlineLevel="0" collapsed="false">
      <c r="A172" s="2" t="n">
        <v>168</v>
      </c>
      <c r="B172" s="13" t="n">
        <f aca="false">SMALL(Datos!$D$2:$D$1501,A172)</f>
        <v>153.793840682098</v>
      </c>
      <c r="C172" s="21" t="n">
        <f aca="false">(Config!$B$11-A172+1)/Config!$B$11</f>
        <v>0.888666666666667</v>
      </c>
    </row>
    <row r="173" customFormat="false" ht="15" hidden="false" customHeight="false" outlineLevel="0" collapsed="false">
      <c r="A173" s="2" t="n">
        <v>169</v>
      </c>
      <c r="B173" s="13" t="n">
        <f aca="false">SMALL(Datos!$D$2:$D$1501,A173)</f>
        <v>153.800976790521</v>
      </c>
      <c r="C173" s="21" t="n">
        <f aca="false">(Config!$B$11-A173+1)/Config!$B$11</f>
        <v>0.888</v>
      </c>
    </row>
    <row r="174" customFormat="false" ht="15" hidden="false" customHeight="false" outlineLevel="0" collapsed="false">
      <c r="A174" s="2" t="n">
        <v>170</v>
      </c>
      <c r="B174" s="13" t="n">
        <f aca="false">SMALL(Datos!$D$2:$D$1501,A174)</f>
        <v>153.833089278425</v>
      </c>
      <c r="C174" s="21" t="n">
        <f aca="false">(Config!$B$11-A174+1)/Config!$B$11</f>
        <v>0.887333333333333</v>
      </c>
    </row>
    <row r="175" customFormat="false" ht="15" hidden="false" customHeight="false" outlineLevel="0" collapsed="false">
      <c r="A175" s="2" t="n">
        <v>171</v>
      </c>
      <c r="B175" s="13" t="n">
        <f aca="false">SMALL(Datos!$D$2:$D$1501,A175)</f>
        <v>153.836657332637</v>
      </c>
      <c r="C175" s="21" t="n">
        <f aca="false">(Config!$B$11-A175+1)/Config!$B$11</f>
        <v>0.886666666666667</v>
      </c>
    </row>
    <row r="176" customFormat="false" ht="15" hidden="false" customHeight="false" outlineLevel="0" collapsed="false">
      <c r="A176" s="2" t="n">
        <v>172</v>
      </c>
      <c r="B176" s="13" t="n">
        <f aca="false">SMALL(Datos!$D$2:$D$1501,A176)</f>
        <v>153.840225386849</v>
      </c>
      <c r="C176" s="21" t="n">
        <f aca="false">(Config!$B$11-A176+1)/Config!$B$11</f>
        <v>0.886</v>
      </c>
    </row>
    <row r="177" customFormat="false" ht="15" hidden="false" customHeight="false" outlineLevel="0" collapsed="false">
      <c r="A177" s="2" t="n">
        <v>173</v>
      </c>
      <c r="B177" s="13" t="n">
        <f aca="false">SMALL(Datos!$D$2:$D$1501,A177)</f>
        <v>153.84379344106</v>
      </c>
      <c r="C177" s="21" t="n">
        <f aca="false">(Config!$B$11-A177+1)/Config!$B$11</f>
        <v>0.885333333333333</v>
      </c>
    </row>
    <row r="178" customFormat="false" ht="15" hidden="false" customHeight="false" outlineLevel="0" collapsed="false">
      <c r="A178" s="2" t="n">
        <v>174</v>
      </c>
      <c r="B178" s="13" t="n">
        <f aca="false">SMALL(Datos!$D$2:$D$1501,A178)</f>
        <v>153.850929549483</v>
      </c>
      <c r="C178" s="21" t="n">
        <f aca="false">(Config!$B$11-A178+1)/Config!$B$11</f>
        <v>0.884666666666667</v>
      </c>
    </row>
    <row r="179" customFormat="false" ht="15" hidden="false" customHeight="false" outlineLevel="0" collapsed="false">
      <c r="A179" s="2" t="n">
        <v>175</v>
      </c>
      <c r="B179" s="13" t="n">
        <f aca="false">SMALL(Datos!$D$2:$D$1501,A179)</f>
        <v>153.879473983176</v>
      </c>
      <c r="C179" s="21" t="n">
        <f aca="false">(Config!$B$11-A179+1)/Config!$B$11</f>
        <v>0.884</v>
      </c>
    </row>
    <row r="180" customFormat="false" ht="15" hidden="false" customHeight="false" outlineLevel="0" collapsed="false">
      <c r="A180" s="2" t="n">
        <v>176</v>
      </c>
      <c r="B180" s="13" t="n">
        <f aca="false">SMALL(Datos!$D$2:$D$1501,A180)</f>
        <v>153.890178145811</v>
      </c>
      <c r="C180" s="21" t="n">
        <f aca="false">(Config!$B$11-A180+1)/Config!$B$11</f>
        <v>0.883333333333333</v>
      </c>
    </row>
    <row r="181" customFormat="false" ht="15" hidden="false" customHeight="false" outlineLevel="0" collapsed="false">
      <c r="A181" s="2" t="n">
        <v>177</v>
      </c>
      <c r="B181" s="13" t="n">
        <f aca="false">SMALL(Datos!$D$2:$D$1501,A181)</f>
        <v>153.893746200022</v>
      </c>
      <c r="C181" s="21" t="n">
        <f aca="false">(Config!$B$11-A181+1)/Config!$B$11</f>
        <v>0.882666666666667</v>
      </c>
    </row>
    <row r="182" customFormat="false" ht="15" hidden="false" customHeight="false" outlineLevel="0" collapsed="false">
      <c r="A182" s="2" t="n">
        <v>178</v>
      </c>
      <c r="B182" s="13" t="n">
        <f aca="false">SMALL(Datos!$D$2:$D$1501,A182)</f>
        <v>153.908018416869</v>
      </c>
      <c r="C182" s="21" t="n">
        <f aca="false">(Config!$B$11-A182+1)/Config!$B$11</f>
        <v>0.882</v>
      </c>
    </row>
    <row r="183" customFormat="false" ht="15" hidden="false" customHeight="false" outlineLevel="0" collapsed="false">
      <c r="A183" s="2" t="n">
        <v>179</v>
      </c>
      <c r="B183" s="13" t="n">
        <f aca="false">SMALL(Datos!$D$2:$D$1501,A183)</f>
        <v>153.91158647108</v>
      </c>
      <c r="C183" s="21" t="n">
        <f aca="false">(Config!$B$11-A183+1)/Config!$B$11</f>
        <v>0.881333333333333</v>
      </c>
    </row>
    <row r="184" customFormat="false" ht="15" hidden="false" customHeight="false" outlineLevel="0" collapsed="false">
      <c r="A184" s="2" t="n">
        <v>180</v>
      </c>
      <c r="B184" s="13" t="n">
        <f aca="false">SMALL(Datos!$D$2:$D$1501,A184)</f>
        <v>153.918722579503</v>
      </c>
      <c r="C184" s="21" t="n">
        <f aca="false">(Config!$B$11-A184+1)/Config!$B$11</f>
        <v>0.880666666666667</v>
      </c>
    </row>
    <row r="185" customFormat="false" ht="15" hidden="false" customHeight="false" outlineLevel="0" collapsed="false">
      <c r="A185" s="2" t="n">
        <v>181</v>
      </c>
      <c r="B185" s="13" t="n">
        <f aca="false">SMALL(Datos!$D$2:$D$1501,A185)</f>
        <v>153.929426742138</v>
      </c>
      <c r="C185" s="21" t="n">
        <f aca="false">(Config!$B$11-A185+1)/Config!$B$11</f>
        <v>0.88</v>
      </c>
    </row>
    <row r="186" customFormat="false" ht="15" hidden="false" customHeight="false" outlineLevel="0" collapsed="false">
      <c r="A186" s="2" t="n">
        <v>182</v>
      </c>
      <c r="B186" s="13" t="n">
        <f aca="false">SMALL(Datos!$D$2:$D$1501,A186)</f>
        <v>153.93299479635</v>
      </c>
      <c r="C186" s="21" t="n">
        <f aca="false">(Config!$B$11-A186+1)/Config!$B$11</f>
        <v>0.879333333333333</v>
      </c>
    </row>
    <row r="187" customFormat="false" ht="15" hidden="false" customHeight="false" outlineLevel="0" collapsed="false">
      <c r="A187" s="2" t="n">
        <v>183</v>
      </c>
      <c r="B187" s="13" t="n">
        <f aca="false">SMALL(Datos!$D$2:$D$1501,A187)</f>
        <v>153.936562850561</v>
      </c>
      <c r="C187" s="21" t="n">
        <f aca="false">(Config!$B$11-A187+1)/Config!$B$11</f>
        <v>0.878666666666667</v>
      </c>
    </row>
    <row r="188" customFormat="false" ht="15" hidden="false" customHeight="false" outlineLevel="0" collapsed="false">
      <c r="A188" s="2" t="n">
        <v>184</v>
      </c>
      <c r="B188" s="13" t="n">
        <f aca="false">SMALL(Datos!$D$2:$D$1501,A188)</f>
        <v>153.940130904773</v>
      </c>
      <c r="C188" s="21" t="n">
        <f aca="false">(Config!$B$11-A188+1)/Config!$B$11</f>
        <v>0.878</v>
      </c>
    </row>
    <row r="189" customFormat="false" ht="15" hidden="false" customHeight="false" outlineLevel="0" collapsed="false">
      <c r="A189" s="2" t="n">
        <v>185</v>
      </c>
      <c r="B189" s="13" t="n">
        <f aca="false">SMALL(Datos!$D$2:$D$1501,A189)</f>
        <v>153.9793795011</v>
      </c>
      <c r="C189" s="21" t="n">
        <f aca="false">(Config!$B$11-A189+1)/Config!$B$11</f>
        <v>0.877333333333333</v>
      </c>
    </row>
    <row r="190" customFormat="false" ht="15" hidden="false" customHeight="false" outlineLevel="0" collapsed="false">
      <c r="A190" s="2" t="n">
        <v>186</v>
      </c>
      <c r="B190" s="13" t="n">
        <f aca="false">SMALL(Datos!$D$2:$D$1501,A190)</f>
        <v>153.986515609524</v>
      </c>
      <c r="C190" s="21" t="n">
        <f aca="false">(Config!$B$11-A190+1)/Config!$B$11</f>
        <v>0.876666666666667</v>
      </c>
    </row>
    <row r="191" customFormat="false" ht="15" hidden="false" customHeight="false" outlineLevel="0" collapsed="false">
      <c r="A191" s="2" t="n">
        <v>187</v>
      </c>
      <c r="B191" s="13" t="n">
        <f aca="false">SMALL(Datos!$D$2:$D$1501,A191)</f>
        <v>154.00078782637</v>
      </c>
      <c r="C191" s="21" t="n">
        <f aca="false">(Config!$B$11-A191+1)/Config!$B$11</f>
        <v>0.876</v>
      </c>
    </row>
    <row r="192" customFormat="false" ht="15" hidden="false" customHeight="false" outlineLevel="0" collapsed="false">
      <c r="A192" s="2" t="n">
        <v>188</v>
      </c>
      <c r="B192" s="13" t="n">
        <f aca="false">SMALL(Datos!$D$2:$D$1501,A192)</f>
        <v>154.032900314274</v>
      </c>
      <c r="C192" s="21" t="n">
        <f aca="false">(Config!$B$11-A192+1)/Config!$B$11</f>
        <v>0.875333333333333</v>
      </c>
    </row>
    <row r="193" customFormat="false" ht="15" hidden="false" customHeight="false" outlineLevel="0" collapsed="false">
      <c r="A193" s="2" t="n">
        <v>189</v>
      </c>
      <c r="B193" s="13" t="n">
        <f aca="false">SMALL(Datos!$D$2:$D$1501,A193)</f>
        <v>154.054308639544</v>
      </c>
      <c r="C193" s="21" t="n">
        <f aca="false">(Config!$B$11-A193+1)/Config!$B$11</f>
        <v>0.874666666666667</v>
      </c>
    </row>
    <row r="194" customFormat="false" ht="15" hidden="false" customHeight="false" outlineLevel="0" collapsed="false">
      <c r="A194" s="2" t="n">
        <v>190</v>
      </c>
      <c r="B194" s="13" t="n">
        <f aca="false">SMALL(Datos!$D$2:$D$1501,A194)</f>
        <v>154.086421127448</v>
      </c>
      <c r="C194" s="21" t="n">
        <f aca="false">(Config!$B$11-A194+1)/Config!$B$11</f>
        <v>0.874</v>
      </c>
    </row>
    <row r="195" customFormat="false" ht="15" hidden="false" customHeight="false" outlineLevel="0" collapsed="false">
      <c r="A195" s="2" t="n">
        <v>191</v>
      </c>
      <c r="B195" s="13" t="n">
        <f aca="false">SMALL(Datos!$D$2:$D$1501,A195)</f>
        <v>154.08998918166</v>
      </c>
      <c r="C195" s="21" t="n">
        <f aca="false">(Config!$B$11-A195+1)/Config!$B$11</f>
        <v>0.873333333333333</v>
      </c>
    </row>
    <row r="196" customFormat="false" ht="15" hidden="false" customHeight="false" outlineLevel="0" collapsed="false">
      <c r="A196" s="2" t="n">
        <v>192</v>
      </c>
      <c r="B196" s="13" t="n">
        <f aca="false">SMALL(Datos!$D$2:$D$1501,A196)</f>
        <v>154.111397506929</v>
      </c>
      <c r="C196" s="21" t="n">
        <f aca="false">(Config!$B$11-A196+1)/Config!$B$11</f>
        <v>0.872666666666667</v>
      </c>
    </row>
    <row r="197" customFormat="false" ht="15" hidden="false" customHeight="false" outlineLevel="0" collapsed="false">
      <c r="A197" s="2" t="n">
        <v>193</v>
      </c>
      <c r="B197" s="13" t="n">
        <f aca="false">SMALL(Datos!$D$2:$D$1501,A197)</f>
        <v>154.118533615352</v>
      </c>
      <c r="C197" s="21" t="n">
        <f aca="false">(Config!$B$11-A197+1)/Config!$B$11</f>
        <v>0.872</v>
      </c>
    </row>
    <row r="198" customFormat="false" ht="15" hidden="false" customHeight="false" outlineLevel="0" collapsed="false">
      <c r="A198" s="2" t="n">
        <v>194</v>
      </c>
      <c r="B198" s="13" t="n">
        <f aca="false">SMALL(Datos!$D$2:$D$1501,A198)</f>
        <v>154.132805832199</v>
      </c>
      <c r="C198" s="21" t="n">
        <f aca="false">(Config!$B$11-A198+1)/Config!$B$11</f>
        <v>0.871333333333333</v>
      </c>
    </row>
    <row r="199" customFormat="false" ht="15" hidden="false" customHeight="false" outlineLevel="0" collapsed="false">
      <c r="A199" s="2" t="n">
        <v>195</v>
      </c>
      <c r="B199" s="13" t="n">
        <f aca="false">SMALL(Datos!$D$2:$D$1501,A199)</f>
        <v>154.13637388641</v>
      </c>
      <c r="C199" s="21" t="n">
        <f aca="false">(Config!$B$11-A199+1)/Config!$B$11</f>
        <v>0.870666666666667</v>
      </c>
    </row>
    <row r="200" customFormat="false" ht="15" hidden="false" customHeight="false" outlineLevel="0" collapsed="false">
      <c r="A200" s="2" t="n">
        <v>196</v>
      </c>
      <c r="B200" s="13" t="n">
        <f aca="false">SMALL(Datos!$D$2:$D$1501,A200)</f>
        <v>154.139941940622</v>
      </c>
      <c r="C200" s="21" t="n">
        <f aca="false">(Config!$B$11-A200+1)/Config!$B$11</f>
        <v>0.87</v>
      </c>
    </row>
    <row r="201" customFormat="false" ht="15" hidden="false" customHeight="false" outlineLevel="0" collapsed="false">
      <c r="A201" s="2" t="n">
        <v>197</v>
      </c>
      <c r="B201" s="13" t="n">
        <f aca="false">SMALL(Datos!$D$2:$D$1501,A201)</f>
        <v>154.143509994834</v>
      </c>
      <c r="C201" s="21" t="n">
        <f aca="false">(Config!$B$11-A201+1)/Config!$B$11</f>
        <v>0.869333333333333</v>
      </c>
    </row>
    <row r="202" customFormat="false" ht="15" hidden="false" customHeight="false" outlineLevel="0" collapsed="false">
      <c r="A202" s="2" t="n">
        <v>198</v>
      </c>
      <c r="B202" s="13" t="n">
        <f aca="false">SMALL(Datos!$D$2:$D$1501,A202)</f>
        <v>154.147078049045</v>
      </c>
      <c r="C202" s="21" t="n">
        <f aca="false">(Config!$B$11-A202+1)/Config!$B$11</f>
        <v>0.868666666666667</v>
      </c>
    </row>
    <row r="203" customFormat="false" ht="15" hidden="false" customHeight="false" outlineLevel="0" collapsed="false">
      <c r="A203" s="2" t="n">
        <v>199</v>
      </c>
      <c r="B203" s="13" t="n">
        <f aca="false">SMALL(Datos!$D$2:$D$1501,A203)</f>
        <v>154.150646103257</v>
      </c>
      <c r="C203" s="21" t="n">
        <f aca="false">(Config!$B$11-A203+1)/Config!$B$11</f>
        <v>0.868</v>
      </c>
    </row>
    <row r="204" customFormat="false" ht="15" hidden="false" customHeight="false" outlineLevel="0" collapsed="false">
      <c r="A204" s="2" t="n">
        <v>200</v>
      </c>
      <c r="B204" s="13" t="n">
        <f aca="false">SMALL(Datos!$D$2:$D$1501,A204)</f>
        <v>154.15778221168</v>
      </c>
      <c r="C204" s="21" t="n">
        <f aca="false">(Config!$B$11-A204+1)/Config!$B$11</f>
        <v>0.867333333333333</v>
      </c>
    </row>
    <row r="205" customFormat="false" ht="15" hidden="false" customHeight="false" outlineLevel="0" collapsed="false">
      <c r="A205" s="2" t="n">
        <v>201</v>
      </c>
      <c r="B205" s="13" t="n">
        <f aca="false">SMALL(Datos!$D$2:$D$1501,A205)</f>
        <v>154.161350265891</v>
      </c>
      <c r="C205" s="21" t="n">
        <f aca="false">(Config!$B$11-A205+1)/Config!$B$11</f>
        <v>0.866666666666667</v>
      </c>
    </row>
    <row r="206" customFormat="false" ht="15" hidden="false" customHeight="false" outlineLevel="0" collapsed="false">
      <c r="A206" s="2" t="n">
        <v>202</v>
      </c>
      <c r="B206" s="13" t="n">
        <f aca="false">SMALL(Datos!$D$2:$D$1501,A206)</f>
        <v>154.172054428526</v>
      </c>
      <c r="C206" s="21" t="n">
        <f aca="false">(Config!$B$11-A206+1)/Config!$B$11</f>
        <v>0.866</v>
      </c>
    </row>
    <row r="207" customFormat="false" ht="15" hidden="false" customHeight="false" outlineLevel="0" collapsed="false">
      <c r="A207" s="2" t="n">
        <v>203</v>
      </c>
      <c r="B207" s="13" t="n">
        <f aca="false">SMALL(Datos!$D$2:$D$1501,A207)</f>
        <v>154.175622482738</v>
      </c>
      <c r="C207" s="21" t="n">
        <f aca="false">(Config!$B$11-A207+1)/Config!$B$11</f>
        <v>0.865333333333333</v>
      </c>
    </row>
    <row r="208" customFormat="false" ht="15" hidden="false" customHeight="false" outlineLevel="0" collapsed="false">
      <c r="A208" s="2" t="n">
        <v>204</v>
      </c>
      <c r="B208" s="13" t="n">
        <f aca="false">SMALL(Datos!$D$2:$D$1501,A208)</f>
        <v>154.2255752417</v>
      </c>
      <c r="C208" s="21" t="n">
        <f aca="false">(Config!$B$11-A208+1)/Config!$B$11</f>
        <v>0.864666666666667</v>
      </c>
    </row>
    <row r="209" customFormat="false" ht="15" hidden="false" customHeight="false" outlineLevel="0" collapsed="false">
      <c r="A209" s="2" t="n">
        <v>205</v>
      </c>
      <c r="B209" s="13" t="n">
        <f aca="false">SMALL(Datos!$D$2:$D$1501,A209)</f>
        <v>154.229143295912</v>
      </c>
      <c r="C209" s="21" t="n">
        <f aca="false">(Config!$B$11-A209+1)/Config!$B$11</f>
        <v>0.864</v>
      </c>
    </row>
    <row r="210" customFormat="false" ht="15" hidden="false" customHeight="false" outlineLevel="0" collapsed="false">
      <c r="A210" s="2" t="n">
        <v>206</v>
      </c>
      <c r="B210" s="13" t="n">
        <f aca="false">SMALL(Datos!$D$2:$D$1501,A210)</f>
        <v>154.243415512758</v>
      </c>
      <c r="C210" s="21" t="n">
        <f aca="false">(Config!$B$11-A210+1)/Config!$B$11</f>
        <v>0.863333333333333</v>
      </c>
    </row>
    <row r="211" customFormat="false" ht="15" hidden="false" customHeight="false" outlineLevel="0" collapsed="false">
      <c r="A211" s="2" t="n">
        <v>207</v>
      </c>
      <c r="B211" s="13" t="n">
        <f aca="false">SMALL(Datos!$D$2:$D$1501,A211)</f>
        <v>154.250551621181</v>
      </c>
      <c r="C211" s="21" t="n">
        <f aca="false">(Config!$B$11-A211+1)/Config!$B$11</f>
        <v>0.862666666666667</v>
      </c>
    </row>
    <row r="212" customFormat="false" ht="15" hidden="false" customHeight="false" outlineLevel="0" collapsed="false">
      <c r="A212" s="2" t="n">
        <v>208</v>
      </c>
      <c r="B212" s="13" t="n">
        <f aca="false">SMALL(Datos!$D$2:$D$1501,A212)</f>
        <v>154.257687729604</v>
      </c>
      <c r="C212" s="21" t="n">
        <f aca="false">(Config!$B$11-A212+1)/Config!$B$11</f>
        <v>0.862</v>
      </c>
    </row>
    <row r="213" customFormat="false" ht="15" hidden="false" customHeight="false" outlineLevel="0" collapsed="false">
      <c r="A213" s="2" t="n">
        <v>209</v>
      </c>
      <c r="B213" s="13" t="n">
        <f aca="false">SMALL(Datos!$D$2:$D$1501,A213)</f>
        <v>154.261255783816</v>
      </c>
      <c r="C213" s="21" t="n">
        <f aca="false">(Config!$B$11-A213+1)/Config!$B$11</f>
        <v>0.861333333333333</v>
      </c>
    </row>
    <row r="214" customFormat="false" ht="15" hidden="false" customHeight="false" outlineLevel="0" collapsed="false">
      <c r="A214" s="2" t="n">
        <v>210</v>
      </c>
      <c r="B214" s="13" t="n">
        <f aca="false">SMALL(Datos!$D$2:$D$1501,A214)</f>
        <v>154.279096054874</v>
      </c>
      <c r="C214" s="21" t="n">
        <f aca="false">(Config!$B$11-A214+1)/Config!$B$11</f>
        <v>0.860666666666667</v>
      </c>
    </row>
    <row r="215" customFormat="false" ht="15" hidden="false" customHeight="false" outlineLevel="0" collapsed="false">
      <c r="A215" s="2" t="n">
        <v>211</v>
      </c>
      <c r="B215" s="13" t="n">
        <f aca="false">SMALL(Datos!$D$2:$D$1501,A215)</f>
        <v>154.282664109085</v>
      </c>
      <c r="C215" s="21" t="n">
        <f aca="false">(Config!$B$11-A215+1)/Config!$B$11</f>
        <v>0.86</v>
      </c>
    </row>
    <row r="216" customFormat="false" ht="15" hidden="false" customHeight="false" outlineLevel="0" collapsed="false">
      <c r="A216" s="2" t="n">
        <v>212</v>
      </c>
      <c r="B216" s="13" t="n">
        <f aca="false">SMALL(Datos!$D$2:$D$1501,A216)</f>
        <v>154.296936325932</v>
      </c>
      <c r="C216" s="21" t="n">
        <f aca="false">(Config!$B$11-A216+1)/Config!$B$11</f>
        <v>0.859333333333333</v>
      </c>
    </row>
    <row r="217" customFormat="false" ht="15" hidden="false" customHeight="false" outlineLevel="0" collapsed="false">
      <c r="A217" s="2" t="n">
        <v>213</v>
      </c>
      <c r="B217" s="13" t="n">
        <f aca="false">SMALL(Datos!$D$2:$D$1501,A217)</f>
        <v>154.300504380143</v>
      </c>
      <c r="C217" s="21" t="n">
        <f aca="false">(Config!$B$11-A217+1)/Config!$B$11</f>
        <v>0.858666666666667</v>
      </c>
    </row>
    <row r="218" customFormat="false" ht="15" hidden="false" customHeight="false" outlineLevel="0" collapsed="false">
      <c r="A218" s="2" t="n">
        <v>214</v>
      </c>
      <c r="B218" s="13" t="n">
        <f aca="false">SMALL(Datos!$D$2:$D$1501,A218)</f>
        <v>154.357593247529</v>
      </c>
      <c r="C218" s="21" t="n">
        <f aca="false">(Config!$B$11-A218+1)/Config!$B$11</f>
        <v>0.858</v>
      </c>
    </row>
    <row r="219" customFormat="false" ht="15" hidden="false" customHeight="false" outlineLevel="0" collapsed="false">
      <c r="A219" s="2" t="n">
        <v>215</v>
      </c>
      <c r="B219" s="13" t="n">
        <f aca="false">SMALL(Datos!$D$2:$D$1501,A219)</f>
        <v>154.357593247529</v>
      </c>
      <c r="C219" s="21" t="n">
        <f aca="false">(Config!$B$11-A219+1)/Config!$B$11</f>
        <v>0.857333333333333</v>
      </c>
    </row>
    <row r="220" customFormat="false" ht="15" hidden="false" customHeight="false" outlineLevel="0" collapsed="false">
      <c r="A220" s="2" t="n">
        <v>216</v>
      </c>
      <c r="B220" s="13" t="n">
        <f aca="false">SMALL(Datos!$D$2:$D$1501,A220)</f>
        <v>154.36116130174</v>
      </c>
      <c r="C220" s="21" t="n">
        <f aca="false">(Config!$B$11-A220+1)/Config!$B$11</f>
        <v>0.856666666666667</v>
      </c>
    </row>
    <row r="221" customFormat="false" ht="15" hidden="false" customHeight="false" outlineLevel="0" collapsed="false">
      <c r="A221" s="2" t="n">
        <v>217</v>
      </c>
      <c r="B221" s="13" t="n">
        <f aca="false">SMALL(Datos!$D$2:$D$1501,A221)</f>
        <v>154.364729355952</v>
      </c>
      <c r="C221" s="21" t="n">
        <f aca="false">(Config!$B$11-A221+1)/Config!$B$11</f>
        <v>0.856</v>
      </c>
    </row>
    <row r="222" customFormat="false" ht="15" hidden="false" customHeight="false" outlineLevel="0" collapsed="false">
      <c r="A222" s="2" t="n">
        <v>218</v>
      </c>
      <c r="B222" s="13" t="n">
        <f aca="false">SMALL(Datos!$D$2:$D$1501,A222)</f>
        <v>154.368297410164</v>
      </c>
      <c r="C222" s="21" t="n">
        <f aca="false">(Config!$B$11-A222+1)/Config!$B$11</f>
        <v>0.855333333333333</v>
      </c>
    </row>
    <row r="223" customFormat="false" ht="15" hidden="false" customHeight="false" outlineLevel="0" collapsed="false">
      <c r="A223" s="2" t="n">
        <v>219</v>
      </c>
      <c r="B223" s="13" t="n">
        <f aca="false">SMALL(Datos!$D$2:$D$1501,A223)</f>
        <v>154.418250169126</v>
      </c>
      <c r="C223" s="21" t="n">
        <f aca="false">(Config!$B$11-A223+1)/Config!$B$11</f>
        <v>0.854666666666667</v>
      </c>
    </row>
    <row r="224" customFormat="false" ht="15" hidden="false" customHeight="false" outlineLevel="0" collapsed="false">
      <c r="A224" s="2" t="n">
        <v>220</v>
      </c>
      <c r="B224" s="13" t="n">
        <f aca="false">SMALL(Datos!$D$2:$D$1501,A224)</f>
        <v>154.468202928088</v>
      </c>
      <c r="C224" s="21" t="n">
        <f aca="false">(Config!$B$11-A224+1)/Config!$B$11</f>
        <v>0.854</v>
      </c>
    </row>
    <row r="225" customFormat="false" ht="15" hidden="false" customHeight="false" outlineLevel="0" collapsed="false">
      <c r="A225" s="2" t="n">
        <v>221</v>
      </c>
      <c r="B225" s="13" t="n">
        <f aca="false">SMALL(Datos!$D$2:$D$1501,A225)</f>
        <v>154.4717709823</v>
      </c>
      <c r="C225" s="21" t="n">
        <f aca="false">(Config!$B$11-A225+1)/Config!$B$11</f>
        <v>0.853333333333333</v>
      </c>
    </row>
    <row r="226" customFormat="false" ht="15" hidden="false" customHeight="false" outlineLevel="0" collapsed="false">
      <c r="A226" s="2" t="n">
        <v>222</v>
      </c>
      <c r="B226" s="13" t="n">
        <f aca="false">SMALL(Datos!$D$2:$D$1501,A226)</f>
        <v>154.4717709823</v>
      </c>
      <c r="C226" s="21" t="n">
        <f aca="false">(Config!$B$11-A226+1)/Config!$B$11</f>
        <v>0.852666666666667</v>
      </c>
    </row>
    <row r="227" customFormat="false" ht="15" hidden="false" customHeight="false" outlineLevel="0" collapsed="false">
      <c r="A227" s="2" t="n">
        <v>223</v>
      </c>
      <c r="B227" s="13" t="n">
        <f aca="false">SMALL(Datos!$D$2:$D$1501,A227)</f>
        <v>154.478907090723</v>
      </c>
      <c r="C227" s="21" t="n">
        <f aca="false">(Config!$B$11-A227+1)/Config!$B$11</f>
        <v>0.852</v>
      </c>
    </row>
    <row r="228" customFormat="false" ht="15" hidden="false" customHeight="false" outlineLevel="0" collapsed="false">
      <c r="A228" s="2" t="n">
        <v>224</v>
      </c>
      <c r="B228" s="13" t="n">
        <f aca="false">SMALL(Datos!$D$2:$D$1501,A228)</f>
        <v>154.489611253358</v>
      </c>
      <c r="C228" s="21" t="n">
        <f aca="false">(Config!$B$11-A228+1)/Config!$B$11</f>
        <v>0.851333333333333</v>
      </c>
    </row>
    <row r="229" customFormat="false" ht="15" hidden="false" customHeight="false" outlineLevel="0" collapsed="false">
      <c r="A229" s="2" t="n">
        <v>225</v>
      </c>
      <c r="B229" s="13" t="n">
        <f aca="false">SMALL(Datos!$D$2:$D$1501,A229)</f>
        <v>154.493179307569</v>
      </c>
      <c r="C229" s="21" t="n">
        <f aca="false">(Config!$B$11-A229+1)/Config!$B$11</f>
        <v>0.850666666666667</v>
      </c>
    </row>
    <row r="230" customFormat="false" ht="15" hidden="false" customHeight="false" outlineLevel="0" collapsed="false">
      <c r="A230" s="2" t="n">
        <v>226</v>
      </c>
      <c r="B230" s="13" t="n">
        <f aca="false">SMALL(Datos!$D$2:$D$1501,A230)</f>
        <v>154.51815568705</v>
      </c>
      <c r="C230" s="21" t="n">
        <f aca="false">(Config!$B$11-A230+1)/Config!$B$11</f>
        <v>0.85</v>
      </c>
    </row>
    <row r="231" customFormat="false" ht="15" hidden="false" customHeight="false" outlineLevel="0" collapsed="false">
      <c r="A231" s="2" t="n">
        <v>227</v>
      </c>
      <c r="B231" s="13" t="n">
        <f aca="false">SMALL(Datos!$D$2:$D$1501,A231)</f>
        <v>154.528859849685</v>
      </c>
      <c r="C231" s="21" t="n">
        <f aca="false">(Config!$B$11-A231+1)/Config!$B$11</f>
        <v>0.849333333333333</v>
      </c>
    </row>
    <row r="232" customFormat="false" ht="15" hidden="false" customHeight="false" outlineLevel="0" collapsed="false">
      <c r="A232" s="2" t="n">
        <v>228</v>
      </c>
      <c r="B232" s="13" t="n">
        <f aca="false">SMALL(Datos!$D$2:$D$1501,A232)</f>
        <v>154.550268174955</v>
      </c>
      <c r="C232" s="21" t="n">
        <f aca="false">(Config!$B$11-A232+1)/Config!$B$11</f>
        <v>0.848666666666667</v>
      </c>
    </row>
    <row r="233" customFormat="false" ht="15" hidden="false" customHeight="false" outlineLevel="0" collapsed="false">
      <c r="A233" s="2" t="n">
        <v>229</v>
      </c>
      <c r="B233" s="13" t="n">
        <f aca="false">SMALL(Datos!$D$2:$D$1501,A233)</f>
        <v>154.553836229166</v>
      </c>
      <c r="C233" s="21" t="n">
        <f aca="false">(Config!$B$11-A233+1)/Config!$B$11</f>
        <v>0.848</v>
      </c>
    </row>
    <row r="234" customFormat="false" ht="15" hidden="false" customHeight="false" outlineLevel="0" collapsed="false">
      <c r="A234" s="2" t="n">
        <v>230</v>
      </c>
      <c r="B234" s="13" t="n">
        <f aca="false">SMALL(Datos!$D$2:$D$1501,A234)</f>
        <v>154.553836229166</v>
      </c>
      <c r="C234" s="21" t="n">
        <f aca="false">(Config!$B$11-A234+1)/Config!$B$11</f>
        <v>0.847333333333333</v>
      </c>
    </row>
    <row r="235" customFormat="false" ht="15" hidden="false" customHeight="false" outlineLevel="0" collapsed="false">
      <c r="A235" s="2" t="n">
        <v>231</v>
      </c>
      <c r="B235" s="13" t="n">
        <f aca="false">SMALL(Datos!$D$2:$D$1501,A235)</f>
        <v>154.553836229166</v>
      </c>
      <c r="C235" s="21" t="n">
        <f aca="false">(Config!$B$11-A235+1)/Config!$B$11</f>
        <v>0.846666666666667</v>
      </c>
    </row>
    <row r="236" customFormat="false" ht="15" hidden="false" customHeight="false" outlineLevel="0" collapsed="false">
      <c r="A236" s="2" t="n">
        <v>232</v>
      </c>
      <c r="B236" s="13" t="n">
        <f aca="false">SMALL(Datos!$D$2:$D$1501,A236)</f>
        <v>154.560972337589</v>
      </c>
      <c r="C236" s="21" t="n">
        <f aca="false">(Config!$B$11-A236+1)/Config!$B$11</f>
        <v>0.846</v>
      </c>
    </row>
    <row r="237" customFormat="false" ht="15" hidden="false" customHeight="false" outlineLevel="0" collapsed="false">
      <c r="A237" s="2" t="n">
        <v>233</v>
      </c>
      <c r="B237" s="13" t="n">
        <f aca="false">SMALL(Datos!$D$2:$D$1501,A237)</f>
        <v>154.575244554436</v>
      </c>
      <c r="C237" s="21" t="n">
        <f aca="false">(Config!$B$11-A237+1)/Config!$B$11</f>
        <v>0.845333333333333</v>
      </c>
    </row>
    <row r="238" customFormat="false" ht="15" hidden="false" customHeight="false" outlineLevel="0" collapsed="false">
      <c r="A238" s="2" t="n">
        <v>234</v>
      </c>
      <c r="B238" s="13" t="n">
        <f aca="false">SMALL(Datos!$D$2:$D$1501,A238)</f>
        <v>154.593084825494</v>
      </c>
      <c r="C238" s="21" t="n">
        <f aca="false">(Config!$B$11-A238+1)/Config!$B$11</f>
        <v>0.844666666666667</v>
      </c>
    </row>
    <row r="239" customFormat="false" ht="15" hidden="false" customHeight="false" outlineLevel="0" collapsed="false">
      <c r="A239" s="2" t="n">
        <v>235</v>
      </c>
      <c r="B239" s="13" t="n">
        <f aca="false">SMALL(Datos!$D$2:$D$1501,A239)</f>
        <v>154.60735704234</v>
      </c>
      <c r="C239" s="21" t="n">
        <f aca="false">(Config!$B$11-A239+1)/Config!$B$11</f>
        <v>0.844</v>
      </c>
    </row>
    <row r="240" customFormat="false" ht="15" hidden="false" customHeight="false" outlineLevel="0" collapsed="false">
      <c r="A240" s="2" t="n">
        <v>236</v>
      </c>
      <c r="B240" s="13" t="n">
        <f aca="false">SMALL(Datos!$D$2:$D$1501,A240)</f>
        <v>154.62876536761</v>
      </c>
      <c r="C240" s="21" t="n">
        <f aca="false">(Config!$B$11-A240+1)/Config!$B$11</f>
        <v>0.843333333333333</v>
      </c>
    </row>
    <row r="241" customFormat="false" ht="15" hidden="false" customHeight="false" outlineLevel="0" collapsed="false">
      <c r="A241" s="2" t="n">
        <v>237</v>
      </c>
      <c r="B241" s="13" t="n">
        <f aca="false">SMALL(Datos!$D$2:$D$1501,A241)</f>
        <v>154.62876536761</v>
      </c>
      <c r="C241" s="21" t="n">
        <f aca="false">(Config!$B$11-A241+1)/Config!$B$11</f>
        <v>0.842666666666667</v>
      </c>
    </row>
    <row r="242" customFormat="false" ht="15" hidden="false" customHeight="false" outlineLevel="0" collapsed="false">
      <c r="A242" s="2" t="n">
        <v>238</v>
      </c>
      <c r="B242" s="13" t="n">
        <f aca="false">SMALL(Datos!$D$2:$D$1501,A242)</f>
        <v>154.646605638667</v>
      </c>
      <c r="C242" s="21" t="n">
        <f aca="false">(Config!$B$11-A242+1)/Config!$B$11</f>
        <v>0.842</v>
      </c>
    </row>
    <row r="243" customFormat="false" ht="15" hidden="false" customHeight="false" outlineLevel="0" collapsed="false">
      <c r="A243" s="2" t="n">
        <v>239</v>
      </c>
      <c r="B243" s="13" t="n">
        <f aca="false">SMALL(Datos!$D$2:$D$1501,A243)</f>
        <v>154.646605638667</v>
      </c>
      <c r="C243" s="21" t="n">
        <f aca="false">(Config!$B$11-A243+1)/Config!$B$11</f>
        <v>0.841333333333333</v>
      </c>
    </row>
    <row r="244" customFormat="false" ht="15" hidden="false" customHeight="false" outlineLevel="0" collapsed="false">
      <c r="A244" s="2" t="n">
        <v>240</v>
      </c>
      <c r="B244" s="13" t="n">
        <f aca="false">SMALL(Datos!$D$2:$D$1501,A244)</f>
        <v>154.650173692879</v>
      </c>
      <c r="C244" s="21" t="n">
        <f aca="false">(Config!$B$11-A244+1)/Config!$B$11</f>
        <v>0.840666666666667</v>
      </c>
    </row>
    <row r="245" customFormat="false" ht="15" hidden="false" customHeight="false" outlineLevel="0" collapsed="false">
      <c r="A245" s="2" t="n">
        <v>241</v>
      </c>
      <c r="B245" s="13" t="n">
        <f aca="false">SMALL(Datos!$D$2:$D$1501,A245)</f>
        <v>154.664445909725</v>
      </c>
      <c r="C245" s="21" t="n">
        <f aca="false">(Config!$B$11-A245+1)/Config!$B$11</f>
        <v>0.84</v>
      </c>
    </row>
    <row r="246" customFormat="false" ht="15" hidden="false" customHeight="false" outlineLevel="0" collapsed="false">
      <c r="A246" s="2" t="n">
        <v>242</v>
      </c>
      <c r="B246" s="13" t="n">
        <f aca="false">SMALL(Datos!$D$2:$D$1501,A246)</f>
        <v>154.664445909725</v>
      </c>
      <c r="C246" s="21" t="n">
        <f aca="false">(Config!$B$11-A246+1)/Config!$B$11</f>
        <v>0.839333333333333</v>
      </c>
    </row>
    <row r="247" customFormat="false" ht="15" hidden="false" customHeight="false" outlineLevel="0" collapsed="false">
      <c r="A247" s="2" t="n">
        <v>243</v>
      </c>
      <c r="B247" s="13" t="n">
        <f aca="false">SMALL(Datos!$D$2:$D$1501,A247)</f>
        <v>154.67515007236</v>
      </c>
      <c r="C247" s="21" t="n">
        <f aca="false">(Config!$B$11-A247+1)/Config!$B$11</f>
        <v>0.838666666666667</v>
      </c>
    </row>
    <row r="248" customFormat="false" ht="15" hidden="false" customHeight="false" outlineLevel="0" collapsed="false">
      <c r="A248" s="2" t="n">
        <v>244</v>
      </c>
      <c r="B248" s="13" t="n">
        <f aca="false">SMALL(Datos!$D$2:$D$1501,A248)</f>
        <v>154.728670885534</v>
      </c>
      <c r="C248" s="21" t="n">
        <f aca="false">(Config!$B$11-A248+1)/Config!$B$11</f>
        <v>0.838</v>
      </c>
    </row>
    <row r="249" customFormat="false" ht="15" hidden="false" customHeight="false" outlineLevel="0" collapsed="false">
      <c r="A249" s="2" t="n">
        <v>245</v>
      </c>
      <c r="B249" s="13" t="n">
        <f aca="false">SMALL(Datos!$D$2:$D$1501,A249)</f>
        <v>154.753647265015</v>
      </c>
      <c r="C249" s="21" t="n">
        <f aca="false">(Config!$B$11-A249+1)/Config!$B$11</f>
        <v>0.837333333333333</v>
      </c>
    </row>
    <row r="250" customFormat="false" ht="15" hidden="false" customHeight="false" outlineLevel="0" collapsed="false">
      <c r="A250" s="2" t="n">
        <v>246</v>
      </c>
      <c r="B250" s="13" t="n">
        <f aca="false">SMALL(Datos!$D$2:$D$1501,A250)</f>
        <v>154.771487536073</v>
      </c>
      <c r="C250" s="21" t="n">
        <f aca="false">(Config!$B$11-A250+1)/Config!$B$11</f>
        <v>0.836666666666667</v>
      </c>
    </row>
    <row r="251" customFormat="false" ht="15" hidden="false" customHeight="false" outlineLevel="0" collapsed="false">
      <c r="A251" s="2" t="n">
        <v>247</v>
      </c>
      <c r="B251" s="13" t="n">
        <f aca="false">SMALL(Datos!$D$2:$D$1501,A251)</f>
        <v>154.778623644496</v>
      </c>
      <c r="C251" s="21" t="n">
        <f aca="false">(Config!$B$11-A251+1)/Config!$B$11</f>
        <v>0.836</v>
      </c>
    </row>
    <row r="252" customFormat="false" ht="15" hidden="false" customHeight="false" outlineLevel="0" collapsed="false">
      <c r="A252" s="2" t="n">
        <v>248</v>
      </c>
      <c r="B252" s="13" t="n">
        <f aca="false">SMALL(Datos!$D$2:$D$1501,A252)</f>
        <v>154.778623644496</v>
      </c>
      <c r="C252" s="21" t="n">
        <f aca="false">(Config!$B$11-A252+1)/Config!$B$11</f>
        <v>0.835333333333333</v>
      </c>
    </row>
    <row r="253" customFormat="false" ht="15" hidden="false" customHeight="false" outlineLevel="0" collapsed="false">
      <c r="A253" s="2" t="n">
        <v>249</v>
      </c>
      <c r="B253" s="13" t="n">
        <f aca="false">SMALL(Datos!$D$2:$D$1501,A253)</f>
        <v>154.792895861343</v>
      </c>
      <c r="C253" s="21" t="n">
        <f aca="false">(Config!$B$11-A253+1)/Config!$B$11</f>
        <v>0.834666666666667</v>
      </c>
    </row>
    <row r="254" customFormat="false" ht="15" hidden="false" customHeight="false" outlineLevel="0" collapsed="false">
      <c r="A254" s="2" t="n">
        <v>250</v>
      </c>
      <c r="B254" s="13" t="n">
        <f aca="false">SMALL(Datos!$D$2:$D$1501,A254)</f>
        <v>154.821440295035</v>
      </c>
      <c r="C254" s="21" t="n">
        <f aca="false">(Config!$B$11-A254+1)/Config!$B$11</f>
        <v>0.834</v>
      </c>
    </row>
    <row r="255" customFormat="false" ht="15" hidden="false" customHeight="false" outlineLevel="0" collapsed="false">
      <c r="A255" s="2" t="n">
        <v>251</v>
      </c>
      <c r="B255" s="13" t="n">
        <f aca="false">SMALL(Datos!$D$2:$D$1501,A255)</f>
        <v>154.825008349247</v>
      </c>
      <c r="C255" s="21" t="n">
        <f aca="false">(Config!$B$11-A255+1)/Config!$B$11</f>
        <v>0.833333333333333</v>
      </c>
    </row>
    <row r="256" customFormat="false" ht="15" hidden="false" customHeight="false" outlineLevel="0" collapsed="false">
      <c r="A256" s="2" t="n">
        <v>252</v>
      </c>
      <c r="B256" s="13" t="n">
        <f aca="false">SMALL(Datos!$D$2:$D$1501,A256)</f>
        <v>154.828576403458</v>
      </c>
      <c r="C256" s="21" t="n">
        <f aca="false">(Config!$B$11-A256+1)/Config!$B$11</f>
        <v>0.832666666666667</v>
      </c>
    </row>
    <row r="257" customFormat="false" ht="15" hidden="false" customHeight="false" outlineLevel="0" collapsed="false">
      <c r="A257" s="2" t="n">
        <v>253</v>
      </c>
      <c r="B257" s="13" t="n">
        <f aca="false">SMALL(Datos!$D$2:$D$1501,A257)</f>
        <v>154.842848620305</v>
      </c>
      <c r="C257" s="21" t="n">
        <f aca="false">(Config!$B$11-A257+1)/Config!$B$11</f>
        <v>0.832</v>
      </c>
    </row>
    <row r="258" customFormat="false" ht="15" hidden="false" customHeight="false" outlineLevel="0" collapsed="false">
      <c r="A258" s="2" t="n">
        <v>254</v>
      </c>
      <c r="B258" s="13" t="n">
        <f aca="false">SMALL(Datos!$D$2:$D$1501,A258)</f>
        <v>154.857120837151</v>
      </c>
      <c r="C258" s="21" t="n">
        <f aca="false">(Config!$B$11-A258+1)/Config!$B$11</f>
        <v>0.831333333333333</v>
      </c>
    </row>
    <row r="259" customFormat="false" ht="15" hidden="false" customHeight="false" outlineLevel="0" collapsed="false">
      <c r="A259" s="2" t="n">
        <v>255</v>
      </c>
      <c r="B259" s="13" t="n">
        <f aca="false">SMALL(Datos!$D$2:$D$1501,A259)</f>
        <v>154.892801379267</v>
      </c>
      <c r="C259" s="21" t="n">
        <f aca="false">(Config!$B$11-A259+1)/Config!$B$11</f>
        <v>0.830666666666667</v>
      </c>
    </row>
    <row r="260" customFormat="false" ht="15" hidden="false" customHeight="false" outlineLevel="0" collapsed="false">
      <c r="A260" s="2" t="n">
        <v>256</v>
      </c>
      <c r="B260" s="13" t="n">
        <f aca="false">SMALL(Datos!$D$2:$D$1501,A260)</f>
        <v>154.903505541902</v>
      </c>
      <c r="C260" s="21" t="n">
        <f aca="false">(Config!$B$11-A260+1)/Config!$B$11</f>
        <v>0.83</v>
      </c>
    </row>
    <row r="261" customFormat="false" ht="15" hidden="false" customHeight="false" outlineLevel="0" collapsed="false">
      <c r="A261" s="2" t="n">
        <v>257</v>
      </c>
      <c r="B261" s="13" t="n">
        <f aca="false">SMALL(Datos!$D$2:$D$1501,A261)</f>
        <v>154.903505541902</v>
      </c>
      <c r="C261" s="21" t="n">
        <f aca="false">(Config!$B$11-A261+1)/Config!$B$11</f>
        <v>0.829333333333333</v>
      </c>
    </row>
    <row r="262" customFormat="false" ht="15" hidden="false" customHeight="false" outlineLevel="0" collapsed="false">
      <c r="A262" s="2" t="n">
        <v>258</v>
      </c>
      <c r="B262" s="13" t="n">
        <f aca="false">SMALL(Datos!$D$2:$D$1501,A262)</f>
        <v>154.914209704537</v>
      </c>
      <c r="C262" s="21" t="n">
        <f aca="false">(Config!$B$11-A262+1)/Config!$B$11</f>
        <v>0.828666666666667</v>
      </c>
    </row>
    <row r="263" customFormat="false" ht="15" hidden="false" customHeight="false" outlineLevel="0" collapsed="false">
      <c r="A263" s="2" t="n">
        <v>259</v>
      </c>
      <c r="B263" s="13" t="n">
        <f aca="false">SMALL(Datos!$D$2:$D$1501,A263)</f>
        <v>154.914209704537</v>
      </c>
      <c r="C263" s="21" t="n">
        <f aca="false">(Config!$B$11-A263+1)/Config!$B$11</f>
        <v>0.828</v>
      </c>
    </row>
    <row r="264" customFormat="false" ht="15" hidden="false" customHeight="false" outlineLevel="0" collapsed="false">
      <c r="A264" s="2" t="n">
        <v>260</v>
      </c>
      <c r="B264" s="13" t="n">
        <f aca="false">SMALL(Datos!$D$2:$D$1501,A264)</f>
        <v>154.92134581296</v>
      </c>
      <c r="C264" s="21" t="n">
        <f aca="false">(Config!$B$11-A264+1)/Config!$B$11</f>
        <v>0.827333333333333</v>
      </c>
    </row>
    <row r="265" customFormat="false" ht="15" hidden="false" customHeight="false" outlineLevel="0" collapsed="false">
      <c r="A265" s="2" t="n">
        <v>261</v>
      </c>
      <c r="B265" s="13" t="n">
        <f aca="false">SMALL(Datos!$D$2:$D$1501,A265)</f>
        <v>154.92134581296</v>
      </c>
      <c r="C265" s="21" t="n">
        <f aca="false">(Config!$B$11-A265+1)/Config!$B$11</f>
        <v>0.826666666666667</v>
      </c>
    </row>
    <row r="266" customFormat="false" ht="15" hidden="false" customHeight="false" outlineLevel="0" collapsed="false">
      <c r="A266" s="2" t="n">
        <v>262</v>
      </c>
      <c r="B266" s="13" t="n">
        <f aca="false">SMALL(Datos!$D$2:$D$1501,A266)</f>
        <v>154.924913867171</v>
      </c>
      <c r="C266" s="21" t="n">
        <f aca="false">(Config!$B$11-A266+1)/Config!$B$11</f>
        <v>0.826</v>
      </c>
    </row>
    <row r="267" customFormat="false" ht="15" hidden="false" customHeight="false" outlineLevel="0" collapsed="false">
      <c r="A267" s="2" t="n">
        <v>263</v>
      </c>
      <c r="B267" s="13" t="n">
        <f aca="false">SMALL(Datos!$D$2:$D$1501,A267)</f>
        <v>154.949890246652</v>
      </c>
      <c r="C267" s="21" t="n">
        <f aca="false">(Config!$B$11-A267+1)/Config!$B$11</f>
        <v>0.825333333333333</v>
      </c>
    </row>
    <row r="268" customFormat="false" ht="15" hidden="false" customHeight="false" outlineLevel="0" collapsed="false">
      <c r="A268" s="2" t="n">
        <v>264</v>
      </c>
      <c r="B268" s="13" t="n">
        <f aca="false">SMALL(Datos!$D$2:$D$1501,A268)</f>
        <v>154.957026355076</v>
      </c>
      <c r="C268" s="21" t="n">
        <f aca="false">(Config!$B$11-A268+1)/Config!$B$11</f>
        <v>0.824666666666667</v>
      </c>
    </row>
    <row r="269" customFormat="false" ht="15" hidden="false" customHeight="false" outlineLevel="0" collapsed="false">
      <c r="A269" s="2" t="n">
        <v>265</v>
      </c>
      <c r="B269" s="13" t="n">
        <f aca="false">SMALL(Datos!$D$2:$D$1501,A269)</f>
        <v>154.971298571922</v>
      </c>
      <c r="C269" s="21" t="n">
        <f aca="false">(Config!$B$11-A269+1)/Config!$B$11</f>
        <v>0.824</v>
      </c>
    </row>
    <row r="270" customFormat="false" ht="15" hidden="false" customHeight="false" outlineLevel="0" collapsed="false">
      <c r="A270" s="2" t="n">
        <v>266</v>
      </c>
      <c r="B270" s="13" t="n">
        <f aca="false">SMALL(Datos!$D$2:$D$1501,A270)</f>
        <v>154.992706897192</v>
      </c>
      <c r="C270" s="21" t="n">
        <f aca="false">(Config!$B$11-A270+1)/Config!$B$11</f>
        <v>0.823333333333333</v>
      </c>
    </row>
    <row r="271" customFormat="false" ht="15" hidden="false" customHeight="false" outlineLevel="0" collapsed="false">
      <c r="A271" s="2" t="n">
        <v>267</v>
      </c>
      <c r="B271" s="13" t="n">
        <f aca="false">SMALL(Datos!$D$2:$D$1501,A271)</f>
        <v>154.999843005615</v>
      </c>
      <c r="C271" s="21" t="n">
        <f aca="false">(Config!$B$11-A271+1)/Config!$B$11</f>
        <v>0.822666666666667</v>
      </c>
    </row>
    <row r="272" customFormat="false" ht="15" hidden="false" customHeight="false" outlineLevel="0" collapsed="false">
      <c r="A272" s="2" t="n">
        <v>268</v>
      </c>
      <c r="B272" s="13" t="n">
        <f aca="false">SMALL(Datos!$D$2:$D$1501,A272)</f>
        <v>155.014115222461</v>
      </c>
      <c r="C272" s="21" t="n">
        <f aca="false">(Config!$B$11-A272+1)/Config!$B$11</f>
        <v>0.822</v>
      </c>
    </row>
    <row r="273" customFormat="false" ht="15" hidden="false" customHeight="false" outlineLevel="0" collapsed="false">
      <c r="A273" s="2" t="n">
        <v>269</v>
      </c>
      <c r="B273" s="13" t="n">
        <f aca="false">SMALL(Datos!$D$2:$D$1501,A273)</f>
        <v>155.024819385096</v>
      </c>
      <c r="C273" s="21" t="n">
        <f aca="false">(Config!$B$11-A273+1)/Config!$B$11</f>
        <v>0.821333333333333</v>
      </c>
    </row>
    <row r="274" customFormat="false" ht="15" hidden="false" customHeight="false" outlineLevel="0" collapsed="false">
      <c r="A274" s="2" t="n">
        <v>270</v>
      </c>
      <c r="B274" s="13" t="n">
        <f aca="false">SMALL(Datos!$D$2:$D$1501,A274)</f>
        <v>155.024819385096</v>
      </c>
      <c r="C274" s="21" t="n">
        <f aca="false">(Config!$B$11-A274+1)/Config!$B$11</f>
        <v>0.820666666666667</v>
      </c>
    </row>
    <row r="275" customFormat="false" ht="15" hidden="false" customHeight="false" outlineLevel="0" collapsed="false">
      <c r="A275" s="2" t="n">
        <v>271</v>
      </c>
      <c r="B275" s="13" t="n">
        <f aca="false">SMALL(Datos!$D$2:$D$1501,A275)</f>
        <v>155.024819385096</v>
      </c>
      <c r="C275" s="21" t="n">
        <f aca="false">(Config!$B$11-A275+1)/Config!$B$11</f>
        <v>0.82</v>
      </c>
    </row>
    <row r="276" customFormat="false" ht="15" hidden="false" customHeight="false" outlineLevel="0" collapsed="false">
      <c r="A276" s="2" t="n">
        <v>272</v>
      </c>
      <c r="B276" s="13" t="n">
        <f aca="false">SMALL(Datos!$D$2:$D$1501,A276)</f>
        <v>155.035523547731</v>
      </c>
      <c r="C276" s="21" t="n">
        <f aca="false">(Config!$B$11-A276+1)/Config!$B$11</f>
        <v>0.819333333333333</v>
      </c>
    </row>
    <row r="277" customFormat="false" ht="15" hidden="false" customHeight="false" outlineLevel="0" collapsed="false">
      <c r="A277" s="2" t="n">
        <v>273</v>
      </c>
      <c r="B277" s="13" t="n">
        <f aca="false">SMALL(Datos!$D$2:$D$1501,A277)</f>
        <v>155.039091601942</v>
      </c>
      <c r="C277" s="21" t="n">
        <f aca="false">(Config!$B$11-A277+1)/Config!$B$11</f>
        <v>0.818666666666667</v>
      </c>
    </row>
    <row r="278" customFormat="false" ht="15" hidden="false" customHeight="false" outlineLevel="0" collapsed="false">
      <c r="A278" s="2" t="n">
        <v>274</v>
      </c>
      <c r="B278" s="13" t="n">
        <f aca="false">SMALL(Datos!$D$2:$D$1501,A278)</f>
        <v>155.067636035635</v>
      </c>
      <c r="C278" s="21" t="n">
        <f aca="false">(Config!$B$11-A278+1)/Config!$B$11</f>
        <v>0.818</v>
      </c>
    </row>
    <row r="279" customFormat="false" ht="15" hidden="false" customHeight="false" outlineLevel="0" collapsed="false">
      <c r="A279" s="2" t="n">
        <v>275</v>
      </c>
      <c r="B279" s="13" t="n">
        <f aca="false">SMALL(Datos!$D$2:$D$1501,A279)</f>
        <v>155.071204089847</v>
      </c>
      <c r="C279" s="21" t="n">
        <f aca="false">(Config!$B$11-A279+1)/Config!$B$11</f>
        <v>0.817333333333333</v>
      </c>
    </row>
    <row r="280" customFormat="false" ht="15" hidden="false" customHeight="false" outlineLevel="0" collapsed="false">
      <c r="A280" s="2" t="n">
        <v>276</v>
      </c>
      <c r="B280" s="13" t="n">
        <f aca="false">SMALL(Datos!$D$2:$D$1501,A280)</f>
        <v>155.085476306693</v>
      </c>
      <c r="C280" s="21" t="n">
        <f aca="false">(Config!$B$11-A280+1)/Config!$B$11</f>
        <v>0.816666666666667</v>
      </c>
    </row>
    <row r="281" customFormat="false" ht="15" hidden="false" customHeight="false" outlineLevel="0" collapsed="false">
      <c r="A281" s="2" t="n">
        <v>277</v>
      </c>
      <c r="B281" s="13" t="n">
        <f aca="false">SMALL(Datos!$D$2:$D$1501,A281)</f>
        <v>155.085476306693</v>
      </c>
      <c r="C281" s="21" t="n">
        <f aca="false">(Config!$B$11-A281+1)/Config!$B$11</f>
        <v>0.816</v>
      </c>
    </row>
    <row r="282" customFormat="false" ht="15" hidden="false" customHeight="false" outlineLevel="0" collapsed="false">
      <c r="A282" s="2" t="n">
        <v>278</v>
      </c>
      <c r="B282" s="13" t="n">
        <f aca="false">SMALL(Datos!$D$2:$D$1501,A282)</f>
        <v>155.106884631962</v>
      </c>
      <c r="C282" s="21" t="n">
        <f aca="false">(Config!$B$11-A282+1)/Config!$B$11</f>
        <v>0.815333333333333</v>
      </c>
    </row>
    <row r="283" customFormat="false" ht="15" hidden="false" customHeight="false" outlineLevel="0" collapsed="false">
      <c r="A283" s="2" t="n">
        <v>279</v>
      </c>
      <c r="B283" s="13" t="n">
        <f aca="false">SMALL(Datos!$D$2:$D$1501,A283)</f>
        <v>155.138997119867</v>
      </c>
      <c r="C283" s="21" t="n">
        <f aca="false">(Config!$B$11-A283+1)/Config!$B$11</f>
        <v>0.814666666666667</v>
      </c>
    </row>
    <row r="284" customFormat="false" ht="15" hidden="false" customHeight="false" outlineLevel="0" collapsed="false">
      <c r="A284" s="2" t="n">
        <v>280</v>
      </c>
      <c r="B284" s="13" t="n">
        <f aca="false">SMALL(Datos!$D$2:$D$1501,A284)</f>
        <v>155.149701282501</v>
      </c>
      <c r="C284" s="21" t="n">
        <f aca="false">(Config!$B$11-A284+1)/Config!$B$11</f>
        <v>0.814</v>
      </c>
    </row>
    <row r="285" customFormat="false" ht="15" hidden="false" customHeight="false" outlineLevel="0" collapsed="false">
      <c r="A285" s="2" t="n">
        <v>281</v>
      </c>
      <c r="B285" s="13" t="n">
        <f aca="false">SMALL(Datos!$D$2:$D$1501,A285)</f>
        <v>155.178245716194</v>
      </c>
      <c r="C285" s="21" t="n">
        <f aca="false">(Config!$B$11-A285+1)/Config!$B$11</f>
        <v>0.813333333333333</v>
      </c>
    </row>
    <row r="286" customFormat="false" ht="15" hidden="false" customHeight="false" outlineLevel="0" collapsed="false">
      <c r="A286" s="2" t="n">
        <v>282</v>
      </c>
      <c r="B286" s="13" t="n">
        <f aca="false">SMALL(Datos!$D$2:$D$1501,A286)</f>
        <v>155.181813770406</v>
      </c>
      <c r="C286" s="21" t="n">
        <f aca="false">(Config!$B$11-A286+1)/Config!$B$11</f>
        <v>0.812666666666667</v>
      </c>
    </row>
    <row r="287" customFormat="false" ht="15" hidden="false" customHeight="false" outlineLevel="0" collapsed="false">
      <c r="A287" s="2" t="n">
        <v>283</v>
      </c>
      <c r="B287" s="13" t="n">
        <f aca="false">SMALL(Datos!$D$2:$D$1501,A287)</f>
        <v>155.188949878829</v>
      </c>
      <c r="C287" s="21" t="n">
        <f aca="false">(Config!$B$11-A287+1)/Config!$B$11</f>
        <v>0.812</v>
      </c>
    </row>
    <row r="288" customFormat="false" ht="15" hidden="false" customHeight="false" outlineLevel="0" collapsed="false">
      <c r="A288" s="2" t="n">
        <v>284</v>
      </c>
      <c r="B288" s="13" t="n">
        <f aca="false">SMALL(Datos!$D$2:$D$1501,A288)</f>
        <v>155.206790149887</v>
      </c>
      <c r="C288" s="21" t="n">
        <f aca="false">(Config!$B$11-A288+1)/Config!$B$11</f>
        <v>0.811333333333333</v>
      </c>
    </row>
    <row r="289" customFormat="false" ht="15" hidden="false" customHeight="false" outlineLevel="0" collapsed="false">
      <c r="A289" s="2" t="n">
        <v>285</v>
      </c>
      <c r="B289" s="13" t="n">
        <f aca="false">SMALL(Datos!$D$2:$D$1501,A289)</f>
        <v>155.228198475156</v>
      </c>
      <c r="C289" s="21" t="n">
        <f aca="false">(Config!$B$11-A289+1)/Config!$B$11</f>
        <v>0.810666666666667</v>
      </c>
    </row>
    <row r="290" customFormat="false" ht="15" hidden="false" customHeight="false" outlineLevel="0" collapsed="false">
      <c r="A290" s="2" t="n">
        <v>286</v>
      </c>
      <c r="B290" s="13" t="n">
        <f aca="false">SMALL(Datos!$D$2:$D$1501,A290)</f>
        <v>155.253174854638</v>
      </c>
      <c r="C290" s="21" t="n">
        <f aca="false">(Config!$B$11-A290+1)/Config!$B$11</f>
        <v>0.81</v>
      </c>
    </row>
    <row r="291" customFormat="false" ht="15" hidden="false" customHeight="false" outlineLevel="0" collapsed="false">
      <c r="A291" s="2" t="n">
        <v>287</v>
      </c>
      <c r="B291" s="13" t="n">
        <f aca="false">SMALL(Datos!$D$2:$D$1501,A291)</f>
        <v>155.256742908849</v>
      </c>
      <c r="C291" s="21" t="n">
        <f aca="false">(Config!$B$11-A291+1)/Config!$B$11</f>
        <v>0.809333333333333</v>
      </c>
    </row>
    <row r="292" customFormat="false" ht="15" hidden="false" customHeight="false" outlineLevel="0" collapsed="false">
      <c r="A292" s="2" t="n">
        <v>288</v>
      </c>
      <c r="B292" s="13" t="n">
        <f aca="false">SMALL(Datos!$D$2:$D$1501,A292)</f>
        <v>155.263879017272</v>
      </c>
      <c r="C292" s="21" t="n">
        <f aca="false">(Config!$B$11-A292+1)/Config!$B$11</f>
        <v>0.808666666666667</v>
      </c>
    </row>
    <row r="293" customFormat="false" ht="15" hidden="false" customHeight="false" outlineLevel="0" collapsed="false">
      <c r="A293" s="2" t="n">
        <v>289</v>
      </c>
      <c r="B293" s="13" t="n">
        <f aca="false">SMALL(Datos!$D$2:$D$1501,A293)</f>
        <v>155.274583179907</v>
      </c>
      <c r="C293" s="21" t="n">
        <f aca="false">(Config!$B$11-A293+1)/Config!$B$11</f>
        <v>0.808</v>
      </c>
    </row>
    <row r="294" customFormat="false" ht="15" hidden="false" customHeight="false" outlineLevel="0" collapsed="false">
      <c r="A294" s="2" t="n">
        <v>290</v>
      </c>
      <c r="B294" s="13" t="n">
        <f aca="false">SMALL(Datos!$D$2:$D$1501,A294)</f>
        <v>155.278151234119</v>
      </c>
      <c r="C294" s="21" t="n">
        <f aca="false">(Config!$B$11-A294+1)/Config!$B$11</f>
        <v>0.807333333333333</v>
      </c>
    </row>
    <row r="295" customFormat="false" ht="15" hidden="false" customHeight="false" outlineLevel="0" collapsed="false">
      <c r="A295" s="2" t="n">
        <v>291</v>
      </c>
      <c r="B295" s="13" t="n">
        <f aca="false">SMALL(Datos!$D$2:$D$1501,A295)</f>
        <v>155.285287342542</v>
      </c>
      <c r="C295" s="21" t="n">
        <f aca="false">(Config!$B$11-A295+1)/Config!$B$11</f>
        <v>0.806666666666667</v>
      </c>
    </row>
    <row r="296" customFormat="false" ht="15" hidden="false" customHeight="false" outlineLevel="0" collapsed="false">
      <c r="A296" s="2" t="n">
        <v>292</v>
      </c>
      <c r="B296" s="13" t="n">
        <f aca="false">SMALL(Datos!$D$2:$D$1501,A296)</f>
        <v>155.288855396753</v>
      </c>
      <c r="C296" s="21" t="n">
        <f aca="false">(Config!$B$11-A296+1)/Config!$B$11</f>
        <v>0.806</v>
      </c>
    </row>
    <row r="297" customFormat="false" ht="15" hidden="false" customHeight="false" outlineLevel="0" collapsed="false">
      <c r="A297" s="2" t="n">
        <v>293</v>
      </c>
      <c r="B297" s="13" t="n">
        <f aca="false">SMALL(Datos!$D$2:$D$1501,A297)</f>
        <v>155.288855396753</v>
      </c>
      <c r="C297" s="21" t="n">
        <f aca="false">(Config!$B$11-A297+1)/Config!$B$11</f>
        <v>0.805333333333333</v>
      </c>
    </row>
    <row r="298" customFormat="false" ht="15" hidden="false" customHeight="false" outlineLevel="0" collapsed="false">
      <c r="A298" s="2" t="n">
        <v>294</v>
      </c>
      <c r="B298" s="13" t="n">
        <f aca="false">SMALL(Datos!$D$2:$D$1501,A298)</f>
        <v>155.313831776235</v>
      </c>
      <c r="C298" s="21" t="n">
        <f aca="false">(Config!$B$11-A298+1)/Config!$B$11</f>
        <v>0.804666666666667</v>
      </c>
    </row>
    <row r="299" customFormat="false" ht="15" hidden="false" customHeight="false" outlineLevel="0" collapsed="false">
      <c r="A299" s="2" t="n">
        <v>295</v>
      </c>
      <c r="B299" s="13" t="n">
        <f aca="false">SMALL(Datos!$D$2:$D$1501,A299)</f>
        <v>155.317399830446</v>
      </c>
      <c r="C299" s="21" t="n">
        <f aca="false">(Config!$B$11-A299+1)/Config!$B$11</f>
        <v>0.804</v>
      </c>
    </row>
    <row r="300" customFormat="false" ht="15" hidden="false" customHeight="false" outlineLevel="0" collapsed="false">
      <c r="A300" s="2" t="n">
        <v>296</v>
      </c>
      <c r="B300" s="13" t="n">
        <f aca="false">SMALL(Datos!$D$2:$D$1501,A300)</f>
        <v>155.338808155716</v>
      </c>
      <c r="C300" s="21" t="n">
        <f aca="false">(Config!$B$11-A300+1)/Config!$B$11</f>
        <v>0.803333333333333</v>
      </c>
    </row>
    <row r="301" customFormat="false" ht="15" hidden="false" customHeight="false" outlineLevel="0" collapsed="false">
      <c r="A301" s="2" t="n">
        <v>297</v>
      </c>
      <c r="B301" s="13" t="n">
        <f aca="false">SMALL(Datos!$D$2:$D$1501,A301)</f>
        <v>155.338808155716</v>
      </c>
      <c r="C301" s="21" t="n">
        <f aca="false">(Config!$B$11-A301+1)/Config!$B$11</f>
        <v>0.802666666666667</v>
      </c>
    </row>
    <row r="302" customFormat="false" ht="15" hidden="false" customHeight="false" outlineLevel="0" collapsed="false">
      <c r="A302" s="2" t="n">
        <v>298</v>
      </c>
      <c r="B302" s="13" t="n">
        <f aca="false">SMALL(Datos!$D$2:$D$1501,A302)</f>
        <v>155.342376209927</v>
      </c>
      <c r="C302" s="21" t="n">
        <f aca="false">(Config!$B$11-A302+1)/Config!$B$11</f>
        <v>0.802</v>
      </c>
    </row>
    <row r="303" customFormat="false" ht="15" hidden="false" customHeight="false" outlineLevel="0" collapsed="false">
      <c r="A303" s="2" t="n">
        <v>299</v>
      </c>
      <c r="B303" s="13" t="n">
        <f aca="false">SMALL(Datos!$D$2:$D$1501,A303)</f>
        <v>155.363784535197</v>
      </c>
      <c r="C303" s="21" t="n">
        <f aca="false">(Config!$B$11-A303+1)/Config!$B$11</f>
        <v>0.801333333333333</v>
      </c>
    </row>
    <row r="304" customFormat="false" ht="15" hidden="false" customHeight="false" outlineLevel="0" collapsed="false">
      <c r="A304" s="2" t="n">
        <v>300</v>
      </c>
      <c r="B304" s="13" t="n">
        <f aca="false">SMALL(Datos!$D$2:$D$1501,A304)</f>
        <v>155.37092064362</v>
      </c>
      <c r="C304" s="21" t="n">
        <f aca="false">(Config!$B$11-A304+1)/Config!$B$11</f>
        <v>0.800666666666667</v>
      </c>
    </row>
    <row r="305" customFormat="false" ht="15" hidden="false" customHeight="false" outlineLevel="0" collapsed="false">
      <c r="A305" s="2" t="n">
        <v>301</v>
      </c>
      <c r="B305" s="13" t="n">
        <f aca="false">SMALL(Datos!$D$2:$D$1501,A305)</f>
        <v>155.374488697832</v>
      </c>
      <c r="C305" s="21" t="n">
        <f aca="false">(Config!$B$11-A305+1)/Config!$B$11</f>
        <v>0.8</v>
      </c>
    </row>
    <row r="306" customFormat="false" ht="15" hidden="false" customHeight="false" outlineLevel="0" collapsed="false">
      <c r="A306" s="2" t="n">
        <v>302</v>
      </c>
      <c r="B306" s="13" t="n">
        <f aca="false">SMALL(Datos!$D$2:$D$1501,A306)</f>
        <v>155.378056752043</v>
      </c>
      <c r="C306" s="21" t="n">
        <f aca="false">(Config!$B$11-A306+1)/Config!$B$11</f>
        <v>0.799333333333333</v>
      </c>
    </row>
    <row r="307" customFormat="false" ht="15" hidden="false" customHeight="false" outlineLevel="0" collapsed="false">
      <c r="A307" s="2" t="n">
        <v>303</v>
      </c>
      <c r="B307" s="13" t="n">
        <f aca="false">SMALL(Datos!$D$2:$D$1501,A307)</f>
        <v>155.403033131524</v>
      </c>
      <c r="C307" s="21" t="n">
        <f aca="false">(Config!$B$11-A307+1)/Config!$B$11</f>
        <v>0.798666666666667</v>
      </c>
    </row>
    <row r="308" customFormat="false" ht="15" hidden="false" customHeight="false" outlineLevel="0" collapsed="false">
      <c r="A308" s="2" t="n">
        <v>304</v>
      </c>
      <c r="B308" s="13" t="n">
        <f aca="false">SMALL(Datos!$D$2:$D$1501,A308)</f>
        <v>155.410169239947</v>
      </c>
      <c r="C308" s="21" t="n">
        <f aca="false">(Config!$B$11-A308+1)/Config!$B$11</f>
        <v>0.798</v>
      </c>
    </row>
    <row r="309" customFormat="false" ht="15" hidden="false" customHeight="false" outlineLevel="0" collapsed="false">
      <c r="A309" s="2" t="n">
        <v>305</v>
      </c>
      <c r="B309" s="13" t="n">
        <f aca="false">SMALL(Datos!$D$2:$D$1501,A309)</f>
        <v>155.449417836275</v>
      </c>
      <c r="C309" s="21" t="n">
        <f aca="false">(Config!$B$11-A309+1)/Config!$B$11</f>
        <v>0.797333333333333</v>
      </c>
    </row>
    <row r="310" customFormat="false" ht="15" hidden="false" customHeight="false" outlineLevel="0" collapsed="false">
      <c r="A310" s="2" t="n">
        <v>306</v>
      </c>
      <c r="B310" s="13" t="n">
        <f aca="false">SMALL(Datos!$D$2:$D$1501,A310)</f>
        <v>155.46012199891</v>
      </c>
      <c r="C310" s="21" t="n">
        <f aca="false">(Config!$B$11-A310+1)/Config!$B$11</f>
        <v>0.796666666666667</v>
      </c>
    </row>
    <row r="311" customFormat="false" ht="15" hidden="false" customHeight="false" outlineLevel="0" collapsed="false">
      <c r="A311" s="2" t="n">
        <v>307</v>
      </c>
      <c r="B311" s="13" t="n">
        <f aca="false">SMALL(Datos!$D$2:$D$1501,A311)</f>
        <v>155.467258107333</v>
      </c>
      <c r="C311" s="21" t="n">
        <f aca="false">(Config!$B$11-A311+1)/Config!$B$11</f>
        <v>0.796</v>
      </c>
    </row>
    <row r="312" customFormat="false" ht="15" hidden="false" customHeight="false" outlineLevel="0" collapsed="false">
      <c r="A312" s="2" t="n">
        <v>308</v>
      </c>
      <c r="B312" s="13" t="n">
        <f aca="false">SMALL(Datos!$D$2:$D$1501,A312)</f>
        <v>155.492234486814</v>
      </c>
      <c r="C312" s="21" t="n">
        <f aca="false">(Config!$B$11-A312+1)/Config!$B$11</f>
        <v>0.795333333333333</v>
      </c>
    </row>
    <row r="313" customFormat="false" ht="15" hidden="false" customHeight="false" outlineLevel="0" collapsed="false">
      <c r="A313" s="2" t="n">
        <v>309</v>
      </c>
      <c r="B313" s="13" t="n">
        <f aca="false">SMALL(Datos!$D$2:$D$1501,A313)</f>
        <v>155.517210866295</v>
      </c>
      <c r="C313" s="21" t="n">
        <f aca="false">(Config!$B$11-A313+1)/Config!$B$11</f>
        <v>0.794666666666667</v>
      </c>
    </row>
    <row r="314" customFormat="false" ht="15" hidden="false" customHeight="false" outlineLevel="0" collapsed="false">
      <c r="A314" s="2" t="n">
        <v>310</v>
      </c>
      <c r="B314" s="13" t="n">
        <f aca="false">SMALL(Datos!$D$2:$D$1501,A314)</f>
        <v>155.520778920507</v>
      </c>
      <c r="C314" s="21" t="n">
        <f aca="false">(Config!$B$11-A314+1)/Config!$B$11</f>
        <v>0.794</v>
      </c>
    </row>
    <row r="315" customFormat="false" ht="15" hidden="false" customHeight="false" outlineLevel="0" collapsed="false">
      <c r="A315" s="2" t="n">
        <v>311</v>
      </c>
      <c r="B315" s="13" t="n">
        <f aca="false">SMALL(Datos!$D$2:$D$1501,A315)</f>
        <v>155.52791502893</v>
      </c>
      <c r="C315" s="21" t="n">
        <f aca="false">(Config!$B$11-A315+1)/Config!$B$11</f>
        <v>0.793333333333333</v>
      </c>
    </row>
    <row r="316" customFormat="false" ht="15" hidden="false" customHeight="false" outlineLevel="0" collapsed="false">
      <c r="A316" s="2" t="n">
        <v>312</v>
      </c>
      <c r="B316" s="13" t="n">
        <f aca="false">SMALL(Datos!$D$2:$D$1501,A316)</f>
        <v>155.531483083141</v>
      </c>
      <c r="C316" s="21" t="n">
        <f aca="false">(Config!$B$11-A316+1)/Config!$B$11</f>
        <v>0.792666666666667</v>
      </c>
    </row>
    <row r="317" customFormat="false" ht="15" hidden="false" customHeight="false" outlineLevel="0" collapsed="false">
      <c r="A317" s="2" t="n">
        <v>313</v>
      </c>
      <c r="B317" s="13" t="n">
        <f aca="false">SMALL(Datos!$D$2:$D$1501,A317)</f>
        <v>155.549323354199</v>
      </c>
      <c r="C317" s="21" t="n">
        <f aca="false">(Config!$B$11-A317+1)/Config!$B$11</f>
        <v>0.792</v>
      </c>
    </row>
    <row r="318" customFormat="false" ht="15" hidden="false" customHeight="false" outlineLevel="0" collapsed="false">
      <c r="A318" s="2" t="n">
        <v>314</v>
      </c>
      <c r="B318" s="13" t="n">
        <f aca="false">SMALL(Datos!$D$2:$D$1501,A318)</f>
        <v>155.549323354199</v>
      </c>
      <c r="C318" s="21" t="n">
        <f aca="false">(Config!$B$11-A318+1)/Config!$B$11</f>
        <v>0.791333333333333</v>
      </c>
    </row>
    <row r="319" customFormat="false" ht="15" hidden="false" customHeight="false" outlineLevel="0" collapsed="false">
      <c r="A319" s="2" t="n">
        <v>315</v>
      </c>
      <c r="B319" s="13" t="n">
        <f aca="false">SMALL(Datos!$D$2:$D$1501,A319)</f>
        <v>155.570731679469</v>
      </c>
      <c r="C319" s="21" t="n">
        <f aca="false">(Config!$B$11-A319+1)/Config!$B$11</f>
        <v>0.790666666666667</v>
      </c>
    </row>
    <row r="320" customFormat="false" ht="15" hidden="false" customHeight="false" outlineLevel="0" collapsed="false">
      <c r="A320" s="2" t="n">
        <v>316</v>
      </c>
      <c r="B320" s="13" t="n">
        <f aca="false">SMALL(Datos!$D$2:$D$1501,A320)</f>
        <v>155.581435842104</v>
      </c>
      <c r="C320" s="21" t="n">
        <f aca="false">(Config!$B$11-A320+1)/Config!$B$11</f>
        <v>0.79</v>
      </c>
    </row>
    <row r="321" customFormat="false" ht="15" hidden="false" customHeight="false" outlineLevel="0" collapsed="false">
      <c r="A321" s="2" t="n">
        <v>317</v>
      </c>
      <c r="B321" s="13" t="n">
        <f aca="false">SMALL(Datos!$D$2:$D$1501,A321)</f>
        <v>155.592140004738</v>
      </c>
      <c r="C321" s="21" t="n">
        <f aca="false">(Config!$B$11-A321+1)/Config!$B$11</f>
        <v>0.789333333333333</v>
      </c>
    </row>
    <row r="322" customFormat="false" ht="15" hidden="false" customHeight="false" outlineLevel="0" collapsed="false">
      <c r="A322" s="2" t="n">
        <v>318</v>
      </c>
      <c r="B322" s="13" t="n">
        <f aca="false">SMALL(Datos!$D$2:$D$1501,A322)</f>
        <v>155.602844167373</v>
      </c>
      <c r="C322" s="21" t="n">
        <f aca="false">(Config!$B$11-A322+1)/Config!$B$11</f>
        <v>0.788666666666667</v>
      </c>
    </row>
    <row r="323" customFormat="false" ht="15" hidden="false" customHeight="false" outlineLevel="0" collapsed="false">
      <c r="A323" s="2" t="n">
        <v>319</v>
      </c>
      <c r="B323" s="13" t="n">
        <f aca="false">SMALL(Datos!$D$2:$D$1501,A323)</f>
        <v>155.602844167373</v>
      </c>
      <c r="C323" s="21" t="n">
        <f aca="false">(Config!$B$11-A323+1)/Config!$B$11</f>
        <v>0.788</v>
      </c>
    </row>
    <row r="324" customFormat="false" ht="15" hidden="false" customHeight="false" outlineLevel="0" collapsed="false">
      <c r="A324" s="2" t="n">
        <v>320</v>
      </c>
      <c r="B324" s="13" t="n">
        <f aca="false">SMALL(Datos!$D$2:$D$1501,A324)</f>
        <v>155.609980275796</v>
      </c>
      <c r="C324" s="21" t="n">
        <f aca="false">(Config!$B$11-A324+1)/Config!$B$11</f>
        <v>0.787333333333333</v>
      </c>
    </row>
    <row r="325" customFormat="false" ht="15" hidden="false" customHeight="false" outlineLevel="0" collapsed="false">
      <c r="A325" s="2" t="n">
        <v>321</v>
      </c>
      <c r="B325" s="13" t="n">
        <f aca="false">SMALL(Datos!$D$2:$D$1501,A325)</f>
        <v>155.624252492643</v>
      </c>
      <c r="C325" s="21" t="n">
        <f aca="false">(Config!$B$11-A325+1)/Config!$B$11</f>
        <v>0.786666666666667</v>
      </c>
    </row>
    <row r="326" customFormat="false" ht="15" hidden="false" customHeight="false" outlineLevel="0" collapsed="false">
      <c r="A326" s="2" t="n">
        <v>322</v>
      </c>
      <c r="B326" s="13" t="n">
        <f aca="false">SMALL(Datos!$D$2:$D$1501,A326)</f>
        <v>155.638524709489</v>
      </c>
      <c r="C326" s="21" t="n">
        <f aca="false">(Config!$B$11-A326+1)/Config!$B$11</f>
        <v>0.786</v>
      </c>
    </row>
    <row r="327" customFormat="false" ht="15" hidden="false" customHeight="false" outlineLevel="0" collapsed="false">
      <c r="A327" s="2" t="n">
        <v>323</v>
      </c>
      <c r="B327" s="13" t="n">
        <f aca="false">SMALL(Datos!$D$2:$D$1501,A327)</f>
        <v>155.688477468451</v>
      </c>
      <c r="C327" s="21" t="n">
        <f aca="false">(Config!$B$11-A327+1)/Config!$B$11</f>
        <v>0.785333333333333</v>
      </c>
    </row>
    <row r="328" customFormat="false" ht="15" hidden="false" customHeight="false" outlineLevel="0" collapsed="false">
      <c r="A328" s="2" t="n">
        <v>324</v>
      </c>
      <c r="B328" s="13" t="n">
        <f aca="false">SMALL(Datos!$D$2:$D$1501,A328)</f>
        <v>155.706317739509</v>
      </c>
      <c r="C328" s="21" t="n">
        <f aca="false">(Config!$B$11-A328+1)/Config!$B$11</f>
        <v>0.784666666666667</v>
      </c>
    </row>
    <row r="329" customFormat="false" ht="15" hidden="false" customHeight="false" outlineLevel="0" collapsed="false">
      <c r="A329" s="2" t="n">
        <v>325</v>
      </c>
      <c r="B329" s="13" t="n">
        <f aca="false">SMALL(Datos!$D$2:$D$1501,A329)</f>
        <v>155.706317739509</v>
      </c>
      <c r="C329" s="21" t="n">
        <f aca="false">(Config!$B$11-A329+1)/Config!$B$11</f>
        <v>0.784</v>
      </c>
    </row>
    <row r="330" customFormat="false" ht="15" hidden="false" customHeight="false" outlineLevel="0" collapsed="false">
      <c r="A330" s="2" t="n">
        <v>326</v>
      </c>
      <c r="B330" s="13" t="n">
        <f aca="false">SMALL(Datos!$D$2:$D$1501,A330)</f>
        <v>155.706317739509</v>
      </c>
      <c r="C330" s="21" t="n">
        <f aca="false">(Config!$B$11-A330+1)/Config!$B$11</f>
        <v>0.783333333333333</v>
      </c>
    </row>
    <row r="331" customFormat="false" ht="15" hidden="false" customHeight="false" outlineLevel="0" collapsed="false">
      <c r="A331" s="2" t="n">
        <v>327</v>
      </c>
      <c r="B331" s="13" t="n">
        <f aca="false">SMALL(Datos!$D$2:$D$1501,A331)</f>
        <v>155.713453847932</v>
      </c>
      <c r="C331" s="21" t="n">
        <f aca="false">(Config!$B$11-A331+1)/Config!$B$11</f>
        <v>0.782666666666667</v>
      </c>
    </row>
    <row r="332" customFormat="false" ht="15" hidden="false" customHeight="false" outlineLevel="0" collapsed="false">
      <c r="A332" s="2" t="n">
        <v>328</v>
      </c>
      <c r="B332" s="13" t="n">
        <f aca="false">SMALL(Datos!$D$2:$D$1501,A332)</f>
        <v>155.713453847932</v>
      </c>
      <c r="C332" s="21" t="n">
        <f aca="false">(Config!$B$11-A332+1)/Config!$B$11</f>
        <v>0.782</v>
      </c>
    </row>
    <row r="333" customFormat="false" ht="15" hidden="false" customHeight="false" outlineLevel="0" collapsed="false">
      <c r="A333" s="2" t="n">
        <v>329</v>
      </c>
      <c r="B333" s="13" t="n">
        <f aca="false">SMALL(Datos!$D$2:$D$1501,A333)</f>
        <v>155.717021902144</v>
      </c>
      <c r="C333" s="21" t="n">
        <f aca="false">(Config!$B$11-A333+1)/Config!$B$11</f>
        <v>0.781333333333333</v>
      </c>
    </row>
    <row r="334" customFormat="false" ht="15" hidden="false" customHeight="false" outlineLevel="0" collapsed="false">
      <c r="A334" s="2" t="n">
        <v>330</v>
      </c>
      <c r="B334" s="13" t="n">
        <f aca="false">SMALL(Datos!$D$2:$D$1501,A334)</f>
        <v>155.756270498471</v>
      </c>
      <c r="C334" s="21" t="n">
        <f aca="false">(Config!$B$11-A334+1)/Config!$B$11</f>
        <v>0.780666666666667</v>
      </c>
    </row>
    <row r="335" customFormat="false" ht="15" hidden="false" customHeight="false" outlineLevel="0" collapsed="false">
      <c r="A335" s="2" t="n">
        <v>331</v>
      </c>
      <c r="B335" s="13" t="n">
        <f aca="false">SMALL(Datos!$D$2:$D$1501,A335)</f>
        <v>155.766974661106</v>
      </c>
      <c r="C335" s="21" t="n">
        <f aca="false">(Config!$B$11-A335+1)/Config!$B$11</f>
        <v>0.78</v>
      </c>
    </row>
    <row r="336" customFormat="false" ht="15" hidden="false" customHeight="false" outlineLevel="0" collapsed="false">
      <c r="A336" s="2" t="n">
        <v>332</v>
      </c>
      <c r="B336" s="13" t="n">
        <f aca="false">SMALL(Datos!$D$2:$D$1501,A336)</f>
        <v>155.781246877953</v>
      </c>
      <c r="C336" s="21" t="n">
        <f aca="false">(Config!$B$11-A336+1)/Config!$B$11</f>
        <v>0.779333333333333</v>
      </c>
    </row>
    <row r="337" customFormat="false" ht="15" hidden="false" customHeight="false" outlineLevel="0" collapsed="false">
      <c r="A337" s="2" t="n">
        <v>333</v>
      </c>
      <c r="B337" s="13" t="n">
        <f aca="false">SMALL(Datos!$D$2:$D$1501,A337)</f>
        <v>155.781246877953</v>
      </c>
      <c r="C337" s="21" t="n">
        <f aca="false">(Config!$B$11-A337+1)/Config!$B$11</f>
        <v>0.778666666666667</v>
      </c>
    </row>
    <row r="338" customFormat="false" ht="15" hidden="false" customHeight="false" outlineLevel="0" collapsed="false">
      <c r="A338" s="2" t="n">
        <v>334</v>
      </c>
      <c r="B338" s="13" t="n">
        <f aca="false">SMALL(Datos!$D$2:$D$1501,A338)</f>
        <v>155.781246877953</v>
      </c>
      <c r="C338" s="21" t="n">
        <f aca="false">(Config!$B$11-A338+1)/Config!$B$11</f>
        <v>0.778</v>
      </c>
    </row>
    <row r="339" customFormat="false" ht="15" hidden="false" customHeight="false" outlineLevel="0" collapsed="false">
      <c r="A339" s="2" t="n">
        <v>335</v>
      </c>
      <c r="B339" s="13" t="n">
        <f aca="false">SMALL(Datos!$D$2:$D$1501,A339)</f>
        <v>155.784814932164</v>
      </c>
      <c r="C339" s="21" t="n">
        <f aca="false">(Config!$B$11-A339+1)/Config!$B$11</f>
        <v>0.777333333333333</v>
      </c>
    </row>
    <row r="340" customFormat="false" ht="15" hidden="false" customHeight="false" outlineLevel="0" collapsed="false">
      <c r="A340" s="2" t="n">
        <v>336</v>
      </c>
      <c r="B340" s="13" t="n">
        <f aca="false">SMALL(Datos!$D$2:$D$1501,A340)</f>
        <v>155.799087149011</v>
      </c>
      <c r="C340" s="21" t="n">
        <f aca="false">(Config!$B$11-A340+1)/Config!$B$11</f>
        <v>0.776666666666667</v>
      </c>
    </row>
    <row r="341" customFormat="false" ht="15" hidden="false" customHeight="false" outlineLevel="0" collapsed="false">
      <c r="A341" s="2" t="n">
        <v>337</v>
      </c>
      <c r="B341" s="13" t="n">
        <f aca="false">SMALL(Datos!$D$2:$D$1501,A341)</f>
        <v>155.802655203222</v>
      </c>
      <c r="C341" s="21" t="n">
        <f aca="false">(Config!$B$11-A341+1)/Config!$B$11</f>
        <v>0.776</v>
      </c>
    </row>
    <row r="342" customFormat="false" ht="15" hidden="false" customHeight="false" outlineLevel="0" collapsed="false">
      <c r="A342" s="2" t="n">
        <v>338</v>
      </c>
      <c r="B342" s="13" t="n">
        <f aca="false">SMALL(Datos!$D$2:$D$1501,A342)</f>
        <v>155.806223257434</v>
      </c>
      <c r="C342" s="21" t="n">
        <f aca="false">(Config!$B$11-A342+1)/Config!$B$11</f>
        <v>0.775333333333333</v>
      </c>
    </row>
    <row r="343" customFormat="false" ht="15" hidden="false" customHeight="false" outlineLevel="0" collapsed="false">
      <c r="A343" s="2" t="n">
        <v>339</v>
      </c>
      <c r="B343" s="13" t="n">
        <f aca="false">SMALL(Datos!$D$2:$D$1501,A343)</f>
        <v>155.806223257434</v>
      </c>
      <c r="C343" s="21" t="n">
        <f aca="false">(Config!$B$11-A343+1)/Config!$B$11</f>
        <v>0.774666666666667</v>
      </c>
    </row>
    <row r="344" customFormat="false" ht="15" hidden="false" customHeight="false" outlineLevel="0" collapsed="false">
      <c r="A344" s="2" t="n">
        <v>340</v>
      </c>
      <c r="B344" s="13" t="n">
        <f aca="false">SMALL(Datos!$D$2:$D$1501,A344)</f>
        <v>155.809791311645</v>
      </c>
      <c r="C344" s="21" t="n">
        <f aca="false">(Config!$B$11-A344+1)/Config!$B$11</f>
        <v>0.774</v>
      </c>
    </row>
    <row r="345" customFormat="false" ht="15" hidden="false" customHeight="false" outlineLevel="0" collapsed="false">
      <c r="A345" s="2" t="n">
        <v>341</v>
      </c>
      <c r="B345" s="13" t="n">
        <f aca="false">SMALL(Datos!$D$2:$D$1501,A345)</f>
        <v>155.809791311645</v>
      </c>
      <c r="C345" s="21" t="n">
        <f aca="false">(Config!$B$11-A345+1)/Config!$B$11</f>
        <v>0.773333333333333</v>
      </c>
    </row>
    <row r="346" customFormat="false" ht="15" hidden="false" customHeight="false" outlineLevel="0" collapsed="false">
      <c r="A346" s="2" t="n">
        <v>342</v>
      </c>
      <c r="B346" s="13" t="n">
        <f aca="false">SMALL(Datos!$D$2:$D$1501,A346)</f>
        <v>155.827631582703</v>
      </c>
      <c r="C346" s="21" t="n">
        <f aca="false">(Config!$B$11-A346+1)/Config!$B$11</f>
        <v>0.772666666666667</v>
      </c>
    </row>
    <row r="347" customFormat="false" ht="15" hidden="false" customHeight="false" outlineLevel="0" collapsed="false">
      <c r="A347" s="2" t="n">
        <v>343</v>
      </c>
      <c r="B347" s="13" t="n">
        <f aca="false">SMALL(Datos!$D$2:$D$1501,A347)</f>
        <v>155.849039907973</v>
      </c>
      <c r="C347" s="21" t="n">
        <f aca="false">(Config!$B$11-A347+1)/Config!$B$11</f>
        <v>0.772</v>
      </c>
    </row>
    <row r="348" customFormat="false" ht="15" hidden="false" customHeight="false" outlineLevel="0" collapsed="false">
      <c r="A348" s="2" t="n">
        <v>344</v>
      </c>
      <c r="B348" s="13" t="n">
        <f aca="false">SMALL(Datos!$D$2:$D$1501,A348)</f>
        <v>155.852607962184</v>
      </c>
      <c r="C348" s="21" t="n">
        <f aca="false">(Config!$B$11-A348+1)/Config!$B$11</f>
        <v>0.771333333333333</v>
      </c>
    </row>
    <row r="349" customFormat="false" ht="15" hidden="false" customHeight="false" outlineLevel="0" collapsed="false">
      <c r="A349" s="2" t="n">
        <v>345</v>
      </c>
      <c r="B349" s="13" t="n">
        <f aca="false">SMALL(Datos!$D$2:$D$1501,A349)</f>
        <v>155.863312124819</v>
      </c>
      <c r="C349" s="21" t="n">
        <f aca="false">(Config!$B$11-A349+1)/Config!$B$11</f>
        <v>0.770666666666667</v>
      </c>
    </row>
    <row r="350" customFormat="false" ht="15" hidden="false" customHeight="false" outlineLevel="0" collapsed="false">
      <c r="A350" s="2" t="n">
        <v>346</v>
      </c>
      <c r="B350" s="13" t="n">
        <f aca="false">SMALL(Datos!$D$2:$D$1501,A350)</f>
        <v>155.881152395877</v>
      </c>
      <c r="C350" s="21" t="n">
        <f aca="false">(Config!$B$11-A350+1)/Config!$B$11</f>
        <v>0.77</v>
      </c>
    </row>
    <row r="351" customFormat="false" ht="15" hidden="false" customHeight="false" outlineLevel="0" collapsed="false">
      <c r="A351" s="2" t="n">
        <v>347</v>
      </c>
      <c r="B351" s="13" t="n">
        <f aca="false">SMALL(Datos!$D$2:$D$1501,A351)</f>
        <v>155.898992666935</v>
      </c>
      <c r="C351" s="21" t="n">
        <f aca="false">(Config!$B$11-A351+1)/Config!$B$11</f>
        <v>0.769333333333333</v>
      </c>
    </row>
    <row r="352" customFormat="false" ht="15" hidden="false" customHeight="false" outlineLevel="0" collapsed="false">
      <c r="A352" s="2" t="n">
        <v>348</v>
      </c>
      <c r="B352" s="13" t="n">
        <f aca="false">SMALL(Datos!$D$2:$D$1501,A352)</f>
        <v>155.902560721147</v>
      </c>
      <c r="C352" s="21" t="n">
        <f aca="false">(Config!$B$11-A352+1)/Config!$B$11</f>
        <v>0.768666666666667</v>
      </c>
    </row>
    <row r="353" customFormat="false" ht="15" hidden="false" customHeight="false" outlineLevel="0" collapsed="false">
      <c r="A353" s="2" t="n">
        <v>349</v>
      </c>
      <c r="B353" s="13" t="n">
        <f aca="false">SMALL(Datos!$D$2:$D$1501,A353)</f>
        <v>155.906128775358</v>
      </c>
      <c r="C353" s="21" t="n">
        <f aca="false">(Config!$B$11-A353+1)/Config!$B$11</f>
        <v>0.768</v>
      </c>
    </row>
    <row r="354" customFormat="false" ht="15" hidden="false" customHeight="false" outlineLevel="0" collapsed="false">
      <c r="A354" s="2" t="n">
        <v>350</v>
      </c>
      <c r="B354" s="13" t="n">
        <f aca="false">SMALL(Datos!$D$2:$D$1501,A354)</f>
        <v>155.90969682957</v>
      </c>
      <c r="C354" s="21" t="n">
        <f aca="false">(Config!$B$11-A354+1)/Config!$B$11</f>
        <v>0.767333333333333</v>
      </c>
    </row>
    <row r="355" customFormat="false" ht="15" hidden="false" customHeight="false" outlineLevel="0" collapsed="false">
      <c r="A355" s="2" t="n">
        <v>351</v>
      </c>
      <c r="B355" s="13" t="n">
        <f aca="false">SMALL(Datos!$D$2:$D$1501,A355)</f>
        <v>155.913264883781</v>
      </c>
      <c r="C355" s="21" t="n">
        <f aca="false">(Config!$B$11-A355+1)/Config!$B$11</f>
        <v>0.766666666666667</v>
      </c>
    </row>
    <row r="356" customFormat="false" ht="15" hidden="false" customHeight="false" outlineLevel="0" collapsed="false">
      <c r="A356" s="2" t="n">
        <v>352</v>
      </c>
      <c r="B356" s="13" t="n">
        <f aca="false">SMALL(Datos!$D$2:$D$1501,A356)</f>
        <v>155.923969046416</v>
      </c>
      <c r="C356" s="21" t="n">
        <f aca="false">(Config!$B$11-A356+1)/Config!$B$11</f>
        <v>0.766</v>
      </c>
    </row>
    <row r="357" customFormat="false" ht="15" hidden="false" customHeight="false" outlineLevel="0" collapsed="false">
      <c r="A357" s="2" t="n">
        <v>353</v>
      </c>
      <c r="B357" s="13" t="n">
        <f aca="false">SMALL(Datos!$D$2:$D$1501,A357)</f>
        <v>155.927537100628</v>
      </c>
      <c r="C357" s="21" t="n">
        <f aca="false">(Config!$B$11-A357+1)/Config!$B$11</f>
        <v>0.765333333333333</v>
      </c>
    </row>
    <row r="358" customFormat="false" ht="15" hidden="false" customHeight="false" outlineLevel="0" collapsed="false">
      <c r="A358" s="2" t="n">
        <v>354</v>
      </c>
      <c r="B358" s="13" t="n">
        <f aca="false">SMALL(Datos!$D$2:$D$1501,A358)</f>
        <v>155.945377371686</v>
      </c>
      <c r="C358" s="21" t="n">
        <f aca="false">(Config!$B$11-A358+1)/Config!$B$11</f>
        <v>0.764666666666667</v>
      </c>
    </row>
    <row r="359" customFormat="false" ht="15" hidden="false" customHeight="false" outlineLevel="0" collapsed="false">
      <c r="A359" s="2" t="n">
        <v>355</v>
      </c>
      <c r="B359" s="13" t="n">
        <f aca="false">SMALL(Datos!$D$2:$D$1501,A359)</f>
        <v>155.959649588532</v>
      </c>
      <c r="C359" s="21" t="n">
        <f aca="false">(Config!$B$11-A359+1)/Config!$B$11</f>
        <v>0.764</v>
      </c>
    </row>
    <row r="360" customFormat="false" ht="15" hidden="false" customHeight="false" outlineLevel="0" collapsed="false">
      <c r="A360" s="2" t="n">
        <v>356</v>
      </c>
      <c r="B360" s="13" t="n">
        <f aca="false">SMALL(Datos!$D$2:$D$1501,A360)</f>
        <v>155.966785696955</v>
      </c>
      <c r="C360" s="21" t="n">
        <f aca="false">(Config!$B$11-A360+1)/Config!$B$11</f>
        <v>0.763333333333333</v>
      </c>
    </row>
    <row r="361" customFormat="false" ht="15" hidden="false" customHeight="false" outlineLevel="0" collapsed="false">
      <c r="A361" s="2" t="n">
        <v>357</v>
      </c>
      <c r="B361" s="13" t="n">
        <f aca="false">SMALL(Datos!$D$2:$D$1501,A361)</f>
        <v>155.991762076436</v>
      </c>
      <c r="C361" s="21" t="n">
        <f aca="false">(Config!$B$11-A361+1)/Config!$B$11</f>
        <v>0.762666666666667</v>
      </c>
    </row>
    <row r="362" customFormat="false" ht="15" hidden="false" customHeight="false" outlineLevel="0" collapsed="false">
      <c r="A362" s="2" t="n">
        <v>358</v>
      </c>
      <c r="B362" s="13" t="n">
        <f aca="false">SMALL(Datos!$D$2:$D$1501,A362)</f>
        <v>155.995330130648</v>
      </c>
      <c r="C362" s="21" t="n">
        <f aca="false">(Config!$B$11-A362+1)/Config!$B$11</f>
        <v>0.762</v>
      </c>
    </row>
    <row r="363" customFormat="false" ht="15" hidden="false" customHeight="false" outlineLevel="0" collapsed="false">
      <c r="A363" s="2" t="n">
        <v>359</v>
      </c>
      <c r="B363" s="13" t="n">
        <f aca="false">SMALL(Datos!$D$2:$D$1501,A363)</f>
        <v>155.995330130648</v>
      </c>
      <c r="C363" s="21" t="n">
        <f aca="false">(Config!$B$11-A363+1)/Config!$B$11</f>
        <v>0.761333333333333</v>
      </c>
    </row>
    <row r="364" customFormat="false" ht="15" hidden="false" customHeight="false" outlineLevel="0" collapsed="false">
      <c r="A364" s="2" t="n">
        <v>360</v>
      </c>
      <c r="B364" s="13" t="n">
        <f aca="false">SMALL(Datos!$D$2:$D$1501,A364)</f>
        <v>156.006034293283</v>
      </c>
      <c r="C364" s="21" t="n">
        <f aca="false">(Config!$B$11-A364+1)/Config!$B$11</f>
        <v>0.760666666666667</v>
      </c>
    </row>
    <row r="365" customFormat="false" ht="15" hidden="false" customHeight="false" outlineLevel="0" collapsed="false">
      <c r="A365" s="2" t="n">
        <v>361</v>
      </c>
      <c r="B365" s="13" t="n">
        <f aca="false">SMALL(Datos!$D$2:$D$1501,A365)</f>
        <v>156.009602347494</v>
      </c>
      <c r="C365" s="21" t="n">
        <f aca="false">(Config!$B$11-A365+1)/Config!$B$11</f>
        <v>0.76</v>
      </c>
    </row>
    <row r="366" customFormat="false" ht="15" hidden="false" customHeight="false" outlineLevel="0" collapsed="false">
      <c r="A366" s="2" t="n">
        <v>362</v>
      </c>
      <c r="B366" s="13" t="n">
        <f aca="false">SMALL(Datos!$D$2:$D$1501,A366)</f>
        <v>156.013170401706</v>
      </c>
      <c r="C366" s="21" t="n">
        <f aca="false">(Config!$B$11-A366+1)/Config!$B$11</f>
        <v>0.759333333333333</v>
      </c>
    </row>
    <row r="367" customFormat="false" ht="15" hidden="false" customHeight="false" outlineLevel="0" collapsed="false">
      <c r="A367" s="2" t="n">
        <v>363</v>
      </c>
      <c r="B367" s="13" t="n">
        <f aca="false">SMALL(Datos!$D$2:$D$1501,A367)</f>
        <v>156.016738455917</v>
      </c>
      <c r="C367" s="21" t="n">
        <f aca="false">(Config!$B$11-A367+1)/Config!$B$11</f>
        <v>0.758666666666667</v>
      </c>
    </row>
    <row r="368" customFormat="false" ht="15" hidden="false" customHeight="false" outlineLevel="0" collapsed="false">
      <c r="A368" s="2" t="n">
        <v>364</v>
      </c>
      <c r="B368" s="13" t="n">
        <f aca="false">SMALL(Datos!$D$2:$D$1501,A368)</f>
        <v>156.020306510129</v>
      </c>
      <c r="C368" s="21" t="n">
        <f aca="false">(Config!$B$11-A368+1)/Config!$B$11</f>
        <v>0.758</v>
      </c>
    </row>
    <row r="369" customFormat="false" ht="15" hidden="false" customHeight="false" outlineLevel="0" collapsed="false">
      <c r="A369" s="2" t="n">
        <v>365</v>
      </c>
      <c r="B369" s="13" t="n">
        <f aca="false">SMALL(Datos!$D$2:$D$1501,A369)</f>
        <v>156.020306510129</v>
      </c>
      <c r="C369" s="21" t="n">
        <f aca="false">(Config!$B$11-A369+1)/Config!$B$11</f>
        <v>0.757333333333333</v>
      </c>
    </row>
    <row r="370" customFormat="false" ht="15" hidden="false" customHeight="false" outlineLevel="0" collapsed="false">
      <c r="A370" s="2" t="n">
        <v>366</v>
      </c>
      <c r="B370" s="13" t="n">
        <f aca="false">SMALL(Datos!$D$2:$D$1501,A370)</f>
        <v>156.023874564341</v>
      </c>
      <c r="C370" s="21" t="n">
        <f aca="false">(Config!$B$11-A370+1)/Config!$B$11</f>
        <v>0.756666666666667</v>
      </c>
    </row>
    <row r="371" customFormat="false" ht="15" hidden="false" customHeight="false" outlineLevel="0" collapsed="false">
      <c r="A371" s="2" t="n">
        <v>367</v>
      </c>
      <c r="B371" s="13" t="n">
        <f aca="false">SMALL(Datos!$D$2:$D$1501,A371)</f>
        <v>156.027442618552</v>
      </c>
      <c r="C371" s="21" t="n">
        <f aca="false">(Config!$B$11-A371+1)/Config!$B$11</f>
        <v>0.756</v>
      </c>
    </row>
    <row r="372" customFormat="false" ht="15" hidden="false" customHeight="false" outlineLevel="0" collapsed="false">
      <c r="A372" s="2" t="n">
        <v>368</v>
      </c>
      <c r="B372" s="13" t="n">
        <f aca="false">SMALL(Datos!$D$2:$D$1501,A372)</f>
        <v>156.027442618552</v>
      </c>
      <c r="C372" s="21" t="n">
        <f aca="false">(Config!$B$11-A372+1)/Config!$B$11</f>
        <v>0.755333333333333</v>
      </c>
    </row>
    <row r="373" customFormat="false" ht="15" hidden="false" customHeight="false" outlineLevel="0" collapsed="false">
      <c r="A373" s="2" t="n">
        <v>369</v>
      </c>
      <c r="B373" s="13" t="n">
        <f aca="false">SMALL(Datos!$D$2:$D$1501,A373)</f>
        <v>156.038146781187</v>
      </c>
      <c r="C373" s="21" t="n">
        <f aca="false">(Config!$B$11-A373+1)/Config!$B$11</f>
        <v>0.754666666666667</v>
      </c>
    </row>
    <row r="374" customFormat="false" ht="15" hidden="false" customHeight="false" outlineLevel="0" collapsed="false">
      <c r="A374" s="2" t="n">
        <v>370</v>
      </c>
      <c r="B374" s="13" t="n">
        <f aca="false">SMALL(Datos!$D$2:$D$1501,A374)</f>
        <v>156.041714835399</v>
      </c>
      <c r="C374" s="21" t="n">
        <f aca="false">(Config!$B$11-A374+1)/Config!$B$11</f>
        <v>0.754</v>
      </c>
    </row>
    <row r="375" customFormat="false" ht="15" hidden="false" customHeight="false" outlineLevel="0" collapsed="false">
      <c r="A375" s="2" t="n">
        <v>371</v>
      </c>
      <c r="B375" s="13" t="n">
        <f aca="false">SMALL(Datos!$D$2:$D$1501,A375)</f>
        <v>156.052418998033</v>
      </c>
      <c r="C375" s="21" t="n">
        <f aca="false">(Config!$B$11-A375+1)/Config!$B$11</f>
        <v>0.753333333333333</v>
      </c>
    </row>
    <row r="376" customFormat="false" ht="15" hidden="false" customHeight="false" outlineLevel="0" collapsed="false">
      <c r="A376" s="2" t="n">
        <v>372</v>
      </c>
      <c r="B376" s="13" t="n">
        <f aca="false">SMALL(Datos!$D$2:$D$1501,A376)</f>
        <v>156.055987052245</v>
      </c>
      <c r="C376" s="21" t="n">
        <f aca="false">(Config!$B$11-A376+1)/Config!$B$11</f>
        <v>0.752666666666667</v>
      </c>
    </row>
    <row r="377" customFormat="false" ht="15" hidden="false" customHeight="false" outlineLevel="0" collapsed="false">
      <c r="A377" s="2" t="n">
        <v>373</v>
      </c>
      <c r="B377" s="13" t="n">
        <f aca="false">SMALL(Datos!$D$2:$D$1501,A377)</f>
        <v>156.063123160668</v>
      </c>
      <c r="C377" s="21" t="n">
        <f aca="false">(Config!$B$11-A377+1)/Config!$B$11</f>
        <v>0.752</v>
      </c>
    </row>
    <row r="378" customFormat="false" ht="15" hidden="false" customHeight="false" outlineLevel="0" collapsed="false">
      <c r="A378" s="2" t="n">
        <v>374</v>
      </c>
      <c r="B378" s="13" t="n">
        <f aca="false">SMALL(Datos!$D$2:$D$1501,A378)</f>
        <v>156.070259269091</v>
      </c>
      <c r="C378" s="21" t="n">
        <f aca="false">(Config!$B$11-A378+1)/Config!$B$11</f>
        <v>0.751333333333333</v>
      </c>
    </row>
    <row r="379" customFormat="false" ht="15" hidden="false" customHeight="false" outlineLevel="0" collapsed="false">
      <c r="A379" s="2" t="n">
        <v>375</v>
      </c>
      <c r="B379" s="13" t="n">
        <f aca="false">SMALL(Datos!$D$2:$D$1501,A379)</f>
        <v>156.095235648572</v>
      </c>
      <c r="C379" s="21" t="n">
        <f aca="false">(Config!$B$11-A379+1)/Config!$B$11</f>
        <v>0.750666666666667</v>
      </c>
    </row>
    <row r="380" customFormat="false" ht="15" hidden="false" customHeight="false" outlineLevel="0" collapsed="false">
      <c r="A380" s="2" t="n">
        <v>376</v>
      </c>
      <c r="B380" s="13" t="n">
        <f aca="false">SMALL(Datos!$D$2:$D$1501,A380)</f>
        <v>156.116643973842</v>
      </c>
      <c r="C380" s="21" t="n">
        <f aca="false">(Config!$B$11-A380+1)/Config!$B$11</f>
        <v>0.75</v>
      </c>
    </row>
    <row r="381" customFormat="false" ht="15" hidden="false" customHeight="false" outlineLevel="0" collapsed="false">
      <c r="A381" s="2" t="n">
        <v>377</v>
      </c>
      <c r="B381" s="13" t="n">
        <f aca="false">SMALL(Datos!$D$2:$D$1501,A381)</f>
        <v>156.116643973842</v>
      </c>
      <c r="C381" s="21" t="n">
        <f aca="false">(Config!$B$11-A381+1)/Config!$B$11</f>
        <v>0.749333333333333</v>
      </c>
    </row>
    <row r="382" customFormat="false" ht="15" hidden="false" customHeight="false" outlineLevel="0" collapsed="false">
      <c r="A382" s="2" t="n">
        <v>378</v>
      </c>
      <c r="B382" s="13" t="n">
        <f aca="false">SMALL(Datos!$D$2:$D$1501,A382)</f>
        <v>156.127348136477</v>
      </c>
      <c r="C382" s="21" t="n">
        <f aca="false">(Config!$B$11-A382+1)/Config!$B$11</f>
        <v>0.748666666666667</v>
      </c>
    </row>
    <row r="383" customFormat="false" ht="15" hidden="false" customHeight="false" outlineLevel="0" collapsed="false">
      <c r="A383" s="2" t="n">
        <v>379</v>
      </c>
      <c r="B383" s="13" t="n">
        <f aca="false">SMALL(Datos!$D$2:$D$1501,A383)</f>
        <v>156.1344842449</v>
      </c>
      <c r="C383" s="21" t="n">
        <f aca="false">(Config!$B$11-A383+1)/Config!$B$11</f>
        <v>0.748</v>
      </c>
    </row>
    <row r="384" customFormat="false" ht="15" hidden="false" customHeight="false" outlineLevel="0" collapsed="false">
      <c r="A384" s="2" t="n">
        <v>380</v>
      </c>
      <c r="B384" s="13" t="n">
        <f aca="false">SMALL(Datos!$D$2:$D$1501,A384)</f>
        <v>156.1344842449</v>
      </c>
      <c r="C384" s="21" t="n">
        <f aca="false">(Config!$B$11-A384+1)/Config!$B$11</f>
        <v>0.747333333333333</v>
      </c>
    </row>
    <row r="385" customFormat="false" ht="15" hidden="false" customHeight="false" outlineLevel="0" collapsed="false">
      <c r="A385" s="2" t="n">
        <v>381</v>
      </c>
      <c r="B385" s="13" t="n">
        <f aca="false">SMALL(Datos!$D$2:$D$1501,A385)</f>
        <v>156.148756461746</v>
      </c>
      <c r="C385" s="21" t="n">
        <f aca="false">(Config!$B$11-A385+1)/Config!$B$11</f>
        <v>0.746666666666667</v>
      </c>
    </row>
    <row r="386" customFormat="false" ht="15" hidden="false" customHeight="false" outlineLevel="0" collapsed="false">
      <c r="A386" s="2" t="n">
        <v>382</v>
      </c>
      <c r="B386" s="13" t="n">
        <f aca="false">SMALL(Datos!$D$2:$D$1501,A386)</f>
        <v>156.166596732804</v>
      </c>
      <c r="C386" s="21" t="n">
        <f aca="false">(Config!$B$11-A386+1)/Config!$B$11</f>
        <v>0.746</v>
      </c>
    </row>
    <row r="387" customFormat="false" ht="15" hidden="false" customHeight="false" outlineLevel="0" collapsed="false">
      <c r="A387" s="2" t="n">
        <v>383</v>
      </c>
      <c r="B387" s="13" t="n">
        <f aca="false">SMALL(Datos!$D$2:$D$1501,A387)</f>
        <v>156.180868949651</v>
      </c>
      <c r="C387" s="21" t="n">
        <f aca="false">(Config!$B$11-A387+1)/Config!$B$11</f>
        <v>0.745333333333333</v>
      </c>
    </row>
    <row r="388" customFormat="false" ht="15" hidden="false" customHeight="false" outlineLevel="0" collapsed="false">
      <c r="A388" s="2" t="n">
        <v>384</v>
      </c>
      <c r="B388" s="13" t="n">
        <f aca="false">SMALL(Datos!$D$2:$D$1501,A388)</f>
        <v>156.180868949651</v>
      </c>
      <c r="C388" s="21" t="n">
        <f aca="false">(Config!$B$11-A388+1)/Config!$B$11</f>
        <v>0.744666666666667</v>
      </c>
    </row>
    <row r="389" customFormat="false" ht="15" hidden="false" customHeight="false" outlineLevel="0" collapsed="false">
      <c r="A389" s="2" t="n">
        <v>385</v>
      </c>
      <c r="B389" s="13" t="n">
        <f aca="false">SMALL(Datos!$D$2:$D$1501,A389)</f>
        <v>156.180868949651</v>
      </c>
      <c r="C389" s="21" t="n">
        <f aca="false">(Config!$B$11-A389+1)/Config!$B$11</f>
        <v>0.744</v>
      </c>
    </row>
    <row r="390" customFormat="false" ht="15" hidden="false" customHeight="false" outlineLevel="0" collapsed="false">
      <c r="A390" s="2" t="n">
        <v>386</v>
      </c>
      <c r="B390" s="13" t="n">
        <f aca="false">SMALL(Datos!$D$2:$D$1501,A390)</f>
        <v>156.188005058074</v>
      </c>
      <c r="C390" s="21" t="n">
        <f aca="false">(Config!$B$11-A390+1)/Config!$B$11</f>
        <v>0.743333333333333</v>
      </c>
    </row>
    <row r="391" customFormat="false" ht="15" hidden="false" customHeight="false" outlineLevel="0" collapsed="false">
      <c r="A391" s="2" t="n">
        <v>387</v>
      </c>
      <c r="B391" s="13" t="n">
        <f aca="false">SMALL(Datos!$D$2:$D$1501,A391)</f>
        <v>156.191573112285</v>
      </c>
      <c r="C391" s="21" t="n">
        <f aca="false">(Config!$B$11-A391+1)/Config!$B$11</f>
        <v>0.742666666666667</v>
      </c>
    </row>
    <row r="392" customFormat="false" ht="15" hidden="false" customHeight="false" outlineLevel="0" collapsed="false">
      <c r="A392" s="2" t="n">
        <v>388</v>
      </c>
      <c r="B392" s="13" t="n">
        <f aca="false">SMALL(Datos!$D$2:$D$1501,A392)</f>
        <v>156.205845329132</v>
      </c>
      <c r="C392" s="21" t="n">
        <f aca="false">(Config!$B$11-A392+1)/Config!$B$11</f>
        <v>0.742</v>
      </c>
    </row>
    <row r="393" customFormat="false" ht="15" hidden="false" customHeight="false" outlineLevel="0" collapsed="false">
      <c r="A393" s="2" t="n">
        <v>389</v>
      </c>
      <c r="B393" s="13" t="n">
        <f aca="false">SMALL(Datos!$D$2:$D$1501,A393)</f>
        <v>156.205845329132</v>
      </c>
      <c r="C393" s="21" t="n">
        <f aca="false">(Config!$B$11-A393+1)/Config!$B$11</f>
        <v>0.741333333333333</v>
      </c>
    </row>
    <row r="394" customFormat="false" ht="15" hidden="false" customHeight="false" outlineLevel="0" collapsed="false">
      <c r="A394" s="2" t="n">
        <v>390</v>
      </c>
      <c r="B394" s="13" t="n">
        <f aca="false">SMALL(Datos!$D$2:$D$1501,A394)</f>
        <v>156.22368560019</v>
      </c>
      <c r="C394" s="21" t="n">
        <f aca="false">(Config!$B$11-A394+1)/Config!$B$11</f>
        <v>0.740666666666667</v>
      </c>
    </row>
    <row r="395" customFormat="false" ht="15" hidden="false" customHeight="false" outlineLevel="0" collapsed="false">
      <c r="A395" s="2" t="n">
        <v>391</v>
      </c>
      <c r="B395" s="13" t="n">
        <f aca="false">SMALL(Datos!$D$2:$D$1501,A395)</f>
        <v>156.227253654401</v>
      </c>
      <c r="C395" s="21" t="n">
        <f aca="false">(Config!$B$11-A395+1)/Config!$B$11</f>
        <v>0.74</v>
      </c>
    </row>
    <row r="396" customFormat="false" ht="15" hidden="false" customHeight="false" outlineLevel="0" collapsed="false">
      <c r="A396" s="2" t="n">
        <v>392</v>
      </c>
      <c r="B396" s="13" t="n">
        <f aca="false">SMALL(Datos!$D$2:$D$1501,A396)</f>
        <v>156.234389762824</v>
      </c>
      <c r="C396" s="21" t="n">
        <f aca="false">(Config!$B$11-A396+1)/Config!$B$11</f>
        <v>0.739333333333333</v>
      </c>
    </row>
    <row r="397" customFormat="false" ht="15" hidden="false" customHeight="false" outlineLevel="0" collapsed="false">
      <c r="A397" s="2" t="n">
        <v>393</v>
      </c>
      <c r="B397" s="13" t="n">
        <f aca="false">SMALL(Datos!$D$2:$D$1501,A397)</f>
        <v>156.245093925459</v>
      </c>
      <c r="C397" s="21" t="n">
        <f aca="false">(Config!$B$11-A397+1)/Config!$B$11</f>
        <v>0.738666666666667</v>
      </c>
    </row>
    <row r="398" customFormat="false" ht="15" hidden="false" customHeight="false" outlineLevel="0" collapsed="false">
      <c r="A398" s="2" t="n">
        <v>394</v>
      </c>
      <c r="B398" s="13" t="n">
        <f aca="false">SMALL(Datos!$D$2:$D$1501,A398)</f>
        <v>156.262934196517</v>
      </c>
      <c r="C398" s="21" t="n">
        <f aca="false">(Config!$B$11-A398+1)/Config!$B$11</f>
        <v>0.738</v>
      </c>
    </row>
    <row r="399" customFormat="false" ht="15" hidden="false" customHeight="false" outlineLevel="0" collapsed="false">
      <c r="A399" s="2" t="n">
        <v>395</v>
      </c>
      <c r="B399" s="13" t="n">
        <f aca="false">SMALL(Datos!$D$2:$D$1501,A399)</f>
        <v>156.266502250729</v>
      </c>
      <c r="C399" s="21" t="n">
        <f aca="false">(Config!$B$11-A399+1)/Config!$B$11</f>
        <v>0.737333333333333</v>
      </c>
    </row>
    <row r="400" customFormat="false" ht="15" hidden="false" customHeight="false" outlineLevel="0" collapsed="false">
      <c r="A400" s="2" t="n">
        <v>396</v>
      </c>
      <c r="B400" s="13" t="n">
        <f aca="false">SMALL(Datos!$D$2:$D$1501,A400)</f>
        <v>156.27007030494</v>
      </c>
      <c r="C400" s="21" t="n">
        <f aca="false">(Config!$B$11-A400+1)/Config!$B$11</f>
        <v>0.736666666666667</v>
      </c>
    </row>
    <row r="401" customFormat="false" ht="15" hidden="false" customHeight="false" outlineLevel="0" collapsed="false">
      <c r="A401" s="2" t="n">
        <v>397</v>
      </c>
      <c r="B401" s="13" t="n">
        <f aca="false">SMALL(Datos!$D$2:$D$1501,A401)</f>
        <v>156.27007030494</v>
      </c>
      <c r="C401" s="21" t="n">
        <f aca="false">(Config!$B$11-A401+1)/Config!$B$11</f>
        <v>0.736</v>
      </c>
    </row>
    <row r="402" customFormat="false" ht="15" hidden="false" customHeight="false" outlineLevel="0" collapsed="false">
      <c r="A402" s="2" t="n">
        <v>398</v>
      </c>
      <c r="B402" s="13" t="n">
        <f aca="false">SMALL(Datos!$D$2:$D$1501,A402)</f>
        <v>156.273638359152</v>
      </c>
      <c r="C402" s="21" t="n">
        <f aca="false">(Config!$B$11-A402+1)/Config!$B$11</f>
        <v>0.735333333333333</v>
      </c>
    </row>
    <row r="403" customFormat="false" ht="15" hidden="false" customHeight="false" outlineLevel="0" collapsed="false">
      <c r="A403" s="2" t="n">
        <v>399</v>
      </c>
      <c r="B403" s="13" t="n">
        <f aca="false">SMALL(Datos!$D$2:$D$1501,A403)</f>
        <v>156.33786333496</v>
      </c>
      <c r="C403" s="21" t="n">
        <f aca="false">(Config!$B$11-A403+1)/Config!$B$11</f>
        <v>0.734666666666667</v>
      </c>
    </row>
    <row r="404" customFormat="false" ht="15" hidden="false" customHeight="false" outlineLevel="0" collapsed="false">
      <c r="A404" s="2" t="n">
        <v>400</v>
      </c>
      <c r="B404" s="13" t="n">
        <f aca="false">SMALL(Datos!$D$2:$D$1501,A404)</f>
        <v>156.341431389172</v>
      </c>
      <c r="C404" s="21" t="n">
        <f aca="false">(Config!$B$11-A404+1)/Config!$B$11</f>
        <v>0.734</v>
      </c>
    </row>
    <row r="405" customFormat="false" ht="15" hidden="false" customHeight="false" outlineLevel="0" collapsed="false">
      <c r="A405" s="2" t="n">
        <v>401</v>
      </c>
      <c r="B405" s="13" t="n">
        <f aca="false">SMALL(Datos!$D$2:$D$1501,A405)</f>
        <v>156.344999443384</v>
      </c>
      <c r="C405" s="21" t="n">
        <f aca="false">(Config!$B$11-A405+1)/Config!$B$11</f>
        <v>0.733333333333333</v>
      </c>
    </row>
    <row r="406" customFormat="false" ht="15" hidden="false" customHeight="false" outlineLevel="0" collapsed="false">
      <c r="A406" s="2" t="n">
        <v>402</v>
      </c>
      <c r="B406" s="13" t="n">
        <f aca="false">SMALL(Datos!$D$2:$D$1501,A406)</f>
        <v>156.344999443384</v>
      </c>
      <c r="C406" s="21" t="n">
        <f aca="false">(Config!$B$11-A406+1)/Config!$B$11</f>
        <v>0.732666666666667</v>
      </c>
    </row>
    <row r="407" customFormat="false" ht="15" hidden="false" customHeight="false" outlineLevel="0" collapsed="false">
      <c r="A407" s="2" t="n">
        <v>403</v>
      </c>
      <c r="B407" s="13" t="n">
        <f aca="false">SMALL(Datos!$D$2:$D$1501,A407)</f>
        <v>156.344999443384</v>
      </c>
      <c r="C407" s="21" t="n">
        <f aca="false">(Config!$B$11-A407+1)/Config!$B$11</f>
        <v>0.732</v>
      </c>
    </row>
    <row r="408" customFormat="false" ht="15" hidden="false" customHeight="false" outlineLevel="0" collapsed="false">
      <c r="A408" s="2" t="n">
        <v>404</v>
      </c>
      <c r="B408" s="13" t="n">
        <f aca="false">SMALL(Datos!$D$2:$D$1501,A408)</f>
        <v>156.362839714442</v>
      </c>
      <c r="C408" s="21" t="n">
        <f aca="false">(Config!$B$11-A408+1)/Config!$B$11</f>
        <v>0.731333333333333</v>
      </c>
    </row>
    <row r="409" customFormat="false" ht="15" hidden="false" customHeight="false" outlineLevel="0" collapsed="false">
      <c r="A409" s="2" t="n">
        <v>405</v>
      </c>
      <c r="B409" s="13" t="n">
        <f aca="false">SMALL(Datos!$D$2:$D$1501,A409)</f>
        <v>156.387816093923</v>
      </c>
      <c r="C409" s="21" t="n">
        <f aca="false">(Config!$B$11-A409+1)/Config!$B$11</f>
        <v>0.730666666666667</v>
      </c>
    </row>
    <row r="410" customFormat="false" ht="15" hidden="false" customHeight="false" outlineLevel="0" collapsed="false">
      <c r="A410" s="2" t="n">
        <v>406</v>
      </c>
      <c r="B410" s="13" t="n">
        <f aca="false">SMALL(Datos!$D$2:$D$1501,A410)</f>
        <v>156.387816093923</v>
      </c>
      <c r="C410" s="21" t="n">
        <f aca="false">(Config!$B$11-A410+1)/Config!$B$11</f>
        <v>0.73</v>
      </c>
    </row>
    <row r="411" customFormat="false" ht="15" hidden="false" customHeight="false" outlineLevel="0" collapsed="false">
      <c r="A411" s="2" t="n">
        <v>407</v>
      </c>
      <c r="B411" s="13" t="n">
        <f aca="false">SMALL(Datos!$D$2:$D$1501,A411)</f>
        <v>156.391384148134</v>
      </c>
      <c r="C411" s="21" t="n">
        <f aca="false">(Config!$B$11-A411+1)/Config!$B$11</f>
        <v>0.729333333333333</v>
      </c>
    </row>
    <row r="412" customFormat="false" ht="15" hidden="false" customHeight="false" outlineLevel="0" collapsed="false">
      <c r="A412" s="2" t="n">
        <v>408</v>
      </c>
      <c r="B412" s="13" t="n">
        <f aca="false">SMALL(Datos!$D$2:$D$1501,A412)</f>
        <v>156.394952202346</v>
      </c>
      <c r="C412" s="21" t="n">
        <f aca="false">(Config!$B$11-A412+1)/Config!$B$11</f>
        <v>0.728666666666667</v>
      </c>
    </row>
    <row r="413" customFormat="false" ht="15" hidden="false" customHeight="false" outlineLevel="0" collapsed="false">
      <c r="A413" s="2" t="n">
        <v>409</v>
      </c>
      <c r="B413" s="13" t="n">
        <f aca="false">SMALL(Datos!$D$2:$D$1501,A413)</f>
        <v>156.394952202346</v>
      </c>
      <c r="C413" s="21" t="n">
        <f aca="false">(Config!$B$11-A413+1)/Config!$B$11</f>
        <v>0.728</v>
      </c>
    </row>
    <row r="414" customFormat="false" ht="15" hidden="false" customHeight="false" outlineLevel="0" collapsed="false">
      <c r="A414" s="2" t="n">
        <v>410</v>
      </c>
      <c r="B414" s="13" t="n">
        <f aca="false">SMALL(Datos!$D$2:$D$1501,A414)</f>
        <v>156.405656364981</v>
      </c>
      <c r="C414" s="21" t="n">
        <f aca="false">(Config!$B$11-A414+1)/Config!$B$11</f>
        <v>0.727333333333333</v>
      </c>
    </row>
    <row r="415" customFormat="false" ht="15" hidden="false" customHeight="false" outlineLevel="0" collapsed="false">
      <c r="A415" s="2" t="n">
        <v>411</v>
      </c>
      <c r="B415" s="13" t="n">
        <f aca="false">SMALL(Datos!$D$2:$D$1501,A415)</f>
        <v>156.409224419192</v>
      </c>
      <c r="C415" s="21" t="n">
        <f aca="false">(Config!$B$11-A415+1)/Config!$B$11</f>
        <v>0.726666666666667</v>
      </c>
    </row>
    <row r="416" customFormat="false" ht="15" hidden="false" customHeight="false" outlineLevel="0" collapsed="false">
      <c r="A416" s="2" t="n">
        <v>412</v>
      </c>
      <c r="B416" s="13" t="n">
        <f aca="false">SMALL(Datos!$D$2:$D$1501,A416)</f>
        <v>156.437768852885</v>
      </c>
      <c r="C416" s="21" t="n">
        <f aca="false">(Config!$B$11-A416+1)/Config!$B$11</f>
        <v>0.726</v>
      </c>
    </row>
    <row r="417" customFormat="false" ht="15" hidden="false" customHeight="false" outlineLevel="0" collapsed="false">
      <c r="A417" s="2" t="n">
        <v>413</v>
      </c>
      <c r="B417" s="13" t="n">
        <f aca="false">SMALL(Datos!$D$2:$D$1501,A417)</f>
        <v>156.459177178154</v>
      </c>
      <c r="C417" s="21" t="n">
        <f aca="false">(Config!$B$11-A417+1)/Config!$B$11</f>
        <v>0.725333333333333</v>
      </c>
    </row>
    <row r="418" customFormat="false" ht="15" hidden="false" customHeight="false" outlineLevel="0" collapsed="false">
      <c r="A418" s="2" t="n">
        <v>414</v>
      </c>
      <c r="B418" s="13" t="n">
        <f aca="false">SMALL(Datos!$D$2:$D$1501,A418)</f>
        <v>156.466313286578</v>
      </c>
      <c r="C418" s="21" t="n">
        <f aca="false">(Config!$B$11-A418+1)/Config!$B$11</f>
        <v>0.724666666666667</v>
      </c>
    </row>
    <row r="419" customFormat="false" ht="15" hidden="false" customHeight="false" outlineLevel="0" collapsed="false">
      <c r="A419" s="2" t="n">
        <v>415</v>
      </c>
      <c r="B419" s="13" t="n">
        <f aca="false">SMALL(Datos!$D$2:$D$1501,A419)</f>
        <v>156.512697991328</v>
      </c>
      <c r="C419" s="21" t="n">
        <f aca="false">(Config!$B$11-A419+1)/Config!$B$11</f>
        <v>0.724</v>
      </c>
    </row>
    <row r="420" customFormat="false" ht="15" hidden="false" customHeight="false" outlineLevel="0" collapsed="false">
      <c r="A420" s="2" t="n">
        <v>416</v>
      </c>
      <c r="B420" s="13" t="n">
        <f aca="false">SMALL(Datos!$D$2:$D$1501,A420)</f>
        <v>156.512697991328</v>
      </c>
      <c r="C420" s="21" t="n">
        <f aca="false">(Config!$B$11-A420+1)/Config!$B$11</f>
        <v>0.723333333333333</v>
      </c>
    </row>
    <row r="421" customFormat="false" ht="15" hidden="false" customHeight="false" outlineLevel="0" collapsed="false">
      <c r="A421" s="2" t="n">
        <v>417</v>
      </c>
      <c r="B421" s="13" t="n">
        <f aca="false">SMALL(Datos!$D$2:$D$1501,A421)</f>
        <v>156.534106316598</v>
      </c>
      <c r="C421" s="21" t="n">
        <f aca="false">(Config!$B$11-A421+1)/Config!$B$11</f>
        <v>0.722666666666667</v>
      </c>
    </row>
    <row r="422" customFormat="false" ht="15" hidden="false" customHeight="false" outlineLevel="0" collapsed="false">
      <c r="A422" s="2" t="n">
        <v>418</v>
      </c>
      <c r="B422" s="13" t="n">
        <f aca="false">SMALL(Datos!$D$2:$D$1501,A422)</f>
        <v>156.537674370809</v>
      </c>
      <c r="C422" s="21" t="n">
        <f aca="false">(Config!$B$11-A422+1)/Config!$B$11</f>
        <v>0.722</v>
      </c>
    </row>
    <row r="423" customFormat="false" ht="15" hidden="false" customHeight="false" outlineLevel="0" collapsed="false">
      <c r="A423" s="2" t="n">
        <v>419</v>
      </c>
      <c r="B423" s="13" t="n">
        <f aca="false">SMALL(Datos!$D$2:$D$1501,A423)</f>
        <v>156.548378533444</v>
      </c>
      <c r="C423" s="21" t="n">
        <f aca="false">(Config!$B$11-A423+1)/Config!$B$11</f>
        <v>0.721333333333333</v>
      </c>
    </row>
    <row r="424" customFormat="false" ht="15" hidden="false" customHeight="false" outlineLevel="0" collapsed="false">
      <c r="A424" s="2" t="n">
        <v>420</v>
      </c>
      <c r="B424" s="13" t="n">
        <f aca="false">SMALL(Datos!$D$2:$D$1501,A424)</f>
        <v>156.559082696079</v>
      </c>
      <c r="C424" s="21" t="n">
        <f aca="false">(Config!$B$11-A424+1)/Config!$B$11</f>
        <v>0.720666666666667</v>
      </c>
    </row>
    <row r="425" customFormat="false" ht="15" hidden="false" customHeight="false" outlineLevel="0" collapsed="false">
      <c r="A425" s="2" t="n">
        <v>421</v>
      </c>
      <c r="B425" s="13" t="n">
        <f aca="false">SMALL(Datos!$D$2:$D$1501,A425)</f>
        <v>156.559082696079</v>
      </c>
      <c r="C425" s="21" t="n">
        <f aca="false">(Config!$B$11-A425+1)/Config!$B$11</f>
        <v>0.72</v>
      </c>
    </row>
    <row r="426" customFormat="false" ht="15" hidden="false" customHeight="false" outlineLevel="0" collapsed="false">
      <c r="A426" s="2" t="n">
        <v>422</v>
      </c>
      <c r="B426" s="13" t="n">
        <f aca="false">SMALL(Datos!$D$2:$D$1501,A426)</f>
        <v>156.559082696079</v>
      </c>
      <c r="C426" s="21" t="n">
        <f aca="false">(Config!$B$11-A426+1)/Config!$B$11</f>
        <v>0.719333333333333</v>
      </c>
    </row>
    <row r="427" customFormat="false" ht="15" hidden="false" customHeight="false" outlineLevel="0" collapsed="false">
      <c r="A427" s="2" t="n">
        <v>423</v>
      </c>
      <c r="B427" s="13" t="n">
        <f aca="false">SMALL(Datos!$D$2:$D$1501,A427)</f>
        <v>156.566218804502</v>
      </c>
      <c r="C427" s="21" t="n">
        <f aca="false">(Config!$B$11-A427+1)/Config!$B$11</f>
        <v>0.718666666666667</v>
      </c>
    </row>
    <row r="428" customFormat="false" ht="15" hidden="false" customHeight="false" outlineLevel="0" collapsed="false">
      <c r="A428" s="2" t="n">
        <v>424</v>
      </c>
      <c r="B428" s="13" t="n">
        <f aca="false">SMALL(Datos!$D$2:$D$1501,A428)</f>
        <v>156.58405907556</v>
      </c>
      <c r="C428" s="21" t="n">
        <f aca="false">(Config!$B$11-A428+1)/Config!$B$11</f>
        <v>0.718</v>
      </c>
    </row>
    <row r="429" customFormat="false" ht="15" hidden="false" customHeight="false" outlineLevel="0" collapsed="false">
      <c r="A429" s="2" t="n">
        <v>425</v>
      </c>
      <c r="B429" s="13" t="n">
        <f aca="false">SMALL(Datos!$D$2:$D$1501,A429)</f>
        <v>156.58405907556</v>
      </c>
      <c r="C429" s="21" t="n">
        <f aca="false">(Config!$B$11-A429+1)/Config!$B$11</f>
        <v>0.717333333333333</v>
      </c>
    </row>
    <row r="430" customFormat="false" ht="15" hidden="false" customHeight="false" outlineLevel="0" collapsed="false">
      <c r="A430" s="2" t="n">
        <v>426</v>
      </c>
      <c r="B430" s="13" t="n">
        <f aca="false">SMALL(Datos!$D$2:$D$1501,A430)</f>
        <v>156.591195183983</v>
      </c>
      <c r="C430" s="21" t="n">
        <f aca="false">(Config!$B$11-A430+1)/Config!$B$11</f>
        <v>0.716666666666667</v>
      </c>
    </row>
    <row r="431" customFormat="false" ht="15" hidden="false" customHeight="false" outlineLevel="0" collapsed="false">
      <c r="A431" s="2" t="n">
        <v>427</v>
      </c>
      <c r="B431" s="13" t="n">
        <f aca="false">SMALL(Datos!$D$2:$D$1501,A431)</f>
        <v>156.594763238195</v>
      </c>
      <c r="C431" s="21" t="n">
        <f aca="false">(Config!$B$11-A431+1)/Config!$B$11</f>
        <v>0.716</v>
      </c>
    </row>
    <row r="432" customFormat="false" ht="15" hidden="false" customHeight="false" outlineLevel="0" collapsed="false">
      <c r="A432" s="2" t="n">
        <v>428</v>
      </c>
      <c r="B432" s="13" t="n">
        <f aca="false">SMALL(Datos!$D$2:$D$1501,A432)</f>
        <v>156.609035455041</v>
      </c>
      <c r="C432" s="21" t="n">
        <f aca="false">(Config!$B$11-A432+1)/Config!$B$11</f>
        <v>0.715333333333333</v>
      </c>
    </row>
    <row r="433" customFormat="false" ht="15" hidden="false" customHeight="false" outlineLevel="0" collapsed="false">
      <c r="A433" s="2" t="n">
        <v>429</v>
      </c>
      <c r="B433" s="13" t="n">
        <f aca="false">SMALL(Datos!$D$2:$D$1501,A433)</f>
        <v>156.658988214003</v>
      </c>
      <c r="C433" s="21" t="n">
        <f aca="false">(Config!$B$11-A433+1)/Config!$B$11</f>
        <v>0.714666666666667</v>
      </c>
    </row>
    <row r="434" customFormat="false" ht="15" hidden="false" customHeight="false" outlineLevel="0" collapsed="false">
      <c r="A434" s="2" t="n">
        <v>430</v>
      </c>
      <c r="B434" s="13" t="n">
        <f aca="false">SMALL(Datos!$D$2:$D$1501,A434)</f>
        <v>156.669692376638</v>
      </c>
      <c r="C434" s="21" t="n">
        <f aca="false">(Config!$B$11-A434+1)/Config!$B$11</f>
        <v>0.714</v>
      </c>
    </row>
    <row r="435" customFormat="false" ht="15" hidden="false" customHeight="false" outlineLevel="0" collapsed="false">
      <c r="A435" s="2" t="n">
        <v>431</v>
      </c>
      <c r="B435" s="13" t="n">
        <f aca="false">SMALL(Datos!$D$2:$D$1501,A435)</f>
        <v>156.67326043085</v>
      </c>
      <c r="C435" s="21" t="n">
        <f aca="false">(Config!$B$11-A435+1)/Config!$B$11</f>
        <v>0.713333333333333</v>
      </c>
    </row>
    <row r="436" customFormat="false" ht="15" hidden="false" customHeight="false" outlineLevel="0" collapsed="false">
      <c r="A436" s="2" t="n">
        <v>432</v>
      </c>
      <c r="B436" s="13" t="n">
        <f aca="false">SMALL(Datos!$D$2:$D$1501,A436)</f>
        <v>156.687532647696</v>
      </c>
      <c r="C436" s="21" t="n">
        <f aca="false">(Config!$B$11-A436+1)/Config!$B$11</f>
        <v>0.712666666666667</v>
      </c>
    </row>
    <row r="437" customFormat="false" ht="15" hidden="false" customHeight="false" outlineLevel="0" collapsed="false">
      <c r="A437" s="2" t="n">
        <v>433</v>
      </c>
      <c r="B437" s="13" t="n">
        <f aca="false">SMALL(Datos!$D$2:$D$1501,A437)</f>
        <v>156.694668756119</v>
      </c>
      <c r="C437" s="21" t="n">
        <f aca="false">(Config!$B$11-A437+1)/Config!$B$11</f>
        <v>0.712</v>
      </c>
    </row>
    <row r="438" customFormat="false" ht="15" hidden="false" customHeight="false" outlineLevel="0" collapsed="false">
      <c r="A438" s="2" t="n">
        <v>434</v>
      </c>
      <c r="B438" s="13" t="n">
        <f aca="false">SMALL(Datos!$D$2:$D$1501,A438)</f>
        <v>156.708940972966</v>
      </c>
      <c r="C438" s="21" t="n">
        <f aca="false">(Config!$B$11-A438+1)/Config!$B$11</f>
        <v>0.711333333333333</v>
      </c>
    </row>
    <row r="439" customFormat="false" ht="15" hidden="false" customHeight="false" outlineLevel="0" collapsed="false">
      <c r="A439" s="2" t="n">
        <v>435</v>
      </c>
      <c r="B439" s="13" t="n">
        <f aca="false">SMALL(Datos!$D$2:$D$1501,A439)</f>
        <v>156.7196451356</v>
      </c>
      <c r="C439" s="21" t="n">
        <f aca="false">(Config!$B$11-A439+1)/Config!$B$11</f>
        <v>0.710666666666667</v>
      </c>
    </row>
    <row r="440" customFormat="false" ht="15" hidden="false" customHeight="false" outlineLevel="0" collapsed="false">
      <c r="A440" s="2" t="n">
        <v>436</v>
      </c>
      <c r="B440" s="13" t="n">
        <f aca="false">SMALL(Datos!$D$2:$D$1501,A440)</f>
        <v>156.769597894563</v>
      </c>
      <c r="C440" s="21" t="n">
        <f aca="false">(Config!$B$11-A440+1)/Config!$B$11</f>
        <v>0.71</v>
      </c>
    </row>
    <row r="441" customFormat="false" ht="15" hidden="false" customHeight="false" outlineLevel="0" collapsed="false">
      <c r="A441" s="2" t="n">
        <v>437</v>
      </c>
      <c r="B441" s="13" t="n">
        <f aca="false">SMALL(Datos!$D$2:$D$1501,A441)</f>
        <v>156.776734002986</v>
      </c>
      <c r="C441" s="21" t="n">
        <f aca="false">(Config!$B$11-A441+1)/Config!$B$11</f>
        <v>0.709333333333333</v>
      </c>
    </row>
    <row r="442" customFormat="false" ht="15" hidden="false" customHeight="false" outlineLevel="0" collapsed="false">
      <c r="A442" s="2" t="n">
        <v>438</v>
      </c>
      <c r="B442" s="13" t="n">
        <f aca="false">SMALL(Datos!$D$2:$D$1501,A442)</f>
        <v>156.776734002986</v>
      </c>
      <c r="C442" s="21" t="n">
        <f aca="false">(Config!$B$11-A442+1)/Config!$B$11</f>
        <v>0.708666666666667</v>
      </c>
    </row>
    <row r="443" customFormat="false" ht="15" hidden="false" customHeight="false" outlineLevel="0" collapsed="false">
      <c r="A443" s="2" t="n">
        <v>439</v>
      </c>
      <c r="B443" s="13" t="n">
        <f aca="false">SMALL(Datos!$D$2:$D$1501,A443)</f>
        <v>156.791006219832</v>
      </c>
      <c r="C443" s="21" t="n">
        <f aca="false">(Config!$B$11-A443+1)/Config!$B$11</f>
        <v>0.708</v>
      </c>
    </row>
    <row r="444" customFormat="false" ht="15" hidden="false" customHeight="false" outlineLevel="0" collapsed="false">
      <c r="A444" s="2" t="n">
        <v>440</v>
      </c>
      <c r="B444" s="13" t="n">
        <f aca="false">SMALL(Datos!$D$2:$D$1501,A444)</f>
        <v>156.798142328255</v>
      </c>
      <c r="C444" s="21" t="n">
        <f aca="false">(Config!$B$11-A444+1)/Config!$B$11</f>
        <v>0.707333333333333</v>
      </c>
    </row>
    <row r="445" customFormat="false" ht="15" hidden="false" customHeight="false" outlineLevel="0" collapsed="false">
      <c r="A445" s="2" t="n">
        <v>441</v>
      </c>
      <c r="B445" s="13" t="n">
        <f aca="false">SMALL(Datos!$D$2:$D$1501,A445)</f>
        <v>156.823118707736</v>
      </c>
      <c r="C445" s="21" t="n">
        <f aca="false">(Config!$B$11-A445+1)/Config!$B$11</f>
        <v>0.706666666666667</v>
      </c>
    </row>
    <row r="446" customFormat="false" ht="15" hidden="false" customHeight="false" outlineLevel="0" collapsed="false">
      <c r="A446" s="2" t="n">
        <v>442</v>
      </c>
      <c r="B446" s="13" t="n">
        <f aca="false">SMALL(Datos!$D$2:$D$1501,A446)</f>
        <v>156.862367304064</v>
      </c>
      <c r="C446" s="21" t="n">
        <f aca="false">(Config!$B$11-A446+1)/Config!$B$11</f>
        <v>0.706</v>
      </c>
    </row>
    <row r="447" customFormat="false" ht="15" hidden="false" customHeight="false" outlineLevel="0" collapsed="false">
      <c r="A447" s="2" t="n">
        <v>443</v>
      </c>
      <c r="B447" s="13" t="n">
        <f aca="false">SMALL(Datos!$D$2:$D$1501,A447)</f>
        <v>156.87663952091</v>
      </c>
      <c r="C447" s="21" t="n">
        <f aca="false">(Config!$B$11-A447+1)/Config!$B$11</f>
        <v>0.705333333333333</v>
      </c>
    </row>
    <row r="448" customFormat="false" ht="15" hidden="false" customHeight="false" outlineLevel="0" collapsed="false">
      <c r="A448" s="2" t="n">
        <v>444</v>
      </c>
      <c r="B448" s="13" t="n">
        <f aca="false">SMALL(Datos!$D$2:$D$1501,A448)</f>
        <v>156.883775629333</v>
      </c>
      <c r="C448" s="21" t="n">
        <f aca="false">(Config!$B$11-A448+1)/Config!$B$11</f>
        <v>0.704666666666667</v>
      </c>
    </row>
    <row r="449" customFormat="false" ht="15" hidden="false" customHeight="false" outlineLevel="0" collapsed="false">
      <c r="A449" s="2" t="n">
        <v>445</v>
      </c>
      <c r="B449" s="13" t="n">
        <f aca="false">SMALL(Datos!$D$2:$D$1501,A449)</f>
        <v>156.890911737757</v>
      </c>
      <c r="C449" s="21" t="n">
        <f aca="false">(Config!$B$11-A449+1)/Config!$B$11</f>
        <v>0.704</v>
      </c>
    </row>
    <row r="450" customFormat="false" ht="15" hidden="false" customHeight="false" outlineLevel="0" collapsed="false">
      <c r="A450" s="2" t="n">
        <v>446</v>
      </c>
      <c r="B450" s="13" t="n">
        <f aca="false">SMALL(Datos!$D$2:$D$1501,A450)</f>
        <v>156.901615900391</v>
      </c>
      <c r="C450" s="21" t="n">
        <f aca="false">(Config!$B$11-A450+1)/Config!$B$11</f>
        <v>0.703333333333333</v>
      </c>
    </row>
    <row r="451" customFormat="false" ht="15" hidden="false" customHeight="false" outlineLevel="0" collapsed="false">
      <c r="A451" s="2" t="n">
        <v>447</v>
      </c>
      <c r="B451" s="13" t="n">
        <f aca="false">SMALL(Datos!$D$2:$D$1501,A451)</f>
        <v>156.908752008815</v>
      </c>
      <c r="C451" s="21" t="n">
        <f aca="false">(Config!$B$11-A451+1)/Config!$B$11</f>
        <v>0.702666666666667</v>
      </c>
    </row>
    <row r="452" customFormat="false" ht="15" hidden="false" customHeight="false" outlineLevel="0" collapsed="false">
      <c r="A452" s="2" t="n">
        <v>448</v>
      </c>
      <c r="B452" s="13" t="n">
        <f aca="false">SMALL(Datos!$D$2:$D$1501,A452)</f>
        <v>156.923024225661</v>
      </c>
      <c r="C452" s="21" t="n">
        <f aca="false">(Config!$B$11-A452+1)/Config!$B$11</f>
        <v>0.702</v>
      </c>
    </row>
    <row r="453" customFormat="false" ht="15" hidden="false" customHeight="false" outlineLevel="0" collapsed="false">
      <c r="A453" s="2" t="n">
        <v>449</v>
      </c>
      <c r="B453" s="13" t="n">
        <f aca="false">SMALL(Datos!$D$2:$D$1501,A453)</f>
        <v>156.933728388296</v>
      </c>
      <c r="C453" s="21" t="n">
        <f aca="false">(Config!$B$11-A453+1)/Config!$B$11</f>
        <v>0.701333333333333</v>
      </c>
    </row>
    <row r="454" customFormat="false" ht="15" hidden="false" customHeight="false" outlineLevel="0" collapsed="false">
      <c r="A454" s="2" t="n">
        <v>450</v>
      </c>
      <c r="B454" s="13" t="n">
        <f aca="false">SMALL(Datos!$D$2:$D$1501,A454)</f>
        <v>156.940864496719</v>
      </c>
      <c r="C454" s="21" t="n">
        <f aca="false">(Config!$B$11-A454+1)/Config!$B$11</f>
        <v>0.700666666666667</v>
      </c>
    </row>
    <row r="455" customFormat="false" ht="15" hidden="false" customHeight="false" outlineLevel="0" collapsed="false">
      <c r="A455" s="2" t="n">
        <v>451</v>
      </c>
      <c r="B455" s="13" t="n">
        <f aca="false">SMALL(Datos!$D$2:$D$1501,A455)</f>
        <v>156.940864496719</v>
      </c>
      <c r="C455" s="21" t="n">
        <f aca="false">(Config!$B$11-A455+1)/Config!$B$11</f>
        <v>0.7</v>
      </c>
    </row>
    <row r="456" customFormat="false" ht="15" hidden="false" customHeight="false" outlineLevel="0" collapsed="false">
      <c r="A456" s="2" t="n">
        <v>452</v>
      </c>
      <c r="B456" s="13" t="n">
        <f aca="false">SMALL(Datos!$D$2:$D$1501,A456)</f>
        <v>156.948000605142</v>
      </c>
      <c r="C456" s="21" t="n">
        <f aca="false">(Config!$B$11-A456+1)/Config!$B$11</f>
        <v>0.699333333333333</v>
      </c>
    </row>
    <row r="457" customFormat="false" ht="15" hidden="false" customHeight="false" outlineLevel="0" collapsed="false">
      <c r="A457" s="2" t="n">
        <v>453</v>
      </c>
      <c r="B457" s="13" t="n">
        <f aca="false">SMALL(Datos!$D$2:$D$1501,A457)</f>
        <v>156.955136713565</v>
      </c>
      <c r="C457" s="21" t="n">
        <f aca="false">(Config!$B$11-A457+1)/Config!$B$11</f>
        <v>0.698666666666667</v>
      </c>
    </row>
    <row r="458" customFormat="false" ht="15" hidden="false" customHeight="false" outlineLevel="0" collapsed="false">
      <c r="A458" s="2" t="n">
        <v>454</v>
      </c>
      <c r="B458" s="13" t="n">
        <f aca="false">SMALL(Datos!$D$2:$D$1501,A458)</f>
        <v>156.9658408762</v>
      </c>
      <c r="C458" s="21" t="n">
        <f aca="false">(Config!$B$11-A458+1)/Config!$B$11</f>
        <v>0.698</v>
      </c>
    </row>
    <row r="459" customFormat="false" ht="15" hidden="false" customHeight="false" outlineLevel="0" collapsed="false">
      <c r="A459" s="2" t="n">
        <v>455</v>
      </c>
      <c r="B459" s="13" t="n">
        <f aca="false">SMALL(Datos!$D$2:$D$1501,A459)</f>
        <v>156.997953364104</v>
      </c>
      <c r="C459" s="21" t="n">
        <f aca="false">(Config!$B$11-A459+1)/Config!$B$11</f>
        <v>0.697333333333333</v>
      </c>
    </row>
    <row r="460" customFormat="false" ht="15" hidden="false" customHeight="false" outlineLevel="0" collapsed="false">
      <c r="A460" s="2" t="n">
        <v>456</v>
      </c>
      <c r="B460" s="13" t="n">
        <f aca="false">SMALL(Datos!$D$2:$D$1501,A460)</f>
        <v>157.005089472527</v>
      </c>
      <c r="C460" s="21" t="n">
        <f aca="false">(Config!$B$11-A460+1)/Config!$B$11</f>
        <v>0.696666666666667</v>
      </c>
    </row>
    <row r="461" customFormat="false" ht="15" hidden="false" customHeight="false" outlineLevel="0" collapsed="false">
      <c r="A461" s="2" t="n">
        <v>457</v>
      </c>
      <c r="B461" s="13" t="n">
        <f aca="false">SMALL(Datos!$D$2:$D$1501,A461)</f>
        <v>157.015793635162</v>
      </c>
      <c r="C461" s="21" t="n">
        <f aca="false">(Config!$B$11-A461+1)/Config!$B$11</f>
        <v>0.696</v>
      </c>
    </row>
    <row r="462" customFormat="false" ht="15" hidden="false" customHeight="false" outlineLevel="0" collapsed="false">
      <c r="A462" s="2" t="n">
        <v>458</v>
      </c>
      <c r="B462" s="13" t="n">
        <f aca="false">SMALL(Datos!$D$2:$D$1501,A462)</f>
        <v>157.015793635162</v>
      </c>
      <c r="C462" s="21" t="n">
        <f aca="false">(Config!$B$11-A462+1)/Config!$B$11</f>
        <v>0.695333333333333</v>
      </c>
    </row>
    <row r="463" customFormat="false" ht="15" hidden="false" customHeight="false" outlineLevel="0" collapsed="false">
      <c r="A463" s="2" t="n">
        <v>459</v>
      </c>
      <c r="B463" s="13" t="n">
        <f aca="false">SMALL(Datos!$D$2:$D$1501,A463)</f>
        <v>157.015793635162</v>
      </c>
      <c r="C463" s="21" t="n">
        <f aca="false">(Config!$B$11-A463+1)/Config!$B$11</f>
        <v>0.694666666666667</v>
      </c>
    </row>
    <row r="464" customFormat="false" ht="15" hidden="false" customHeight="false" outlineLevel="0" collapsed="false">
      <c r="A464" s="2" t="n">
        <v>460</v>
      </c>
      <c r="B464" s="13" t="n">
        <f aca="false">SMALL(Datos!$D$2:$D$1501,A464)</f>
        <v>157.019361689374</v>
      </c>
      <c r="C464" s="21" t="n">
        <f aca="false">(Config!$B$11-A464+1)/Config!$B$11</f>
        <v>0.694</v>
      </c>
    </row>
    <row r="465" customFormat="false" ht="15" hidden="false" customHeight="false" outlineLevel="0" collapsed="false">
      <c r="A465" s="2" t="n">
        <v>461</v>
      </c>
      <c r="B465" s="13" t="n">
        <f aca="false">SMALL(Datos!$D$2:$D$1501,A465)</f>
        <v>157.026497797797</v>
      </c>
      <c r="C465" s="21" t="n">
        <f aca="false">(Config!$B$11-A465+1)/Config!$B$11</f>
        <v>0.693333333333333</v>
      </c>
    </row>
    <row r="466" customFormat="false" ht="15" hidden="false" customHeight="false" outlineLevel="0" collapsed="false">
      <c r="A466" s="2" t="n">
        <v>462</v>
      </c>
      <c r="B466" s="13" t="n">
        <f aca="false">SMALL(Datos!$D$2:$D$1501,A466)</f>
        <v>157.030065852009</v>
      </c>
      <c r="C466" s="21" t="n">
        <f aca="false">(Config!$B$11-A466+1)/Config!$B$11</f>
        <v>0.692666666666667</v>
      </c>
    </row>
    <row r="467" customFormat="false" ht="15" hidden="false" customHeight="false" outlineLevel="0" collapsed="false">
      <c r="A467" s="2" t="n">
        <v>463</v>
      </c>
      <c r="B467" s="13" t="n">
        <f aca="false">SMALL(Datos!$D$2:$D$1501,A467)</f>
        <v>157.030065852009</v>
      </c>
      <c r="C467" s="21" t="n">
        <f aca="false">(Config!$B$11-A467+1)/Config!$B$11</f>
        <v>0.692</v>
      </c>
    </row>
    <row r="468" customFormat="false" ht="15" hidden="false" customHeight="false" outlineLevel="0" collapsed="false">
      <c r="A468" s="2" t="n">
        <v>464</v>
      </c>
      <c r="B468" s="13" t="n">
        <f aca="false">SMALL(Datos!$D$2:$D$1501,A468)</f>
        <v>157.03363390622</v>
      </c>
      <c r="C468" s="21" t="n">
        <f aca="false">(Config!$B$11-A468+1)/Config!$B$11</f>
        <v>0.691333333333333</v>
      </c>
    </row>
    <row r="469" customFormat="false" ht="15" hidden="false" customHeight="false" outlineLevel="0" collapsed="false">
      <c r="A469" s="2" t="n">
        <v>465</v>
      </c>
      <c r="B469" s="13" t="n">
        <f aca="false">SMALL(Datos!$D$2:$D$1501,A469)</f>
        <v>157.03363390622</v>
      </c>
      <c r="C469" s="21" t="n">
        <f aca="false">(Config!$B$11-A469+1)/Config!$B$11</f>
        <v>0.690666666666667</v>
      </c>
    </row>
    <row r="470" customFormat="false" ht="15" hidden="false" customHeight="false" outlineLevel="0" collapsed="false">
      <c r="A470" s="2" t="n">
        <v>466</v>
      </c>
      <c r="B470" s="13" t="n">
        <f aca="false">SMALL(Datos!$D$2:$D$1501,A470)</f>
        <v>157.044338068855</v>
      </c>
      <c r="C470" s="21" t="n">
        <f aca="false">(Config!$B$11-A470+1)/Config!$B$11</f>
        <v>0.69</v>
      </c>
    </row>
    <row r="471" customFormat="false" ht="15" hidden="false" customHeight="false" outlineLevel="0" collapsed="false">
      <c r="A471" s="2" t="n">
        <v>467</v>
      </c>
      <c r="B471" s="13" t="n">
        <f aca="false">SMALL(Datos!$D$2:$D$1501,A471)</f>
        <v>157.058610285701</v>
      </c>
      <c r="C471" s="21" t="n">
        <f aca="false">(Config!$B$11-A471+1)/Config!$B$11</f>
        <v>0.689333333333333</v>
      </c>
    </row>
    <row r="472" customFormat="false" ht="15" hidden="false" customHeight="false" outlineLevel="0" collapsed="false">
      <c r="A472" s="2" t="n">
        <v>468</v>
      </c>
      <c r="B472" s="13" t="n">
        <f aca="false">SMALL(Datos!$D$2:$D$1501,A472)</f>
        <v>157.097858882029</v>
      </c>
      <c r="C472" s="21" t="n">
        <f aca="false">(Config!$B$11-A472+1)/Config!$B$11</f>
        <v>0.688666666666667</v>
      </c>
    </row>
    <row r="473" customFormat="false" ht="15" hidden="false" customHeight="false" outlineLevel="0" collapsed="false">
      <c r="A473" s="2" t="n">
        <v>469</v>
      </c>
      <c r="B473" s="13" t="n">
        <f aca="false">SMALL(Datos!$D$2:$D$1501,A473)</f>
        <v>157.104994990452</v>
      </c>
      <c r="C473" s="21" t="n">
        <f aca="false">(Config!$B$11-A473+1)/Config!$B$11</f>
        <v>0.688</v>
      </c>
    </row>
    <row r="474" customFormat="false" ht="15" hidden="false" customHeight="false" outlineLevel="0" collapsed="false">
      <c r="A474" s="2" t="n">
        <v>470</v>
      </c>
      <c r="B474" s="13" t="n">
        <f aca="false">SMALL(Datos!$D$2:$D$1501,A474)</f>
        <v>157.140675532568</v>
      </c>
      <c r="C474" s="21" t="n">
        <f aca="false">(Config!$B$11-A474+1)/Config!$B$11</f>
        <v>0.687333333333333</v>
      </c>
    </row>
    <row r="475" customFormat="false" ht="15" hidden="false" customHeight="false" outlineLevel="0" collapsed="false">
      <c r="A475" s="2" t="n">
        <v>471</v>
      </c>
      <c r="B475" s="13" t="n">
        <f aca="false">SMALL(Datos!$D$2:$D$1501,A475)</f>
        <v>157.144243586779</v>
      </c>
      <c r="C475" s="21" t="n">
        <f aca="false">(Config!$B$11-A475+1)/Config!$B$11</f>
        <v>0.686666666666667</v>
      </c>
    </row>
    <row r="476" customFormat="false" ht="15" hidden="false" customHeight="false" outlineLevel="0" collapsed="false">
      <c r="A476" s="2" t="n">
        <v>472</v>
      </c>
      <c r="B476" s="13" t="n">
        <f aca="false">SMALL(Datos!$D$2:$D$1501,A476)</f>
        <v>157.165651912049</v>
      </c>
      <c r="C476" s="21" t="n">
        <f aca="false">(Config!$B$11-A476+1)/Config!$B$11</f>
        <v>0.686</v>
      </c>
    </row>
    <row r="477" customFormat="false" ht="15" hidden="false" customHeight="false" outlineLevel="0" collapsed="false">
      <c r="A477" s="2" t="n">
        <v>473</v>
      </c>
      <c r="B477" s="13" t="n">
        <f aca="false">SMALL(Datos!$D$2:$D$1501,A477)</f>
        <v>157.179924128895</v>
      </c>
      <c r="C477" s="21" t="n">
        <f aca="false">(Config!$B$11-A477+1)/Config!$B$11</f>
        <v>0.685333333333333</v>
      </c>
    </row>
    <row r="478" customFormat="false" ht="15" hidden="false" customHeight="false" outlineLevel="0" collapsed="false">
      <c r="A478" s="2" t="n">
        <v>474</v>
      </c>
      <c r="B478" s="13" t="n">
        <f aca="false">SMALL(Datos!$D$2:$D$1501,A478)</f>
        <v>157.215604671011</v>
      </c>
      <c r="C478" s="21" t="n">
        <f aca="false">(Config!$B$11-A478+1)/Config!$B$11</f>
        <v>0.684666666666667</v>
      </c>
    </row>
    <row r="479" customFormat="false" ht="15" hidden="false" customHeight="false" outlineLevel="0" collapsed="false">
      <c r="A479" s="2" t="n">
        <v>475</v>
      </c>
      <c r="B479" s="13" t="n">
        <f aca="false">SMALL(Datos!$D$2:$D$1501,A479)</f>
        <v>157.219172725223</v>
      </c>
      <c r="C479" s="21" t="n">
        <f aca="false">(Config!$B$11-A479+1)/Config!$B$11</f>
        <v>0.684</v>
      </c>
    </row>
    <row r="480" customFormat="false" ht="15" hidden="false" customHeight="false" outlineLevel="0" collapsed="false">
      <c r="A480" s="2" t="n">
        <v>476</v>
      </c>
      <c r="B480" s="13" t="n">
        <f aca="false">SMALL(Datos!$D$2:$D$1501,A480)</f>
        <v>157.219172725223</v>
      </c>
      <c r="C480" s="21" t="n">
        <f aca="false">(Config!$B$11-A480+1)/Config!$B$11</f>
        <v>0.683333333333333</v>
      </c>
    </row>
    <row r="481" customFormat="false" ht="15" hidden="false" customHeight="false" outlineLevel="0" collapsed="false">
      <c r="A481" s="2" t="n">
        <v>477</v>
      </c>
      <c r="B481" s="13" t="n">
        <f aca="false">SMALL(Datos!$D$2:$D$1501,A481)</f>
        <v>157.247717158915</v>
      </c>
      <c r="C481" s="21" t="n">
        <f aca="false">(Config!$B$11-A481+1)/Config!$B$11</f>
        <v>0.682666666666667</v>
      </c>
    </row>
    <row r="482" customFormat="false" ht="15" hidden="false" customHeight="false" outlineLevel="0" collapsed="false">
      <c r="A482" s="2" t="n">
        <v>478</v>
      </c>
      <c r="B482" s="13" t="n">
        <f aca="false">SMALL(Datos!$D$2:$D$1501,A482)</f>
        <v>157.247717158915</v>
      </c>
      <c r="C482" s="21" t="n">
        <f aca="false">(Config!$B$11-A482+1)/Config!$B$11</f>
        <v>0.682</v>
      </c>
    </row>
    <row r="483" customFormat="false" ht="15" hidden="false" customHeight="false" outlineLevel="0" collapsed="false">
      <c r="A483" s="2" t="n">
        <v>479</v>
      </c>
      <c r="B483" s="13" t="n">
        <f aca="false">SMALL(Datos!$D$2:$D$1501,A483)</f>
        <v>157.247717158915</v>
      </c>
      <c r="C483" s="21" t="n">
        <f aca="false">(Config!$B$11-A483+1)/Config!$B$11</f>
        <v>0.681333333333333</v>
      </c>
    </row>
    <row r="484" customFormat="false" ht="15" hidden="false" customHeight="false" outlineLevel="0" collapsed="false">
      <c r="A484" s="2" t="n">
        <v>480</v>
      </c>
      <c r="B484" s="13" t="n">
        <f aca="false">SMALL(Datos!$D$2:$D$1501,A484)</f>
        <v>157.251285213127</v>
      </c>
      <c r="C484" s="21" t="n">
        <f aca="false">(Config!$B$11-A484+1)/Config!$B$11</f>
        <v>0.680666666666667</v>
      </c>
    </row>
    <row r="485" customFormat="false" ht="15" hidden="false" customHeight="false" outlineLevel="0" collapsed="false">
      <c r="A485" s="2" t="n">
        <v>481</v>
      </c>
      <c r="B485" s="13" t="n">
        <f aca="false">SMALL(Datos!$D$2:$D$1501,A485)</f>
        <v>157.265557429973</v>
      </c>
      <c r="C485" s="21" t="n">
        <f aca="false">(Config!$B$11-A485+1)/Config!$B$11</f>
        <v>0.68</v>
      </c>
    </row>
    <row r="486" customFormat="false" ht="15" hidden="false" customHeight="false" outlineLevel="0" collapsed="false">
      <c r="A486" s="2" t="n">
        <v>482</v>
      </c>
      <c r="B486" s="13" t="n">
        <f aca="false">SMALL(Datos!$D$2:$D$1501,A486)</f>
        <v>157.276261592608</v>
      </c>
      <c r="C486" s="21" t="n">
        <f aca="false">(Config!$B$11-A486+1)/Config!$B$11</f>
        <v>0.679333333333333</v>
      </c>
    </row>
    <row r="487" customFormat="false" ht="15" hidden="false" customHeight="false" outlineLevel="0" collapsed="false">
      <c r="A487" s="2" t="n">
        <v>483</v>
      </c>
      <c r="B487" s="13" t="n">
        <f aca="false">SMALL(Datos!$D$2:$D$1501,A487)</f>
        <v>157.283397701031</v>
      </c>
      <c r="C487" s="21" t="n">
        <f aca="false">(Config!$B$11-A487+1)/Config!$B$11</f>
        <v>0.678666666666667</v>
      </c>
    </row>
    <row r="488" customFormat="false" ht="15" hidden="false" customHeight="false" outlineLevel="0" collapsed="false">
      <c r="A488" s="2" t="n">
        <v>484</v>
      </c>
      <c r="B488" s="13" t="n">
        <f aca="false">SMALL(Datos!$D$2:$D$1501,A488)</f>
        <v>157.294101863666</v>
      </c>
      <c r="C488" s="21" t="n">
        <f aca="false">(Config!$B$11-A488+1)/Config!$B$11</f>
        <v>0.678</v>
      </c>
    </row>
    <row r="489" customFormat="false" ht="15" hidden="false" customHeight="false" outlineLevel="0" collapsed="false">
      <c r="A489" s="2" t="n">
        <v>485</v>
      </c>
      <c r="B489" s="13" t="n">
        <f aca="false">SMALL(Datos!$D$2:$D$1501,A489)</f>
        <v>157.329782405782</v>
      </c>
      <c r="C489" s="21" t="n">
        <f aca="false">(Config!$B$11-A489+1)/Config!$B$11</f>
        <v>0.677333333333333</v>
      </c>
    </row>
    <row r="490" customFormat="false" ht="15" hidden="false" customHeight="false" outlineLevel="0" collapsed="false">
      <c r="A490" s="2" t="n">
        <v>486</v>
      </c>
      <c r="B490" s="13" t="n">
        <f aca="false">SMALL(Datos!$D$2:$D$1501,A490)</f>
        <v>157.34762267684</v>
      </c>
      <c r="C490" s="21" t="n">
        <f aca="false">(Config!$B$11-A490+1)/Config!$B$11</f>
        <v>0.676666666666667</v>
      </c>
    </row>
    <row r="491" customFormat="false" ht="15" hidden="false" customHeight="false" outlineLevel="0" collapsed="false">
      <c r="A491" s="2" t="n">
        <v>487</v>
      </c>
      <c r="B491" s="13" t="n">
        <f aca="false">SMALL(Datos!$D$2:$D$1501,A491)</f>
        <v>157.354758785263</v>
      </c>
      <c r="C491" s="21" t="n">
        <f aca="false">(Config!$B$11-A491+1)/Config!$B$11</f>
        <v>0.676</v>
      </c>
    </row>
    <row r="492" customFormat="false" ht="15" hidden="false" customHeight="false" outlineLevel="0" collapsed="false">
      <c r="A492" s="2" t="n">
        <v>488</v>
      </c>
      <c r="B492" s="13" t="n">
        <f aca="false">SMALL(Datos!$D$2:$D$1501,A492)</f>
        <v>157.376167110533</v>
      </c>
      <c r="C492" s="21" t="n">
        <f aca="false">(Config!$B$11-A492+1)/Config!$B$11</f>
        <v>0.675333333333333</v>
      </c>
    </row>
    <row r="493" customFormat="false" ht="15" hidden="false" customHeight="false" outlineLevel="0" collapsed="false">
      <c r="A493" s="2" t="n">
        <v>489</v>
      </c>
      <c r="B493" s="13" t="n">
        <f aca="false">SMALL(Datos!$D$2:$D$1501,A493)</f>
        <v>157.386871273167</v>
      </c>
      <c r="C493" s="21" t="n">
        <f aca="false">(Config!$B$11-A493+1)/Config!$B$11</f>
        <v>0.674666666666667</v>
      </c>
    </row>
    <row r="494" customFormat="false" ht="15" hidden="false" customHeight="false" outlineLevel="0" collapsed="false">
      <c r="A494" s="2" t="n">
        <v>490</v>
      </c>
      <c r="B494" s="13" t="n">
        <f aca="false">SMALL(Datos!$D$2:$D$1501,A494)</f>
        <v>157.408279598437</v>
      </c>
      <c r="C494" s="21" t="n">
        <f aca="false">(Config!$B$11-A494+1)/Config!$B$11</f>
        <v>0.674</v>
      </c>
    </row>
    <row r="495" customFormat="false" ht="15" hidden="false" customHeight="false" outlineLevel="0" collapsed="false">
      <c r="A495" s="2" t="n">
        <v>491</v>
      </c>
      <c r="B495" s="13" t="n">
        <f aca="false">SMALL(Datos!$D$2:$D$1501,A495)</f>
        <v>157.418983761072</v>
      </c>
      <c r="C495" s="21" t="n">
        <f aca="false">(Config!$B$11-A495+1)/Config!$B$11</f>
        <v>0.673333333333333</v>
      </c>
    </row>
    <row r="496" customFormat="false" ht="15" hidden="false" customHeight="false" outlineLevel="0" collapsed="false">
      <c r="A496" s="2" t="n">
        <v>492</v>
      </c>
      <c r="B496" s="13" t="n">
        <f aca="false">SMALL(Datos!$D$2:$D$1501,A496)</f>
        <v>157.433255977918</v>
      </c>
      <c r="C496" s="21" t="n">
        <f aca="false">(Config!$B$11-A496+1)/Config!$B$11</f>
        <v>0.672666666666667</v>
      </c>
    </row>
    <row r="497" customFormat="false" ht="15" hidden="false" customHeight="false" outlineLevel="0" collapsed="false">
      <c r="A497" s="2" t="n">
        <v>493</v>
      </c>
      <c r="B497" s="13" t="n">
        <f aca="false">SMALL(Datos!$D$2:$D$1501,A497)</f>
        <v>157.451096248976</v>
      </c>
      <c r="C497" s="21" t="n">
        <f aca="false">(Config!$B$11-A497+1)/Config!$B$11</f>
        <v>0.672</v>
      </c>
    </row>
    <row r="498" customFormat="false" ht="15" hidden="false" customHeight="false" outlineLevel="0" collapsed="false">
      <c r="A498" s="2" t="n">
        <v>494</v>
      </c>
      <c r="B498" s="13" t="n">
        <f aca="false">SMALL(Datos!$D$2:$D$1501,A498)</f>
        <v>157.454664303188</v>
      </c>
      <c r="C498" s="21" t="n">
        <f aca="false">(Config!$B$11-A498+1)/Config!$B$11</f>
        <v>0.671333333333333</v>
      </c>
    </row>
    <row r="499" customFormat="false" ht="15" hidden="false" customHeight="false" outlineLevel="0" collapsed="false">
      <c r="A499" s="2" t="n">
        <v>495</v>
      </c>
      <c r="B499" s="13" t="n">
        <f aca="false">SMALL(Datos!$D$2:$D$1501,A499)</f>
        <v>157.458232357399</v>
      </c>
      <c r="C499" s="21" t="n">
        <f aca="false">(Config!$B$11-A499+1)/Config!$B$11</f>
        <v>0.670666666666667</v>
      </c>
    </row>
    <row r="500" customFormat="false" ht="15" hidden="false" customHeight="false" outlineLevel="0" collapsed="false">
      <c r="A500" s="2" t="n">
        <v>496</v>
      </c>
      <c r="B500" s="13" t="n">
        <f aca="false">SMALL(Datos!$D$2:$D$1501,A500)</f>
        <v>157.48320873688</v>
      </c>
      <c r="C500" s="21" t="n">
        <f aca="false">(Config!$B$11-A500+1)/Config!$B$11</f>
        <v>0.67</v>
      </c>
    </row>
    <row r="501" customFormat="false" ht="15" hidden="false" customHeight="false" outlineLevel="0" collapsed="false">
      <c r="A501" s="2" t="n">
        <v>497</v>
      </c>
      <c r="B501" s="13" t="n">
        <f aca="false">SMALL(Datos!$D$2:$D$1501,A501)</f>
        <v>157.508185116361</v>
      </c>
      <c r="C501" s="21" t="n">
        <f aca="false">(Config!$B$11-A501+1)/Config!$B$11</f>
        <v>0.669333333333333</v>
      </c>
    </row>
    <row r="502" customFormat="false" ht="15" hidden="false" customHeight="false" outlineLevel="0" collapsed="false">
      <c r="A502" s="2" t="n">
        <v>498</v>
      </c>
      <c r="B502" s="13" t="n">
        <f aca="false">SMALL(Datos!$D$2:$D$1501,A502)</f>
        <v>157.529593441631</v>
      </c>
      <c r="C502" s="21" t="n">
        <f aca="false">(Config!$B$11-A502+1)/Config!$B$11</f>
        <v>0.668666666666667</v>
      </c>
    </row>
    <row r="503" customFormat="false" ht="15" hidden="false" customHeight="false" outlineLevel="0" collapsed="false">
      <c r="A503" s="2" t="n">
        <v>499</v>
      </c>
      <c r="B503" s="13" t="n">
        <f aca="false">SMALL(Datos!$D$2:$D$1501,A503)</f>
        <v>157.547433712689</v>
      </c>
      <c r="C503" s="21" t="n">
        <f aca="false">(Config!$B$11-A503+1)/Config!$B$11</f>
        <v>0.668</v>
      </c>
    </row>
    <row r="504" customFormat="false" ht="15" hidden="false" customHeight="false" outlineLevel="0" collapsed="false">
      <c r="A504" s="2" t="n">
        <v>500</v>
      </c>
      <c r="B504" s="13" t="n">
        <f aca="false">SMALL(Datos!$D$2:$D$1501,A504)</f>
        <v>157.561705929535</v>
      </c>
      <c r="C504" s="21" t="n">
        <f aca="false">(Config!$B$11-A504+1)/Config!$B$11</f>
        <v>0.667333333333333</v>
      </c>
    </row>
    <row r="505" customFormat="false" ht="15" hidden="false" customHeight="false" outlineLevel="0" collapsed="false">
      <c r="A505" s="2" t="n">
        <v>501</v>
      </c>
      <c r="B505" s="13" t="n">
        <f aca="false">SMALL(Datos!$D$2:$D$1501,A505)</f>
        <v>157.565273983747</v>
      </c>
      <c r="C505" s="21" t="n">
        <f aca="false">(Config!$B$11-A505+1)/Config!$B$11</f>
        <v>0.666666666666667</v>
      </c>
    </row>
    <row r="506" customFormat="false" ht="15" hidden="false" customHeight="false" outlineLevel="0" collapsed="false">
      <c r="A506" s="2" t="n">
        <v>502</v>
      </c>
      <c r="B506" s="13" t="n">
        <f aca="false">SMALL(Datos!$D$2:$D$1501,A506)</f>
        <v>157.568842037958</v>
      </c>
      <c r="C506" s="21" t="n">
        <f aca="false">(Config!$B$11-A506+1)/Config!$B$11</f>
        <v>0.666</v>
      </c>
    </row>
    <row r="507" customFormat="false" ht="15" hidden="false" customHeight="false" outlineLevel="0" collapsed="false">
      <c r="A507" s="2" t="n">
        <v>503</v>
      </c>
      <c r="B507" s="13" t="n">
        <f aca="false">SMALL(Datos!$D$2:$D$1501,A507)</f>
        <v>157.57241009217</v>
      </c>
      <c r="C507" s="21" t="n">
        <f aca="false">(Config!$B$11-A507+1)/Config!$B$11</f>
        <v>0.665333333333333</v>
      </c>
    </row>
    <row r="508" customFormat="false" ht="15" hidden="false" customHeight="false" outlineLevel="0" collapsed="false">
      <c r="A508" s="2" t="n">
        <v>504</v>
      </c>
      <c r="B508" s="13" t="n">
        <f aca="false">SMALL(Datos!$D$2:$D$1501,A508)</f>
        <v>157.575978146382</v>
      </c>
      <c r="C508" s="21" t="n">
        <f aca="false">(Config!$B$11-A508+1)/Config!$B$11</f>
        <v>0.664666666666667</v>
      </c>
    </row>
    <row r="509" customFormat="false" ht="15" hidden="false" customHeight="false" outlineLevel="0" collapsed="false">
      <c r="A509" s="2" t="n">
        <v>505</v>
      </c>
      <c r="B509" s="13" t="n">
        <f aca="false">SMALL(Datos!$D$2:$D$1501,A509)</f>
        <v>157.575978146382</v>
      </c>
      <c r="C509" s="21" t="n">
        <f aca="false">(Config!$B$11-A509+1)/Config!$B$11</f>
        <v>0.664</v>
      </c>
    </row>
    <row r="510" customFormat="false" ht="15" hidden="false" customHeight="false" outlineLevel="0" collapsed="false">
      <c r="A510" s="2" t="n">
        <v>506</v>
      </c>
      <c r="B510" s="13" t="n">
        <f aca="false">SMALL(Datos!$D$2:$D$1501,A510)</f>
        <v>157.583114254805</v>
      </c>
      <c r="C510" s="21" t="n">
        <f aca="false">(Config!$B$11-A510+1)/Config!$B$11</f>
        <v>0.663333333333333</v>
      </c>
    </row>
    <row r="511" customFormat="false" ht="15" hidden="false" customHeight="false" outlineLevel="0" collapsed="false">
      <c r="A511" s="2" t="n">
        <v>507</v>
      </c>
      <c r="B511" s="13" t="n">
        <f aca="false">SMALL(Datos!$D$2:$D$1501,A511)</f>
        <v>157.597386471651</v>
      </c>
      <c r="C511" s="21" t="n">
        <f aca="false">(Config!$B$11-A511+1)/Config!$B$11</f>
        <v>0.662666666666667</v>
      </c>
    </row>
    <row r="512" customFormat="false" ht="15" hidden="false" customHeight="false" outlineLevel="0" collapsed="false">
      <c r="A512" s="2" t="n">
        <v>508</v>
      </c>
      <c r="B512" s="13" t="n">
        <f aca="false">SMALL(Datos!$D$2:$D$1501,A512)</f>
        <v>157.608090634286</v>
      </c>
      <c r="C512" s="21" t="n">
        <f aca="false">(Config!$B$11-A512+1)/Config!$B$11</f>
        <v>0.662</v>
      </c>
    </row>
    <row r="513" customFormat="false" ht="15" hidden="false" customHeight="false" outlineLevel="0" collapsed="false">
      <c r="A513" s="2" t="n">
        <v>509</v>
      </c>
      <c r="B513" s="13" t="n">
        <f aca="false">SMALL(Datos!$D$2:$D$1501,A513)</f>
        <v>157.636635067979</v>
      </c>
      <c r="C513" s="21" t="n">
        <f aca="false">(Config!$B$11-A513+1)/Config!$B$11</f>
        <v>0.661333333333333</v>
      </c>
    </row>
    <row r="514" customFormat="false" ht="15" hidden="false" customHeight="false" outlineLevel="0" collapsed="false">
      <c r="A514" s="2" t="n">
        <v>510</v>
      </c>
      <c r="B514" s="13" t="n">
        <f aca="false">SMALL(Datos!$D$2:$D$1501,A514)</f>
        <v>157.665179501671</v>
      </c>
      <c r="C514" s="21" t="n">
        <f aca="false">(Config!$B$11-A514+1)/Config!$B$11</f>
        <v>0.660666666666667</v>
      </c>
    </row>
    <row r="515" customFormat="false" ht="15" hidden="false" customHeight="false" outlineLevel="0" collapsed="false">
      <c r="A515" s="2" t="n">
        <v>511</v>
      </c>
      <c r="B515" s="13" t="n">
        <f aca="false">SMALL(Datos!$D$2:$D$1501,A515)</f>
        <v>157.683019772729</v>
      </c>
      <c r="C515" s="21" t="n">
        <f aca="false">(Config!$B$11-A515+1)/Config!$B$11</f>
        <v>0.66</v>
      </c>
    </row>
    <row r="516" customFormat="false" ht="15" hidden="false" customHeight="false" outlineLevel="0" collapsed="false">
      <c r="A516" s="2" t="n">
        <v>512</v>
      </c>
      <c r="B516" s="13" t="n">
        <f aca="false">SMALL(Datos!$D$2:$D$1501,A516)</f>
        <v>157.700860043787</v>
      </c>
      <c r="C516" s="21" t="n">
        <f aca="false">(Config!$B$11-A516+1)/Config!$B$11</f>
        <v>0.659333333333333</v>
      </c>
    </row>
    <row r="517" customFormat="false" ht="15" hidden="false" customHeight="false" outlineLevel="0" collapsed="false">
      <c r="A517" s="2" t="n">
        <v>513</v>
      </c>
      <c r="B517" s="13" t="n">
        <f aca="false">SMALL(Datos!$D$2:$D$1501,A517)</f>
        <v>157.70799615221</v>
      </c>
      <c r="C517" s="21" t="n">
        <f aca="false">(Config!$B$11-A517+1)/Config!$B$11</f>
        <v>0.658666666666667</v>
      </c>
    </row>
    <row r="518" customFormat="false" ht="15" hidden="false" customHeight="false" outlineLevel="0" collapsed="false">
      <c r="A518" s="2" t="n">
        <v>514</v>
      </c>
      <c r="B518" s="13" t="n">
        <f aca="false">SMALL(Datos!$D$2:$D$1501,A518)</f>
        <v>157.750812802749</v>
      </c>
      <c r="C518" s="21" t="n">
        <f aca="false">(Config!$B$11-A518+1)/Config!$B$11</f>
        <v>0.658</v>
      </c>
    </row>
    <row r="519" customFormat="false" ht="15" hidden="false" customHeight="false" outlineLevel="0" collapsed="false">
      <c r="A519" s="2" t="n">
        <v>515</v>
      </c>
      <c r="B519" s="13" t="n">
        <f aca="false">SMALL(Datos!$D$2:$D$1501,A519)</f>
        <v>157.754380856961</v>
      </c>
      <c r="C519" s="21" t="n">
        <f aca="false">(Config!$B$11-A519+1)/Config!$B$11</f>
        <v>0.657333333333333</v>
      </c>
    </row>
    <row r="520" customFormat="false" ht="15" hidden="false" customHeight="false" outlineLevel="0" collapsed="false">
      <c r="A520" s="2" t="n">
        <v>516</v>
      </c>
      <c r="B520" s="13" t="n">
        <f aca="false">SMALL(Datos!$D$2:$D$1501,A520)</f>
        <v>157.757948911173</v>
      </c>
      <c r="C520" s="21" t="n">
        <f aca="false">(Config!$B$11-A520+1)/Config!$B$11</f>
        <v>0.656666666666667</v>
      </c>
    </row>
    <row r="521" customFormat="false" ht="15" hidden="false" customHeight="false" outlineLevel="0" collapsed="false">
      <c r="A521" s="2" t="n">
        <v>517</v>
      </c>
      <c r="B521" s="13" t="n">
        <f aca="false">SMALL(Datos!$D$2:$D$1501,A521)</f>
        <v>157.757948911173</v>
      </c>
      <c r="C521" s="21" t="n">
        <f aca="false">(Config!$B$11-A521+1)/Config!$B$11</f>
        <v>0.656</v>
      </c>
    </row>
    <row r="522" customFormat="false" ht="15" hidden="false" customHeight="false" outlineLevel="0" collapsed="false">
      <c r="A522" s="2" t="n">
        <v>518</v>
      </c>
      <c r="B522" s="13" t="n">
        <f aca="false">SMALL(Datos!$D$2:$D$1501,A522)</f>
        <v>157.757948911173</v>
      </c>
      <c r="C522" s="21" t="n">
        <f aca="false">(Config!$B$11-A522+1)/Config!$B$11</f>
        <v>0.655333333333333</v>
      </c>
    </row>
    <row r="523" customFormat="false" ht="15" hidden="false" customHeight="false" outlineLevel="0" collapsed="false">
      <c r="A523" s="2" t="n">
        <v>519</v>
      </c>
      <c r="B523" s="13" t="n">
        <f aca="false">SMALL(Datos!$D$2:$D$1501,A523)</f>
        <v>157.761516965384</v>
      </c>
      <c r="C523" s="21" t="n">
        <f aca="false">(Config!$B$11-A523+1)/Config!$B$11</f>
        <v>0.654666666666667</v>
      </c>
    </row>
    <row r="524" customFormat="false" ht="15" hidden="false" customHeight="false" outlineLevel="0" collapsed="false">
      <c r="A524" s="2" t="n">
        <v>520</v>
      </c>
      <c r="B524" s="13" t="n">
        <f aca="false">SMALL(Datos!$D$2:$D$1501,A524)</f>
        <v>157.786493344865</v>
      </c>
      <c r="C524" s="21" t="n">
        <f aca="false">(Config!$B$11-A524+1)/Config!$B$11</f>
        <v>0.654</v>
      </c>
    </row>
    <row r="525" customFormat="false" ht="15" hidden="false" customHeight="false" outlineLevel="0" collapsed="false">
      <c r="A525" s="2" t="n">
        <v>521</v>
      </c>
      <c r="B525" s="13" t="n">
        <f aca="false">SMALL(Datos!$D$2:$D$1501,A525)</f>
        <v>157.800765561712</v>
      </c>
      <c r="C525" s="21" t="n">
        <f aca="false">(Config!$B$11-A525+1)/Config!$B$11</f>
        <v>0.653333333333333</v>
      </c>
    </row>
    <row r="526" customFormat="false" ht="15" hidden="false" customHeight="false" outlineLevel="0" collapsed="false">
      <c r="A526" s="2" t="n">
        <v>522</v>
      </c>
      <c r="B526" s="13" t="n">
        <f aca="false">SMALL(Datos!$D$2:$D$1501,A526)</f>
        <v>157.800765561712</v>
      </c>
      <c r="C526" s="21" t="n">
        <f aca="false">(Config!$B$11-A526+1)/Config!$B$11</f>
        <v>0.652666666666667</v>
      </c>
    </row>
    <row r="527" customFormat="false" ht="15" hidden="false" customHeight="false" outlineLevel="0" collapsed="false">
      <c r="A527" s="2" t="n">
        <v>523</v>
      </c>
      <c r="B527" s="13" t="n">
        <f aca="false">SMALL(Datos!$D$2:$D$1501,A527)</f>
        <v>157.811469724346</v>
      </c>
      <c r="C527" s="21" t="n">
        <f aca="false">(Config!$B$11-A527+1)/Config!$B$11</f>
        <v>0.652</v>
      </c>
    </row>
    <row r="528" customFormat="false" ht="15" hidden="false" customHeight="false" outlineLevel="0" collapsed="false">
      <c r="A528" s="2" t="n">
        <v>524</v>
      </c>
      <c r="B528" s="13" t="n">
        <f aca="false">SMALL(Datos!$D$2:$D$1501,A528)</f>
        <v>157.822173886981</v>
      </c>
      <c r="C528" s="21" t="n">
        <f aca="false">(Config!$B$11-A528+1)/Config!$B$11</f>
        <v>0.651333333333333</v>
      </c>
    </row>
    <row r="529" customFormat="false" ht="15" hidden="false" customHeight="false" outlineLevel="0" collapsed="false">
      <c r="A529" s="2" t="n">
        <v>525</v>
      </c>
      <c r="B529" s="13" t="n">
        <f aca="false">SMALL(Datos!$D$2:$D$1501,A529)</f>
        <v>157.822173886981</v>
      </c>
      <c r="C529" s="21" t="n">
        <f aca="false">(Config!$B$11-A529+1)/Config!$B$11</f>
        <v>0.650666666666667</v>
      </c>
    </row>
    <row r="530" customFormat="false" ht="15" hidden="false" customHeight="false" outlineLevel="0" collapsed="false">
      <c r="A530" s="2" t="n">
        <v>526</v>
      </c>
      <c r="B530" s="13" t="n">
        <f aca="false">SMALL(Datos!$D$2:$D$1501,A530)</f>
        <v>157.836446103828</v>
      </c>
      <c r="C530" s="21" t="n">
        <f aca="false">(Config!$B$11-A530+1)/Config!$B$11</f>
        <v>0.65</v>
      </c>
    </row>
    <row r="531" customFormat="false" ht="15" hidden="false" customHeight="false" outlineLevel="0" collapsed="false">
      <c r="A531" s="2" t="n">
        <v>527</v>
      </c>
      <c r="B531" s="13" t="n">
        <f aca="false">SMALL(Datos!$D$2:$D$1501,A531)</f>
        <v>157.872126645943</v>
      </c>
      <c r="C531" s="21" t="n">
        <f aca="false">(Config!$B$11-A531+1)/Config!$B$11</f>
        <v>0.649333333333333</v>
      </c>
    </row>
    <row r="532" customFormat="false" ht="15" hidden="false" customHeight="false" outlineLevel="0" collapsed="false">
      <c r="A532" s="2" t="n">
        <v>528</v>
      </c>
      <c r="B532" s="13" t="n">
        <f aca="false">SMALL(Datos!$D$2:$D$1501,A532)</f>
        <v>157.897103025425</v>
      </c>
      <c r="C532" s="21" t="n">
        <f aca="false">(Config!$B$11-A532+1)/Config!$B$11</f>
        <v>0.648666666666667</v>
      </c>
    </row>
    <row r="533" customFormat="false" ht="15" hidden="false" customHeight="false" outlineLevel="0" collapsed="false">
      <c r="A533" s="2" t="n">
        <v>529</v>
      </c>
      <c r="B533" s="13" t="n">
        <f aca="false">SMALL(Datos!$D$2:$D$1501,A533)</f>
        <v>157.897103025425</v>
      </c>
      <c r="C533" s="21" t="n">
        <f aca="false">(Config!$B$11-A533+1)/Config!$B$11</f>
        <v>0.648</v>
      </c>
    </row>
    <row r="534" customFormat="false" ht="15" hidden="false" customHeight="false" outlineLevel="0" collapsed="false">
      <c r="A534" s="2" t="n">
        <v>530</v>
      </c>
      <c r="B534" s="13" t="n">
        <f aca="false">SMALL(Datos!$D$2:$D$1501,A534)</f>
        <v>157.914943296483</v>
      </c>
      <c r="C534" s="21" t="n">
        <f aca="false">(Config!$B$11-A534+1)/Config!$B$11</f>
        <v>0.647333333333333</v>
      </c>
    </row>
    <row r="535" customFormat="false" ht="15" hidden="false" customHeight="false" outlineLevel="0" collapsed="false">
      <c r="A535" s="2" t="n">
        <v>531</v>
      </c>
      <c r="B535" s="13" t="n">
        <f aca="false">SMALL(Datos!$D$2:$D$1501,A535)</f>
        <v>157.95419189281</v>
      </c>
      <c r="C535" s="21" t="n">
        <f aca="false">(Config!$B$11-A535+1)/Config!$B$11</f>
        <v>0.646666666666667</v>
      </c>
    </row>
    <row r="536" customFormat="false" ht="15" hidden="false" customHeight="false" outlineLevel="0" collapsed="false">
      <c r="A536" s="2" t="n">
        <v>532</v>
      </c>
      <c r="B536" s="13" t="n">
        <f aca="false">SMALL(Datos!$D$2:$D$1501,A536)</f>
        <v>157.97560021808</v>
      </c>
      <c r="C536" s="21" t="n">
        <f aca="false">(Config!$B$11-A536+1)/Config!$B$11</f>
        <v>0.646</v>
      </c>
    </row>
    <row r="537" customFormat="false" ht="15" hidden="false" customHeight="false" outlineLevel="0" collapsed="false">
      <c r="A537" s="2" t="n">
        <v>533</v>
      </c>
      <c r="B537" s="13" t="n">
        <f aca="false">SMALL(Datos!$D$2:$D$1501,A537)</f>
        <v>157.982736326503</v>
      </c>
      <c r="C537" s="21" t="n">
        <f aca="false">(Config!$B$11-A537+1)/Config!$B$11</f>
        <v>0.645333333333333</v>
      </c>
    </row>
    <row r="538" customFormat="false" ht="15" hidden="false" customHeight="false" outlineLevel="0" collapsed="false">
      <c r="A538" s="2" t="n">
        <v>534</v>
      </c>
      <c r="B538" s="13" t="n">
        <f aca="false">SMALL(Datos!$D$2:$D$1501,A538)</f>
        <v>157.986304380714</v>
      </c>
      <c r="C538" s="21" t="n">
        <f aca="false">(Config!$B$11-A538+1)/Config!$B$11</f>
        <v>0.644666666666667</v>
      </c>
    </row>
    <row r="539" customFormat="false" ht="15" hidden="false" customHeight="false" outlineLevel="0" collapsed="false">
      <c r="A539" s="2" t="n">
        <v>535</v>
      </c>
      <c r="B539" s="13" t="n">
        <f aca="false">SMALL(Datos!$D$2:$D$1501,A539)</f>
        <v>157.989872434926</v>
      </c>
      <c r="C539" s="21" t="n">
        <f aca="false">(Config!$B$11-A539+1)/Config!$B$11</f>
        <v>0.644</v>
      </c>
    </row>
    <row r="540" customFormat="false" ht="15" hidden="false" customHeight="false" outlineLevel="0" collapsed="false">
      <c r="A540" s="2" t="n">
        <v>536</v>
      </c>
      <c r="B540" s="13" t="n">
        <f aca="false">SMALL(Datos!$D$2:$D$1501,A540)</f>
        <v>158.011280760195</v>
      </c>
      <c r="C540" s="21" t="n">
        <f aca="false">(Config!$B$11-A540+1)/Config!$B$11</f>
        <v>0.643333333333333</v>
      </c>
    </row>
    <row r="541" customFormat="false" ht="15" hidden="false" customHeight="false" outlineLevel="0" collapsed="false">
      <c r="A541" s="2" t="n">
        <v>537</v>
      </c>
      <c r="B541" s="13" t="n">
        <f aca="false">SMALL(Datos!$D$2:$D$1501,A541)</f>
        <v>158.036257139677</v>
      </c>
      <c r="C541" s="21" t="n">
        <f aca="false">(Config!$B$11-A541+1)/Config!$B$11</f>
        <v>0.642666666666667</v>
      </c>
    </row>
    <row r="542" customFormat="false" ht="15" hidden="false" customHeight="false" outlineLevel="0" collapsed="false">
      <c r="A542" s="2" t="n">
        <v>538</v>
      </c>
      <c r="B542" s="13" t="n">
        <f aca="false">SMALL(Datos!$D$2:$D$1501,A542)</f>
        <v>158.0433932481</v>
      </c>
      <c r="C542" s="21" t="n">
        <f aca="false">(Config!$B$11-A542+1)/Config!$B$11</f>
        <v>0.642</v>
      </c>
    </row>
    <row r="543" customFormat="false" ht="15" hidden="false" customHeight="false" outlineLevel="0" collapsed="false">
      <c r="A543" s="2" t="n">
        <v>539</v>
      </c>
      <c r="B543" s="13" t="n">
        <f aca="false">SMALL(Datos!$D$2:$D$1501,A543)</f>
        <v>158.086209898639</v>
      </c>
      <c r="C543" s="21" t="n">
        <f aca="false">(Config!$B$11-A543+1)/Config!$B$11</f>
        <v>0.641333333333333</v>
      </c>
    </row>
    <row r="544" customFormat="false" ht="15" hidden="false" customHeight="false" outlineLevel="0" collapsed="false">
      <c r="A544" s="2" t="n">
        <v>540</v>
      </c>
      <c r="B544" s="13" t="n">
        <f aca="false">SMALL(Datos!$D$2:$D$1501,A544)</f>
        <v>158.08977795285</v>
      </c>
      <c r="C544" s="21" t="n">
        <f aca="false">(Config!$B$11-A544+1)/Config!$B$11</f>
        <v>0.640666666666667</v>
      </c>
    </row>
    <row r="545" customFormat="false" ht="15" hidden="false" customHeight="false" outlineLevel="0" collapsed="false">
      <c r="A545" s="2" t="n">
        <v>541</v>
      </c>
      <c r="B545" s="13" t="n">
        <f aca="false">SMALL(Datos!$D$2:$D$1501,A545)</f>
        <v>158.139730711813</v>
      </c>
      <c r="C545" s="21" t="n">
        <f aca="false">(Config!$B$11-A545+1)/Config!$B$11</f>
        <v>0.64</v>
      </c>
    </row>
    <row r="546" customFormat="false" ht="15" hidden="false" customHeight="false" outlineLevel="0" collapsed="false">
      <c r="A546" s="2" t="n">
        <v>542</v>
      </c>
      <c r="B546" s="13" t="n">
        <f aca="false">SMALL(Datos!$D$2:$D$1501,A546)</f>
        <v>158.150434874447</v>
      </c>
      <c r="C546" s="21" t="n">
        <f aca="false">(Config!$B$11-A546+1)/Config!$B$11</f>
        <v>0.639333333333333</v>
      </c>
    </row>
    <row r="547" customFormat="false" ht="15" hidden="false" customHeight="false" outlineLevel="0" collapsed="false">
      <c r="A547" s="2" t="n">
        <v>543</v>
      </c>
      <c r="B547" s="13" t="n">
        <f aca="false">SMALL(Datos!$D$2:$D$1501,A547)</f>
        <v>158.196819579198</v>
      </c>
      <c r="C547" s="21" t="n">
        <f aca="false">(Config!$B$11-A547+1)/Config!$B$11</f>
        <v>0.638666666666667</v>
      </c>
    </row>
    <row r="548" customFormat="false" ht="15" hidden="false" customHeight="false" outlineLevel="0" collapsed="false">
      <c r="A548" s="2" t="n">
        <v>544</v>
      </c>
      <c r="B548" s="13" t="n">
        <f aca="false">SMALL(Datos!$D$2:$D$1501,A548)</f>
        <v>158.203955687621</v>
      </c>
      <c r="C548" s="21" t="n">
        <f aca="false">(Config!$B$11-A548+1)/Config!$B$11</f>
        <v>0.638</v>
      </c>
    </row>
    <row r="549" customFormat="false" ht="15" hidden="false" customHeight="false" outlineLevel="0" collapsed="false">
      <c r="A549" s="2" t="n">
        <v>545</v>
      </c>
      <c r="B549" s="13" t="n">
        <f aca="false">SMALL(Datos!$D$2:$D$1501,A549)</f>
        <v>158.207523741833</v>
      </c>
      <c r="C549" s="21" t="n">
        <f aca="false">(Config!$B$11-A549+1)/Config!$B$11</f>
        <v>0.637333333333333</v>
      </c>
    </row>
    <row r="550" customFormat="false" ht="15" hidden="false" customHeight="false" outlineLevel="0" collapsed="false">
      <c r="A550" s="2" t="n">
        <v>546</v>
      </c>
      <c r="B550" s="13" t="n">
        <f aca="false">SMALL(Datos!$D$2:$D$1501,A550)</f>
        <v>158.214659850256</v>
      </c>
      <c r="C550" s="21" t="n">
        <f aca="false">(Config!$B$11-A550+1)/Config!$B$11</f>
        <v>0.636666666666667</v>
      </c>
    </row>
    <row r="551" customFormat="false" ht="15" hidden="false" customHeight="false" outlineLevel="0" collapsed="false">
      <c r="A551" s="2" t="n">
        <v>547</v>
      </c>
      <c r="B551" s="13" t="n">
        <f aca="false">SMALL(Datos!$D$2:$D$1501,A551)</f>
        <v>158.221795958679</v>
      </c>
      <c r="C551" s="21" t="n">
        <f aca="false">(Config!$B$11-A551+1)/Config!$B$11</f>
        <v>0.636</v>
      </c>
    </row>
    <row r="552" customFormat="false" ht="15" hidden="false" customHeight="false" outlineLevel="0" collapsed="false">
      <c r="A552" s="2" t="n">
        <v>548</v>
      </c>
      <c r="B552" s="13" t="n">
        <f aca="false">SMALL(Datos!$D$2:$D$1501,A552)</f>
        <v>158.232500121314</v>
      </c>
      <c r="C552" s="21" t="n">
        <f aca="false">(Config!$B$11-A552+1)/Config!$B$11</f>
        <v>0.635333333333333</v>
      </c>
    </row>
    <row r="553" customFormat="false" ht="15" hidden="false" customHeight="false" outlineLevel="0" collapsed="false">
      <c r="A553" s="2" t="n">
        <v>549</v>
      </c>
      <c r="B553" s="13" t="n">
        <f aca="false">SMALL(Datos!$D$2:$D$1501,A553)</f>
        <v>158.253908446583</v>
      </c>
      <c r="C553" s="21" t="n">
        <f aca="false">(Config!$B$11-A553+1)/Config!$B$11</f>
        <v>0.634666666666667</v>
      </c>
    </row>
    <row r="554" customFormat="false" ht="15" hidden="false" customHeight="false" outlineLevel="0" collapsed="false">
      <c r="A554" s="2" t="n">
        <v>550</v>
      </c>
      <c r="B554" s="13" t="n">
        <f aca="false">SMALL(Datos!$D$2:$D$1501,A554)</f>
        <v>158.261044555007</v>
      </c>
      <c r="C554" s="21" t="n">
        <f aca="false">(Config!$B$11-A554+1)/Config!$B$11</f>
        <v>0.634</v>
      </c>
    </row>
    <row r="555" customFormat="false" ht="15" hidden="false" customHeight="false" outlineLevel="0" collapsed="false">
      <c r="A555" s="2" t="n">
        <v>551</v>
      </c>
      <c r="B555" s="13" t="n">
        <f aca="false">SMALL(Datos!$D$2:$D$1501,A555)</f>
        <v>158.26818066343</v>
      </c>
      <c r="C555" s="21" t="n">
        <f aca="false">(Config!$B$11-A555+1)/Config!$B$11</f>
        <v>0.633333333333333</v>
      </c>
    </row>
    <row r="556" customFormat="false" ht="15" hidden="false" customHeight="false" outlineLevel="0" collapsed="false">
      <c r="A556" s="2" t="n">
        <v>552</v>
      </c>
      <c r="B556" s="13" t="n">
        <f aca="false">SMALL(Datos!$D$2:$D$1501,A556)</f>
        <v>158.26818066343</v>
      </c>
      <c r="C556" s="21" t="n">
        <f aca="false">(Config!$B$11-A556+1)/Config!$B$11</f>
        <v>0.632666666666667</v>
      </c>
    </row>
    <row r="557" customFormat="false" ht="15" hidden="false" customHeight="false" outlineLevel="0" collapsed="false">
      <c r="A557" s="2" t="n">
        <v>553</v>
      </c>
      <c r="B557" s="13" t="n">
        <f aca="false">SMALL(Datos!$D$2:$D$1501,A557)</f>
        <v>158.275316771853</v>
      </c>
      <c r="C557" s="21" t="n">
        <f aca="false">(Config!$B$11-A557+1)/Config!$B$11</f>
        <v>0.632</v>
      </c>
    </row>
    <row r="558" customFormat="false" ht="15" hidden="false" customHeight="false" outlineLevel="0" collapsed="false">
      <c r="A558" s="2" t="n">
        <v>554</v>
      </c>
      <c r="B558" s="13" t="n">
        <f aca="false">SMALL(Datos!$D$2:$D$1501,A558)</f>
        <v>158.275316771853</v>
      </c>
      <c r="C558" s="21" t="n">
        <f aca="false">(Config!$B$11-A558+1)/Config!$B$11</f>
        <v>0.631333333333333</v>
      </c>
    </row>
    <row r="559" customFormat="false" ht="15" hidden="false" customHeight="false" outlineLevel="0" collapsed="false">
      <c r="A559" s="2" t="n">
        <v>555</v>
      </c>
      <c r="B559" s="13" t="n">
        <f aca="false">SMALL(Datos!$D$2:$D$1501,A559)</f>
        <v>158.278884826065</v>
      </c>
      <c r="C559" s="21" t="n">
        <f aca="false">(Config!$B$11-A559+1)/Config!$B$11</f>
        <v>0.630666666666667</v>
      </c>
    </row>
    <row r="560" customFormat="false" ht="15" hidden="false" customHeight="false" outlineLevel="0" collapsed="false">
      <c r="A560" s="2" t="n">
        <v>556</v>
      </c>
      <c r="B560" s="13" t="n">
        <f aca="false">SMALL(Datos!$D$2:$D$1501,A560)</f>
        <v>158.286020934488</v>
      </c>
      <c r="C560" s="21" t="n">
        <f aca="false">(Config!$B$11-A560+1)/Config!$B$11</f>
        <v>0.63</v>
      </c>
    </row>
    <row r="561" customFormat="false" ht="15" hidden="false" customHeight="false" outlineLevel="0" collapsed="false">
      <c r="A561" s="2" t="n">
        <v>557</v>
      </c>
      <c r="B561" s="13" t="n">
        <f aca="false">SMALL(Datos!$D$2:$D$1501,A561)</f>
        <v>158.31456536818</v>
      </c>
      <c r="C561" s="21" t="n">
        <f aca="false">(Config!$B$11-A561+1)/Config!$B$11</f>
        <v>0.629333333333333</v>
      </c>
    </row>
    <row r="562" customFormat="false" ht="15" hidden="false" customHeight="false" outlineLevel="0" collapsed="false">
      <c r="A562" s="2" t="n">
        <v>558</v>
      </c>
      <c r="B562" s="13" t="n">
        <f aca="false">SMALL(Datos!$D$2:$D$1501,A562)</f>
        <v>158.318133422392</v>
      </c>
      <c r="C562" s="21" t="n">
        <f aca="false">(Config!$B$11-A562+1)/Config!$B$11</f>
        <v>0.628666666666667</v>
      </c>
    </row>
    <row r="563" customFormat="false" ht="15" hidden="false" customHeight="false" outlineLevel="0" collapsed="false">
      <c r="A563" s="2" t="n">
        <v>559</v>
      </c>
      <c r="B563" s="13" t="n">
        <f aca="false">SMALL(Datos!$D$2:$D$1501,A563)</f>
        <v>158.339541747662</v>
      </c>
      <c r="C563" s="21" t="n">
        <f aca="false">(Config!$B$11-A563+1)/Config!$B$11</f>
        <v>0.628</v>
      </c>
    </row>
    <row r="564" customFormat="false" ht="15" hidden="false" customHeight="false" outlineLevel="0" collapsed="false">
      <c r="A564" s="2" t="n">
        <v>560</v>
      </c>
      <c r="B564" s="13" t="n">
        <f aca="false">SMALL(Datos!$D$2:$D$1501,A564)</f>
        <v>158.368086181354</v>
      </c>
      <c r="C564" s="21" t="n">
        <f aca="false">(Config!$B$11-A564+1)/Config!$B$11</f>
        <v>0.627333333333333</v>
      </c>
    </row>
    <row r="565" customFormat="false" ht="15" hidden="false" customHeight="false" outlineLevel="0" collapsed="false">
      <c r="A565" s="2" t="n">
        <v>561</v>
      </c>
      <c r="B565" s="13" t="n">
        <f aca="false">SMALL(Datos!$D$2:$D$1501,A565)</f>
        <v>158.371654235566</v>
      </c>
      <c r="C565" s="21" t="n">
        <f aca="false">(Config!$B$11-A565+1)/Config!$B$11</f>
        <v>0.626666666666667</v>
      </c>
    </row>
    <row r="566" customFormat="false" ht="15" hidden="false" customHeight="false" outlineLevel="0" collapsed="false">
      <c r="A566" s="2" t="n">
        <v>562</v>
      </c>
      <c r="B566" s="13" t="n">
        <f aca="false">SMALL(Datos!$D$2:$D$1501,A566)</f>
        <v>158.389494506624</v>
      </c>
      <c r="C566" s="21" t="n">
        <f aca="false">(Config!$B$11-A566+1)/Config!$B$11</f>
        <v>0.626</v>
      </c>
    </row>
    <row r="567" customFormat="false" ht="15" hidden="false" customHeight="false" outlineLevel="0" collapsed="false">
      <c r="A567" s="2" t="n">
        <v>563</v>
      </c>
      <c r="B567" s="13" t="n">
        <f aca="false">SMALL(Datos!$D$2:$D$1501,A567)</f>
        <v>158.40376672347</v>
      </c>
      <c r="C567" s="21" t="n">
        <f aca="false">(Config!$B$11-A567+1)/Config!$B$11</f>
        <v>0.625333333333333</v>
      </c>
    </row>
    <row r="568" customFormat="false" ht="15" hidden="false" customHeight="false" outlineLevel="0" collapsed="false">
      <c r="A568" s="2" t="n">
        <v>564</v>
      </c>
      <c r="B568" s="13" t="n">
        <f aca="false">SMALL(Datos!$D$2:$D$1501,A568)</f>
        <v>158.418038940316</v>
      </c>
      <c r="C568" s="21" t="n">
        <f aca="false">(Config!$B$11-A568+1)/Config!$B$11</f>
        <v>0.624666666666667</v>
      </c>
    </row>
    <row r="569" customFormat="false" ht="15" hidden="false" customHeight="false" outlineLevel="0" collapsed="false">
      <c r="A569" s="2" t="n">
        <v>565</v>
      </c>
      <c r="B569" s="13" t="n">
        <f aca="false">SMALL(Datos!$D$2:$D$1501,A569)</f>
        <v>158.421606994528</v>
      </c>
      <c r="C569" s="21" t="n">
        <f aca="false">(Config!$B$11-A569+1)/Config!$B$11</f>
        <v>0.624</v>
      </c>
    </row>
    <row r="570" customFormat="false" ht="15" hidden="false" customHeight="false" outlineLevel="0" collapsed="false">
      <c r="A570" s="2" t="n">
        <v>566</v>
      </c>
      <c r="B570" s="13" t="n">
        <f aca="false">SMALL(Datos!$D$2:$D$1501,A570)</f>
        <v>158.432311157163</v>
      </c>
      <c r="C570" s="21" t="n">
        <f aca="false">(Config!$B$11-A570+1)/Config!$B$11</f>
        <v>0.623333333333333</v>
      </c>
    </row>
    <row r="571" customFormat="false" ht="15" hidden="false" customHeight="false" outlineLevel="0" collapsed="false">
      <c r="A571" s="2" t="n">
        <v>567</v>
      </c>
      <c r="B571" s="13" t="n">
        <f aca="false">SMALL(Datos!$D$2:$D$1501,A571)</f>
        <v>158.435879211374</v>
      </c>
      <c r="C571" s="21" t="n">
        <f aca="false">(Config!$B$11-A571+1)/Config!$B$11</f>
        <v>0.622666666666667</v>
      </c>
    </row>
    <row r="572" customFormat="false" ht="15" hidden="false" customHeight="false" outlineLevel="0" collapsed="false">
      <c r="A572" s="2" t="n">
        <v>568</v>
      </c>
      <c r="B572" s="13" t="n">
        <f aca="false">SMALL(Datos!$D$2:$D$1501,A572)</f>
        <v>158.446583374009</v>
      </c>
      <c r="C572" s="21" t="n">
        <f aca="false">(Config!$B$11-A572+1)/Config!$B$11</f>
        <v>0.622</v>
      </c>
    </row>
    <row r="573" customFormat="false" ht="15" hidden="false" customHeight="false" outlineLevel="0" collapsed="false">
      <c r="A573" s="2" t="n">
        <v>569</v>
      </c>
      <c r="B573" s="13" t="n">
        <f aca="false">SMALL(Datos!$D$2:$D$1501,A573)</f>
        <v>158.446583374009</v>
      </c>
      <c r="C573" s="21" t="n">
        <f aca="false">(Config!$B$11-A573+1)/Config!$B$11</f>
        <v>0.621333333333333</v>
      </c>
    </row>
    <row r="574" customFormat="false" ht="15" hidden="false" customHeight="false" outlineLevel="0" collapsed="false">
      <c r="A574" s="2" t="n">
        <v>570</v>
      </c>
      <c r="B574" s="13" t="n">
        <f aca="false">SMALL(Datos!$D$2:$D$1501,A574)</f>
        <v>158.446583374009</v>
      </c>
      <c r="C574" s="21" t="n">
        <f aca="false">(Config!$B$11-A574+1)/Config!$B$11</f>
        <v>0.620666666666667</v>
      </c>
    </row>
    <row r="575" customFormat="false" ht="15" hidden="false" customHeight="false" outlineLevel="0" collapsed="false">
      <c r="A575" s="2" t="n">
        <v>571</v>
      </c>
      <c r="B575" s="13" t="n">
        <f aca="false">SMALL(Datos!$D$2:$D$1501,A575)</f>
        <v>158.457287536644</v>
      </c>
      <c r="C575" s="21" t="n">
        <f aca="false">(Config!$B$11-A575+1)/Config!$B$11</f>
        <v>0.62</v>
      </c>
    </row>
    <row r="576" customFormat="false" ht="15" hidden="false" customHeight="false" outlineLevel="0" collapsed="false">
      <c r="A576" s="2" t="n">
        <v>572</v>
      </c>
      <c r="B576" s="13" t="n">
        <f aca="false">SMALL(Datos!$D$2:$D$1501,A576)</f>
        <v>158.457287536644</v>
      </c>
      <c r="C576" s="21" t="n">
        <f aca="false">(Config!$B$11-A576+1)/Config!$B$11</f>
        <v>0.619333333333333</v>
      </c>
    </row>
    <row r="577" customFormat="false" ht="15" hidden="false" customHeight="false" outlineLevel="0" collapsed="false">
      <c r="A577" s="2" t="n">
        <v>573</v>
      </c>
      <c r="B577" s="13" t="n">
        <f aca="false">SMALL(Datos!$D$2:$D$1501,A577)</f>
        <v>158.457287536644</v>
      </c>
      <c r="C577" s="21" t="n">
        <f aca="false">(Config!$B$11-A577+1)/Config!$B$11</f>
        <v>0.618666666666667</v>
      </c>
    </row>
    <row r="578" customFormat="false" ht="15" hidden="false" customHeight="false" outlineLevel="0" collapsed="false">
      <c r="A578" s="2" t="n">
        <v>574</v>
      </c>
      <c r="B578" s="13" t="n">
        <f aca="false">SMALL(Datos!$D$2:$D$1501,A578)</f>
        <v>158.478695861914</v>
      </c>
      <c r="C578" s="21" t="n">
        <f aca="false">(Config!$B$11-A578+1)/Config!$B$11</f>
        <v>0.618</v>
      </c>
    </row>
    <row r="579" customFormat="false" ht="15" hidden="false" customHeight="false" outlineLevel="0" collapsed="false">
      <c r="A579" s="2" t="n">
        <v>575</v>
      </c>
      <c r="B579" s="13" t="n">
        <f aca="false">SMALL(Datos!$D$2:$D$1501,A579)</f>
        <v>158.482263916125</v>
      </c>
      <c r="C579" s="21" t="n">
        <f aca="false">(Config!$B$11-A579+1)/Config!$B$11</f>
        <v>0.617333333333333</v>
      </c>
    </row>
    <row r="580" customFormat="false" ht="15" hidden="false" customHeight="false" outlineLevel="0" collapsed="false">
      <c r="A580" s="2" t="n">
        <v>576</v>
      </c>
      <c r="B580" s="13" t="n">
        <f aca="false">SMALL(Datos!$D$2:$D$1501,A580)</f>
        <v>158.500104187183</v>
      </c>
      <c r="C580" s="21" t="n">
        <f aca="false">(Config!$B$11-A580+1)/Config!$B$11</f>
        <v>0.616666666666667</v>
      </c>
    </row>
    <row r="581" customFormat="false" ht="15" hidden="false" customHeight="false" outlineLevel="0" collapsed="false">
      <c r="A581" s="2" t="n">
        <v>577</v>
      </c>
      <c r="B581" s="13" t="n">
        <f aca="false">SMALL(Datos!$D$2:$D$1501,A581)</f>
        <v>158.503672241395</v>
      </c>
      <c r="C581" s="21" t="n">
        <f aca="false">(Config!$B$11-A581+1)/Config!$B$11</f>
        <v>0.616</v>
      </c>
    </row>
    <row r="582" customFormat="false" ht="15" hidden="false" customHeight="false" outlineLevel="0" collapsed="false">
      <c r="A582" s="2" t="n">
        <v>578</v>
      </c>
      <c r="B582" s="13" t="n">
        <f aca="false">SMALL(Datos!$D$2:$D$1501,A582)</f>
        <v>158.521512512453</v>
      </c>
      <c r="C582" s="21" t="n">
        <f aca="false">(Config!$B$11-A582+1)/Config!$B$11</f>
        <v>0.615333333333333</v>
      </c>
    </row>
    <row r="583" customFormat="false" ht="15" hidden="false" customHeight="false" outlineLevel="0" collapsed="false">
      <c r="A583" s="2" t="n">
        <v>579</v>
      </c>
      <c r="B583" s="13" t="n">
        <f aca="false">SMALL(Datos!$D$2:$D$1501,A583)</f>
        <v>158.532216675087</v>
      </c>
      <c r="C583" s="21" t="n">
        <f aca="false">(Config!$B$11-A583+1)/Config!$B$11</f>
        <v>0.614666666666667</v>
      </c>
    </row>
    <row r="584" customFormat="false" ht="15" hidden="false" customHeight="false" outlineLevel="0" collapsed="false">
      <c r="A584" s="2" t="n">
        <v>580</v>
      </c>
      <c r="B584" s="13" t="n">
        <f aca="false">SMALL(Datos!$D$2:$D$1501,A584)</f>
        <v>158.557193054568</v>
      </c>
      <c r="C584" s="21" t="n">
        <f aca="false">(Config!$B$11-A584+1)/Config!$B$11</f>
        <v>0.614</v>
      </c>
    </row>
    <row r="585" customFormat="false" ht="15" hidden="false" customHeight="false" outlineLevel="0" collapsed="false">
      <c r="A585" s="2" t="n">
        <v>581</v>
      </c>
      <c r="B585" s="13" t="n">
        <f aca="false">SMALL(Datos!$D$2:$D$1501,A585)</f>
        <v>158.557193054568</v>
      </c>
      <c r="C585" s="21" t="n">
        <f aca="false">(Config!$B$11-A585+1)/Config!$B$11</f>
        <v>0.613333333333333</v>
      </c>
    </row>
    <row r="586" customFormat="false" ht="15" hidden="false" customHeight="false" outlineLevel="0" collapsed="false">
      <c r="A586" s="2" t="n">
        <v>582</v>
      </c>
      <c r="B586" s="13" t="n">
        <f aca="false">SMALL(Datos!$D$2:$D$1501,A586)</f>
        <v>158.575033325626</v>
      </c>
      <c r="C586" s="21" t="n">
        <f aca="false">(Config!$B$11-A586+1)/Config!$B$11</f>
        <v>0.612666666666667</v>
      </c>
    </row>
    <row r="587" customFormat="false" ht="15" hidden="false" customHeight="false" outlineLevel="0" collapsed="false">
      <c r="A587" s="2" t="n">
        <v>583</v>
      </c>
      <c r="B587" s="13" t="n">
        <f aca="false">SMALL(Datos!$D$2:$D$1501,A587)</f>
        <v>158.58216943405</v>
      </c>
      <c r="C587" s="21" t="n">
        <f aca="false">(Config!$B$11-A587+1)/Config!$B$11</f>
        <v>0.612</v>
      </c>
    </row>
    <row r="588" customFormat="false" ht="15" hidden="false" customHeight="false" outlineLevel="0" collapsed="false">
      <c r="A588" s="2" t="n">
        <v>584</v>
      </c>
      <c r="B588" s="13" t="n">
        <f aca="false">SMALL(Datos!$D$2:$D$1501,A588)</f>
        <v>158.585737488261</v>
      </c>
      <c r="C588" s="21" t="n">
        <f aca="false">(Config!$B$11-A588+1)/Config!$B$11</f>
        <v>0.611333333333333</v>
      </c>
    </row>
    <row r="589" customFormat="false" ht="15" hidden="false" customHeight="false" outlineLevel="0" collapsed="false">
      <c r="A589" s="2" t="n">
        <v>585</v>
      </c>
      <c r="B589" s="13" t="n">
        <f aca="false">SMALL(Datos!$D$2:$D$1501,A589)</f>
        <v>158.589305542473</v>
      </c>
      <c r="C589" s="21" t="n">
        <f aca="false">(Config!$B$11-A589+1)/Config!$B$11</f>
        <v>0.610666666666667</v>
      </c>
    </row>
    <row r="590" customFormat="false" ht="15" hidden="false" customHeight="false" outlineLevel="0" collapsed="false">
      <c r="A590" s="2" t="n">
        <v>586</v>
      </c>
      <c r="B590" s="13" t="n">
        <f aca="false">SMALL(Datos!$D$2:$D$1501,A590)</f>
        <v>158.603577759319</v>
      </c>
      <c r="C590" s="21" t="n">
        <f aca="false">(Config!$B$11-A590+1)/Config!$B$11</f>
        <v>0.61</v>
      </c>
    </row>
    <row r="591" customFormat="false" ht="15" hidden="false" customHeight="false" outlineLevel="0" collapsed="false">
      <c r="A591" s="2" t="n">
        <v>587</v>
      </c>
      <c r="B591" s="13" t="n">
        <f aca="false">SMALL(Datos!$D$2:$D$1501,A591)</f>
        <v>158.617849976165</v>
      </c>
      <c r="C591" s="21" t="n">
        <f aca="false">(Config!$B$11-A591+1)/Config!$B$11</f>
        <v>0.609333333333333</v>
      </c>
    </row>
    <row r="592" customFormat="false" ht="15" hidden="false" customHeight="false" outlineLevel="0" collapsed="false">
      <c r="A592" s="2" t="n">
        <v>588</v>
      </c>
      <c r="B592" s="13" t="n">
        <f aca="false">SMALL(Datos!$D$2:$D$1501,A592)</f>
        <v>158.635690247223</v>
      </c>
      <c r="C592" s="21" t="n">
        <f aca="false">(Config!$B$11-A592+1)/Config!$B$11</f>
        <v>0.608666666666667</v>
      </c>
    </row>
    <row r="593" customFormat="false" ht="15" hidden="false" customHeight="false" outlineLevel="0" collapsed="false">
      <c r="A593" s="2" t="n">
        <v>589</v>
      </c>
      <c r="B593" s="13" t="n">
        <f aca="false">SMALL(Datos!$D$2:$D$1501,A593)</f>
        <v>158.639258301435</v>
      </c>
      <c r="C593" s="21" t="n">
        <f aca="false">(Config!$B$11-A593+1)/Config!$B$11</f>
        <v>0.608</v>
      </c>
    </row>
    <row r="594" customFormat="false" ht="15" hidden="false" customHeight="false" outlineLevel="0" collapsed="false">
      <c r="A594" s="2" t="n">
        <v>590</v>
      </c>
      <c r="B594" s="13" t="n">
        <f aca="false">SMALL(Datos!$D$2:$D$1501,A594)</f>
        <v>158.646394409858</v>
      </c>
      <c r="C594" s="21" t="n">
        <f aca="false">(Config!$B$11-A594+1)/Config!$B$11</f>
        <v>0.607333333333333</v>
      </c>
    </row>
    <row r="595" customFormat="false" ht="15" hidden="false" customHeight="false" outlineLevel="0" collapsed="false">
      <c r="A595" s="2" t="n">
        <v>591</v>
      </c>
      <c r="B595" s="13" t="n">
        <f aca="false">SMALL(Datos!$D$2:$D$1501,A595)</f>
        <v>158.674938843551</v>
      </c>
      <c r="C595" s="21" t="n">
        <f aca="false">(Config!$B$11-A595+1)/Config!$B$11</f>
        <v>0.606666666666667</v>
      </c>
    </row>
    <row r="596" customFormat="false" ht="15" hidden="false" customHeight="false" outlineLevel="0" collapsed="false">
      <c r="A596" s="2" t="n">
        <v>592</v>
      </c>
      <c r="B596" s="13" t="n">
        <f aca="false">SMALL(Datos!$D$2:$D$1501,A596)</f>
        <v>158.674938843551</v>
      </c>
      <c r="C596" s="21" t="n">
        <f aca="false">(Config!$B$11-A596+1)/Config!$B$11</f>
        <v>0.606</v>
      </c>
    </row>
    <row r="597" customFormat="false" ht="15" hidden="false" customHeight="false" outlineLevel="0" collapsed="false">
      <c r="A597" s="2" t="n">
        <v>593</v>
      </c>
      <c r="B597" s="13" t="n">
        <f aca="false">SMALL(Datos!$D$2:$D$1501,A597)</f>
        <v>158.674938843551</v>
      </c>
      <c r="C597" s="21" t="n">
        <f aca="false">(Config!$B$11-A597+1)/Config!$B$11</f>
        <v>0.605333333333333</v>
      </c>
    </row>
    <row r="598" customFormat="false" ht="15" hidden="false" customHeight="false" outlineLevel="0" collapsed="false">
      <c r="A598" s="2" t="n">
        <v>594</v>
      </c>
      <c r="B598" s="13" t="n">
        <f aca="false">SMALL(Datos!$D$2:$D$1501,A598)</f>
        <v>158.682074951974</v>
      </c>
      <c r="C598" s="21" t="n">
        <f aca="false">(Config!$B$11-A598+1)/Config!$B$11</f>
        <v>0.604666666666667</v>
      </c>
    </row>
    <row r="599" customFormat="false" ht="15" hidden="false" customHeight="false" outlineLevel="0" collapsed="false">
      <c r="A599" s="2" t="n">
        <v>595</v>
      </c>
      <c r="B599" s="13" t="n">
        <f aca="false">SMALL(Datos!$D$2:$D$1501,A599)</f>
        <v>158.707051331455</v>
      </c>
      <c r="C599" s="21" t="n">
        <f aca="false">(Config!$B$11-A599+1)/Config!$B$11</f>
        <v>0.604</v>
      </c>
    </row>
    <row r="600" customFormat="false" ht="15" hidden="false" customHeight="false" outlineLevel="0" collapsed="false">
      <c r="A600" s="2" t="n">
        <v>596</v>
      </c>
      <c r="B600" s="13" t="n">
        <f aca="false">SMALL(Datos!$D$2:$D$1501,A600)</f>
        <v>158.724891602513</v>
      </c>
      <c r="C600" s="21" t="n">
        <f aca="false">(Config!$B$11-A600+1)/Config!$B$11</f>
        <v>0.603333333333333</v>
      </c>
    </row>
    <row r="601" customFormat="false" ht="15" hidden="false" customHeight="false" outlineLevel="0" collapsed="false">
      <c r="A601" s="2" t="n">
        <v>597</v>
      </c>
      <c r="B601" s="13" t="n">
        <f aca="false">SMALL(Datos!$D$2:$D$1501,A601)</f>
        <v>158.746299927783</v>
      </c>
      <c r="C601" s="21" t="n">
        <f aca="false">(Config!$B$11-A601+1)/Config!$B$11</f>
        <v>0.602666666666667</v>
      </c>
    </row>
    <row r="602" customFormat="false" ht="15" hidden="false" customHeight="false" outlineLevel="0" collapsed="false">
      <c r="A602" s="2" t="n">
        <v>598</v>
      </c>
      <c r="B602" s="13" t="n">
        <f aca="false">SMALL(Datos!$D$2:$D$1501,A602)</f>
        <v>158.753436036206</v>
      </c>
      <c r="C602" s="21" t="n">
        <f aca="false">(Config!$B$11-A602+1)/Config!$B$11</f>
        <v>0.602</v>
      </c>
    </row>
    <row r="603" customFormat="false" ht="15" hidden="false" customHeight="false" outlineLevel="0" collapsed="false">
      <c r="A603" s="2" t="n">
        <v>599</v>
      </c>
      <c r="B603" s="13" t="n">
        <f aca="false">SMALL(Datos!$D$2:$D$1501,A603)</f>
        <v>158.771276307264</v>
      </c>
      <c r="C603" s="21" t="n">
        <f aca="false">(Config!$B$11-A603+1)/Config!$B$11</f>
        <v>0.601333333333333</v>
      </c>
    </row>
    <row r="604" customFormat="false" ht="15" hidden="false" customHeight="false" outlineLevel="0" collapsed="false">
      <c r="A604" s="2" t="n">
        <v>600</v>
      </c>
      <c r="B604" s="13" t="n">
        <f aca="false">SMALL(Datos!$D$2:$D$1501,A604)</f>
        <v>158.803388795168</v>
      </c>
      <c r="C604" s="21" t="n">
        <f aca="false">(Config!$B$11-A604+1)/Config!$B$11</f>
        <v>0.600666666666667</v>
      </c>
    </row>
    <row r="605" customFormat="false" ht="15" hidden="false" customHeight="false" outlineLevel="0" collapsed="false">
      <c r="A605" s="2" t="n">
        <v>601</v>
      </c>
      <c r="B605" s="13" t="n">
        <f aca="false">SMALL(Datos!$D$2:$D$1501,A605)</f>
        <v>158.803388795168</v>
      </c>
      <c r="C605" s="21" t="n">
        <f aca="false">(Config!$B$11-A605+1)/Config!$B$11</f>
        <v>0.6</v>
      </c>
    </row>
    <row r="606" customFormat="false" ht="15" hidden="false" customHeight="false" outlineLevel="0" collapsed="false">
      <c r="A606" s="2" t="n">
        <v>602</v>
      </c>
      <c r="B606" s="13" t="n">
        <f aca="false">SMALL(Datos!$D$2:$D$1501,A606)</f>
        <v>158.80695684938</v>
      </c>
      <c r="C606" s="21" t="n">
        <f aca="false">(Config!$B$11-A606+1)/Config!$B$11</f>
        <v>0.599333333333333</v>
      </c>
    </row>
    <row r="607" customFormat="false" ht="15" hidden="false" customHeight="false" outlineLevel="0" collapsed="false">
      <c r="A607" s="2" t="n">
        <v>603</v>
      </c>
      <c r="B607" s="13" t="n">
        <f aca="false">SMALL(Datos!$D$2:$D$1501,A607)</f>
        <v>158.810524903591</v>
      </c>
      <c r="C607" s="21" t="n">
        <f aca="false">(Config!$B$11-A607+1)/Config!$B$11</f>
        <v>0.598666666666667</v>
      </c>
    </row>
    <row r="608" customFormat="false" ht="15" hidden="false" customHeight="false" outlineLevel="0" collapsed="false">
      <c r="A608" s="2" t="n">
        <v>604</v>
      </c>
      <c r="B608" s="13" t="n">
        <f aca="false">SMALL(Datos!$D$2:$D$1501,A608)</f>
        <v>158.810524903591</v>
      </c>
      <c r="C608" s="21" t="n">
        <f aca="false">(Config!$B$11-A608+1)/Config!$B$11</f>
        <v>0.598</v>
      </c>
    </row>
    <row r="609" customFormat="false" ht="15" hidden="false" customHeight="false" outlineLevel="0" collapsed="false">
      <c r="A609" s="2" t="n">
        <v>605</v>
      </c>
      <c r="B609" s="13" t="n">
        <f aca="false">SMALL(Datos!$D$2:$D$1501,A609)</f>
        <v>158.814092957803</v>
      </c>
      <c r="C609" s="21" t="n">
        <f aca="false">(Config!$B$11-A609+1)/Config!$B$11</f>
        <v>0.597333333333333</v>
      </c>
    </row>
    <row r="610" customFormat="false" ht="15" hidden="false" customHeight="false" outlineLevel="0" collapsed="false">
      <c r="A610" s="2" t="n">
        <v>606</v>
      </c>
      <c r="B610" s="13" t="n">
        <f aca="false">SMALL(Datos!$D$2:$D$1501,A610)</f>
        <v>158.821229066226</v>
      </c>
      <c r="C610" s="21" t="n">
        <f aca="false">(Config!$B$11-A610+1)/Config!$B$11</f>
        <v>0.596666666666667</v>
      </c>
    </row>
    <row r="611" customFormat="false" ht="15" hidden="false" customHeight="false" outlineLevel="0" collapsed="false">
      <c r="A611" s="2" t="n">
        <v>607</v>
      </c>
      <c r="B611" s="13" t="n">
        <f aca="false">SMALL(Datos!$D$2:$D$1501,A611)</f>
        <v>158.846205445707</v>
      </c>
      <c r="C611" s="21" t="n">
        <f aca="false">(Config!$B$11-A611+1)/Config!$B$11</f>
        <v>0.596</v>
      </c>
    </row>
    <row r="612" customFormat="false" ht="15" hidden="false" customHeight="false" outlineLevel="0" collapsed="false">
      <c r="A612" s="2" t="n">
        <v>608</v>
      </c>
      <c r="B612" s="13" t="n">
        <f aca="false">SMALL(Datos!$D$2:$D$1501,A612)</f>
        <v>158.846205445707</v>
      </c>
      <c r="C612" s="21" t="n">
        <f aca="false">(Config!$B$11-A612+1)/Config!$B$11</f>
        <v>0.595333333333333</v>
      </c>
    </row>
    <row r="613" customFormat="false" ht="15" hidden="false" customHeight="false" outlineLevel="0" collapsed="false">
      <c r="A613" s="2" t="n">
        <v>609</v>
      </c>
      <c r="B613" s="13" t="n">
        <f aca="false">SMALL(Datos!$D$2:$D$1501,A613)</f>
        <v>158.849773499919</v>
      </c>
      <c r="C613" s="21" t="n">
        <f aca="false">(Config!$B$11-A613+1)/Config!$B$11</f>
        <v>0.594666666666667</v>
      </c>
    </row>
    <row r="614" customFormat="false" ht="15" hidden="false" customHeight="false" outlineLevel="0" collapsed="false">
      <c r="A614" s="2" t="n">
        <v>610</v>
      </c>
      <c r="B614" s="13" t="n">
        <f aca="false">SMALL(Datos!$D$2:$D$1501,A614)</f>
        <v>158.849773499919</v>
      </c>
      <c r="C614" s="21" t="n">
        <f aca="false">(Config!$B$11-A614+1)/Config!$B$11</f>
        <v>0.594</v>
      </c>
    </row>
    <row r="615" customFormat="false" ht="15" hidden="false" customHeight="false" outlineLevel="0" collapsed="false">
      <c r="A615" s="2" t="n">
        <v>611</v>
      </c>
      <c r="B615" s="13" t="n">
        <f aca="false">SMALL(Datos!$D$2:$D$1501,A615)</f>
        <v>158.856909608342</v>
      </c>
      <c r="C615" s="21" t="n">
        <f aca="false">(Config!$B$11-A615+1)/Config!$B$11</f>
        <v>0.593333333333333</v>
      </c>
    </row>
    <row r="616" customFormat="false" ht="15" hidden="false" customHeight="false" outlineLevel="0" collapsed="false">
      <c r="A616" s="2" t="n">
        <v>612</v>
      </c>
      <c r="B616" s="13" t="n">
        <f aca="false">SMALL(Datos!$D$2:$D$1501,A616)</f>
        <v>158.881885987823</v>
      </c>
      <c r="C616" s="21" t="n">
        <f aca="false">(Config!$B$11-A616+1)/Config!$B$11</f>
        <v>0.592666666666667</v>
      </c>
    </row>
    <row r="617" customFormat="false" ht="15" hidden="false" customHeight="false" outlineLevel="0" collapsed="false">
      <c r="A617" s="2" t="n">
        <v>613</v>
      </c>
      <c r="B617" s="13" t="n">
        <f aca="false">SMALL(Datos!$D$2:$D$1501,A617)</f>
        <v>158.903294313093</v>
      </c>
      <c r="C617" s="21" t="n">
        <f aca="false">(Config!$B$11-A617+1)/Config!$B$11</f>
        <v>0.592</v>
      </c>
    </row>
    <row r="618" customFormat="false" ht="15" hidden="false" customHeight="false" outlineLevel="0" collapsed="false">
      <c r="A618" s="2" t="n">
        <v>614</v>
      </c>
      <c r="B618" s="13" t="n">
        <f aca="false">SMALL(Datos!$D$2:$D$1501,A618)</f>
        <v>158.913998475727</v>
      </c>
      <c r="C618" s="21" t="n">
        <f aca="false">(Config!$B$11-A618+1)/Config!$B$11</f>
        <v>0.591333333333333</v>
      </c>
    </row>
    <row r="619" customFormat="false" ht="15" hidden="false" customHeight="false" outlineLevel="0" collapsed="false">
      <c r="A619" s="2" t="n">
        <v>615</v>
      </c>
      <c r="B619" s="13" t="n">
        <f aca="false">SMALL(Datos!$D$2:$D$1501,A619)</f>
        <v>158.931838746785</v>
      </c>
      <c r="C619" s="21" t="n">
        <f aca="false">(Config!$B$11-A619+1)/Config!$B$11</f>
        <v>0.590666666666667</v>
      </c>
    </row>
    <row r="620" customFormat="false" ht="15" hidden="false" customHeight="false" outlineLevel="0" collapsed="false">
      <c r="A620" s="2" t="n">
        <v>616</v>
      </c>
      <c r="B620" s="13" t="n">
        <f aca="false">SMALL(Datos!$D$2:$D$1501,A620)</f>
        <v>158.956815126266</v>
      </c>
      <c r="C620" s="21" t="n">
        <f aca="false">(Config!$B$11-A620+1)/Config!$B$11</f>
        <v>0.59</v>
      </c>
    </row>
    <row r="621" customFormat="false" ht="15" hidden="false" customHeight="false" outlineLevel="0" collapsed="false">
      <c r="A621" s="2" t="n">
        <v>617</v>
      </c>
      <c r="B621" s="13" t="n">
        <f aca="false">SMALL(Datos!$D$2:$D$1501,A621)</f>
        <v>158.974655397324</v>
      </c>
      <c r="C621" s="21" t="n">
        <f aca="false">(Config!$B$11-A621+1)/Config!$B$11</f>
        <v>0.589333333333333</v>
      </c>
    </row>
    <row r="622" customFormat="false" ht="15" hidden="false" customHeight="false" outlineLevel="0" collapsed="false">
      <c r="A622" s="2" t="n">
        <v>618</v>
      </c>
      <c r="B622" s="13" t="n">
        <f aca="false">SMALL(Datos!$D$2:$D$1501,A622)</f>
        <v>158.981791505747</v>
      </c>
      <c r="C622" s="21" t="n">
        <f aca="false">(Config!$B$11-A622+1)/Config!$B$11</f>
        <v>0.588666666666667</v>
      </c>
    </row>
    <row r="623" customFormat="false" ht="15" hidden="false" customHeight="false" outlineLevel="0" collapsed="false">
      <c r="A623" s="2" t="n">
        <v>619</v>
      </c>
      <c r="B623" s="13" t="n">
        <f aca="false">SMALL(Datos!$D$2:$D$1501,A623)</f>
        <v>158.988927614171</v>
      </c>
      <c r="C623" s="21" t="n">
        <f aca="false">(Config!$B$11-A623+1)/Config!$B$11</f>
        <v>0.588</v>
      </c>
    </row>
    <row r="624" customFormat="false" ht="15" hidden="false" customHeight="false" outlineLevel="0" collapsed="false">
      <c r="A624" s="2" t="n">
        <v>620</v>
      </c>
      <c r="B624" s="13" t="n">
        <f aca="false">SMALL(Datos!$D$2:$D$1501,A624)</f>
        <v>158.988927614171</v>
      </c>
      <c r="C624" s="21" t="n">
        <f aca="false">(Config!$B$11-A624+1)/Config!$B$11</f>
        <v>0.587333333333333</v>
      </c>
    </row>
    <row r="625" customFormat="false" ht="15" hidden="false" customHeight="false" outlineLevel="0" collapsed="false">
      <c r="A625" s="2" t="n">
        <v>621</v>
      </c>
      <c r="B625" s="13" t="n">
        <f aca="false">SMALL(Datos!$D$2:$D$1501,A625)</f>
        <v>159.006767885229</v>
      </c>
      <c r="C625" s="21" t="n">
        <f aca="false">(Config!$B$11-A625+1)/Config!$B$11</f>
        <v>0.586666666666667</v>
      </c>
    </row>
    <row r="626" customFormat="false" ht="15" hidden="false" customHeight="false" outlineLevel="0" collapsed="false">
      <c r="A626" s="2" t="n">
        <v>622</v>
      </c>
      <c r="B626" s="13" t="n">
        <f aca="false">SMALL(Datos!$D$2:$D$1501,A626)</f>
        <v>159.035312318921</v>
      </c>
      <c r="C626" s="21" t="n">
        <f aca="false">(Config!$B$11-A626+1)/Config!$B$11</f>
        <v>0.586</v>
      </c>
    </row>
    <row r="627" customFormat="false" ht="15" hidden="false" customHeight="false" outlineLevel="0" collapsed="false">
      <c r="A627" s="2" t="n">
        <v>623</v>
      </c>
      <c r="B627" s="13" t="n">
        <f aca="false">SMALL(Datos!$D$2:$D$1501,A627)</f>
        <v>159.056720644191</v>
      </c>
      <c r="C627" s="21" t="n">
        <f aca="false">(Config!$B$11-A627+1)/Config!$B$11</f>
        <v>0.585333333333333</v>
      </c>
    </row>
    <row r="628" customFormat="false" ht="15" hidden="false" customHeight="false" outlineLevel="0" collapsed="false">
      <c r="A628" s="2" t="n">
        <v>624</v>
      </c>
      <c r="B628" s="13" t="n">
        <f aca="false">SMALL(Datos!$D$2:$D$1501,A628)</f>
        <v>159.067424806826</v>
      </c>
      <c r="C628" s="21" t="n">
        <f aca="false">(Config!$B$11-A628+1)/Config!$B$11</f>
        <v>0.584666666666667</v>
      </c>
    </row>
    <row r="629" customFormat="false" ht="15" hidden="false" customHeight="false" outlineLevel="0" collapsed="false">
      <c r="A629" s="2" t="n">
        <v>625</v>
      </c>
      <c r="B629" s="13" t="n">
        <f aca="false">SMALL(Datos!$D$2:$D$1501,A629)</f>
        <v>159.067424806826</v>
      </c>
      <c r="C629" s="21" t="n">
        <f aca="false">(Config!$B$11-A629+1)/Config!$B$11</f>
        <v>0.584</v>
      </c>
    </row>
    <row r="630" customFormat="false" ht="15" hidden="false" customHeight="false" outlineLevel="0" collapsed="false">
      <c r="A630" s="2" t="n">
        <v>626</v>
      </c>
      <c r="B630" s="13" t="n">
        <f aca="false">SMALL(Datos!$D$2:$D$1501,A630)</f>
        <v>159.070992861037</v>
      </c>
      <c r="C630" s="21" t="n">
        <f aca="false">(Config!$B$11-A630+1)/Config!$B$11</f>
        <v>0.583333333333333</v>
      </c>
    </row>
    <row r="631" customFormat="false" ht="15" hidden="false" customHeight="false" outlineLevel="0" collapsed="false">
      <c r="A631" s="2" t="n">
        <v>627</v>
      </c>
      <c r="B631" s="13" t="n">
        <f aca="false">SMALL(Datos!$D$2:$D$1501,A631)</f>
        <v>159.074560915249</v>
      </c>
      <c r="C631" s="21" t="n">
        <f aca="false">(Config!$B$11-A631+1)/Config!$B$11</f>
        <v>0.582666666666667</v>
      </c>
    </row>
    <row r="632" customFormat="false" ht="15" hidden="false" customHeight="false" outlineLevel="0" collapsed="false">
      <c r="A632" s="2" t="n">
        <v>628</v>
      </c>
      <c r="B632" s="13" t="n">
        <f aca="false">SMALL(Datos!$D$2:$D$1501,A632)</f>
        <v>159.092401186307</v>
      </c>
      <c r="C632" s="21" t="n">
        <f aca="false">(Config!$B$11-A632+1)/Config!$B$11</f>
        <v>0.582</v>
      </c>
    </row>
    <row r="633" customFormat="false" ht="15" hidden="false" customHeight="false" outlineLevel="0" collapsed="false">
      <c r="A633" s="2" t="n">
        <v>629</v>
      </c>
      <c r="B633" s="13" t="n">
        <f aca="false">SMALL(Datos!$D$2:$D$1501,A633)</f>
        <v>159.095969240518</v>
      </c>
      <c r="C633" s="21" t="n">
        <f aca="false">(Config!$B$11-A633+1)/Config!$B$11</f>
        <v>0.581333333333333</v>
      </c>
    </row>
    <row r="634" customFormat="false" ht="15" hidden="false" customHeight="false" outlineLevel="0" collapsed="false">
      <c r="A634" s="2" t="n">
        <v>630</v>
      </c>
      <c r="B634" s="13" t="n">
        <f aca="false">SMALL(Datos!$D$2:$D$1501,A634)</f>
        <v>159.113809511576</v>
      </c>
      <c r="C634" s="21" t="n">
        <f aca="false">(Config!$B$11-A634+1)/Config!$B$11</f>
        <v>0.580666666666667</v>
      </c>
    </row>
    <row r="635" customFormat="false" ht="15" hidden="false" customHeight="false" outlineLevel="0" collapsed="false">
      <c r="A635" s="2" t="n">
        <v>631</v>
      </c>
      <c r="B635" s="13" t="n">
        <f aca="false">SMALL(Datos!$D$2:$D$1501,A635)</f>
        <v>159.117377565788</v>
      </c>
      <c r="C635" s="21" t="n">
        <f aca="false">(Config!$B$11-A635+1)/Config!$B$11</f>
        <v>0.58</v>
      </c>
    </row>
    <row r="636" customFormat="false" ht="15" hidden="false" customHeight="false" outlineLevel="0" collapsed="false">
      <c r="A636" s="2" t="n">
        <v>632</v>
      </c>
      <c r="B636" s="13" t="n">
        <f aca="false">SMALL(Datos!$D$2:$D$1501,A636)</f>
        <v>159.124513674211</v>
      </c>
      <c r="C636" s="21" t="n">
        <f aca="false">(Config!$B$11-A636+1)/Config!$B$11</f>
        <v>0.579333333333333</v>
      </c>
    </row>
    <row r="637" customFormat="false" ht="15" hidden="false" customHeight="false" outlineLevel="0" collapsed="false">
      <c r="A637" s="2" t="n">
        <v>633</v>
      </c>
      <c r="B637" s="13" t="n">
        <f aca="false">SMALL(Datos!$D$2:$D$1501,A637)</f>
        <v>159.131649782634</v>
      </c>
      <c r="C637" s="21" t="n">
        <f aca="false">(Config!$B$11-A637+1)/Config!$B$11</f>
        <v>0.578666666666667</v>
      </c>
    </row>
    <row r="638" customFormat="false" ht="15" hidden="false" customHeight="false" outlineLevel="0" collapsed="false">
      <c r="A638" s="2" t="n">
        <v>634</v>
      </c>
      <c r="B638" s="13" t="n">
        <f aca="false">SMALL(Datos!$D$2:$D$1501,A638)</f>
        <v>159.145921999481</v>
      </c>
      <c r="C638" s="21" t="n">
        <f aca="false">(Config!$B$11-A638+1)/Config!$B$11</f>
        <v>0.578</v>
      </c>
    </row>
    <row r="639" customFormat="false" ht="15" hidden="false" customHeight="false" outlineLevel="0" collapsed="false">
      <c r="A639" s="2" t="n">
        <v>635</v>
      </c>
      <c r="B639" s="13" t="n">
        <f aca="false">SMALL(Datos!$D$2:$D$1501,A639)</f>
        <v>159.160194216327</v>
      </c>
      <c r="C639" s="21" t="n">
        <f aca="false">(Config!$B$11-A639+1)/Config!$B$11</f>
        <v>0.577333333333333</v>
      </c>
    </row>
    <row r="640" customFormat="false" ht="15" hidden="false" customHeight="false" outlineLevel="0" collapsed="false">
      <c r="A640" s="2" t="n">
        <v>636</v>
      </c>
      <c r="B640" s="13" t="n">
        <f aca="false">SMALL(Datos!$D$2:$D$1501,A640)</f>
        <v>159.170898378962</v>
      </c>
      <c r="C640" s="21" t="n">
        <f aca="false">(Config!$B$11-A640+1)/Config!$B$11</f>
        <v>0.576666666666667</v>
      </c>
    </row>
    <row r="641" customFormat="false" ht="15" hidden="false" customHeight="false" outlineLevel="0" collapsed="false">
      <c r="A641" s="2" t="n">
        <v>637</v>
      </c>
      <c r="B641" s="13" t="n">
        <f aca="false">SMALL(Datos!$D$2:$D$1501,A641)</f>
        <v>159.185170595808</v>
      </c>
      <c r="C641" s="21" t="n">
        <f aca="false">(Config!$B$11-A641+1)/Config!$B$11</f>
        <v>0.576</v>
      </c>
    </row>
    <row r="642" customFormat="false" ht="15" hidden="false" customHeight="false" outlineLevel="0" collapsed="false">
      <c r="A642" s="2" t="n">
        <v>638</v>
      </c>
      <c r="B642" s="13" t="n">
        <f aca="false">SMALL(Datos!$D$2:$D$1501,A642)</f>
        <v>159.18873865002</v>
      </c>
      <c r="C642" s="21" t="n">
        <f aca="false">(Config!$B$11-A642+1)/Config!$B$11</f>
        <v>0.575333333333333</v>
      </c>
    </row>
    <row r="643" customFormat="false" ht="15" hidden="false" customHeight="false" outlineLevel="0" collapsed="false">
      <c r="A643" s="2" t="n">
        <v>639</v>
      </c>
      <c r="B643" s="13" t="n">
        <f aca="false">SMALL(Datos!$D$2:$D$1501,A643)</f>
        <v>159.192306704231</v>
      </c>
      <c r="C643" s="21" t="n">
        <f aca="false">(Config!$B$11-A643+1)/Config!$B$11</f>
        <v>0.574666666666667</v>
      </c>
    </row>
    <row r="644" customFormat="false" ht="15" hidden="false" customHeight="false" outlineLevel="0" collapsed="false">
      <c r="A644" s="2" t="n">
        <v>640</v>
      </c>
      <c r="B644" s="13" t="n">
        <f aca="false">SMALL(Datos!$D$2:$D$1501,A644)</f>
        <v>159.206578921078</v>
      </c>
      <c r="C644" s="21" t="n">
        <f aca="false">(Config!$B$11-A644+1)/Config!$B$11</f>
        <v>0.574</v>
      </c>
    </row>
    <row r="645" customFormat="false" ht="15" hidden="false" customHeight="false" outlineLevel="0" collapsed="false">
      <c r="A645" s="2" t="n">
        <v>641</v>
      </c>
      <c r="B645" s="13" t="n">
        <f aca="false">SMALL(Datos!$D$2:$D$1501,A645)</f>
        <v>159.224419192135</v>
      </c>
      <c r="C645" s="21" t="n">
        <f aca="false">(Config!$B$11-A645+1)/Config!$B$11</f>
        <v>0.573333333333333</v>
      </c>
    </row>
    <row r="646" customFormat="false" ht="15" hidden="false" customHeight="false" outlineLevel="0" collapsed="false">
      <c r="A646" s="2" t="n">
        <v>642</v>
      </c>
      <c r="B646" s="13" t="n">
        <f aca="false">SMALL(Datos!$D$2:$D$1501,A646)</f>
        <v>159.227987246347</v>
      </c>
      <c r="C646" s="21" t="n">
        <f aca="false">(Config!$B$11-A646+1)/Config!$B$11</f>
        <v>0.572666666666667</v>
      </c>
    </row>
    <row r="647" customFormat="false" ht="15" hidden="false" customHeight="false" outlineLevel="0" collapsed="false">
      <c r="A647" s="2" t="n">
        <v>643</v>
      </c>
      <c r="B647" s="13" t="n">
        <f aca="false">SMALL(Datos!$D$2:$D$1501,A647)</f>
        <v>159.270803896886</v>
      </c>
      <c r="C647" s="21" t="n">
        <f aca="false">(Config!$B$11-A647+1)/Config!$B$11</f>
        <v>0.572</v>
      </c>
    </row>
    <row r="648" customFormat="false" ht="15" hidden="false" customHeight="false" outlineLevel="0" collapsed="false">
      <c r="A648" s="2" t="n">
        <v>644</v>
      </c>
      <c r="B648" s="13" t="n">
        <f aca="false">SMALL(Datos!$D$2:$D$1501,A648)</f>
        <v>159.306484439002</v>
      </c>
      <c r="C648" s="21" t="n">
        <f aca="false">(Config!$B$11-A648+1)/Config!$B$11</f>
        <v>0.571333333333333</v>
      </c>
    </row>
    <row r="649" customFormat="false" ht="15" hidden="false" customHeight="false" outlineLevel="0" collapsed="false">
      <c r="A649" s="2" t="n">
        <v>645</v>
      </c>
      <c r="B649" s="13" t="n">
        <f aca="false">SMALL(Datos!$D$2:$D$1501,A649)</f>
        <v>159.313620547425</v>
      </c>
      <c r="C649" s="21" t="n">
        <f aca="false">(Config!$B$11-A649+1)/Config!$B$11</f>
        <v>0.570666666666667</v>
      </c>
    </row>
    <row r="650" customFormat="false" ht="15" hidden="false" customHeight="false" outlineLevel="0" collapsed="false">
      <c r="A650" s="2" t="n">
        <v>646</v>
      </c>
      <c r="B650" s="13" t="n">
        <f aca="false">SMALL(Datos!$D$2:$D$1501,A650)</f>
        <v>159.313620547425</v>
      </c>
      <c r="C650" s="21" t="n">
        <f aca="false">(Config!$B$11-A650+1)/Config!$B$11</f>
        <v>0.57</v>
      </c>
    </row>
    <row r="651" customFormat="false" ht="15" hidden="false" customHeight="false" outlineLevel="0" collapsed="false">
      <c r="A651" s="2" t="n">
        <v>647</v>
      </c>
      <c r="B651" s="13" t="n">
        <f aca="false">SMALL(Datos!$D$2:$D$1501,A651)</f>
        <v>159.317188601637</v>
      </c>
      <c r="C651" s="21" t="n">
        <f aca="false">(Config!$B$11-A651+1)/Config!$B$11</f>
        <v>0.569333333333333</v>
      </c>
    </row>
    <row r="652" customFormat="false" ht="15" hidden="false" customHeight="false" outlineLevel="0" collapsed="false">
      <c r="A652" s="2" t="n">
        <v>648</v>
      </c>
      <c r="B652" s="13" t="n">
        <f aca="false">SMALL(Datos!$D$2:$D$1501,A652)</f>
        <v>159.317188601637</v>
      </c>
      <c r="C652" s="21" t="n">
        <f aca="false">(Config!$B$11-A652+1)/Config!$B$11</f>
        <v>0.568666666666667</v>
      </c>
    </row>
    <row r="653" customFormat="false" ht="15" hidden="false" customHeight="false" outlineLevel="0" collapsed="false">
      <c r="A653" s="2" t="n">
        <v>649</v>
      </c>
      <c r="B653" s="13" t="n">
        <f aca="false">SMALL(Datos!$D$2:$D$1501,A653)</f>
        <v>159.320756655848</v>
      </c>
      <c r="C653" s="21" t="n">
        <f aca="false">(Config!$B$11-A653+1)/Config!$B$11</f>
        <v>0.568</v>
      </c>
    </row>
    <row r="654" customFormat="false" ht="15" hidden="false" customHeight="false" outlineLevel="0" collapsed="false">
      <c r="A654" s="2" t="n">
        <v>650</v>
      </c>
      <c r="B654" s="13" t="n">
        <f aca="false">SMALL(Datos!$D$2:$D$1501,A654)</f>
        <v>159.342164981118</v>
      </c>
      <c r="C654" s="21" t="n">
        <f aca="false">(Config!$B$11-A654+1)/Config!$B$11</f>
        <v>0.567333333333333</v>
      </c>
    </row>
    <row r="655" customFormat="false" ht="15" hidden="false" customHeight="false" outlineLevel="0" collapsed="false">
      <c r="A655" s="2" t="n">
        <v>651</v>
      </c>
      <c r="B655" s="13" t="n">
        <f aca="false">SMALL(Datos!$D$2:$D$1501,A655)</f>
        <v>159.356437197964</v>
      </c>
      <c r="C655" s="21" t="n">
        <f aca="false">(Config!$B$11-A655+1)/Config!$B$11</f>
        <v>0.566666666666667</v>
      </c>
    </row>
    <row r="656" customFormat="false" ht="15" hidden="false" customHeight="false" outlineLevel="0" collapsed="false">
      <c r="A656" s="2" t="n">
        <v>652</v>
      </c>
      <c r="B656" s="13" t="n">
        <f aca="false">SMALL(Datos!$D$2:$D$1501,A656)</f>
        <v>159.356437197964</v>
      </c>
      <c r="C656" s="21" t="n">
        <f aca="false">(Config!$B$11-A656+1)/Config!$B$11</f>
        <v>0.566</v>
      </c>
    </row>
    <row r="657" customFormat="false" ht="15" hidden="false" customHeight="false" outlineLevel="0" collapsed="false">
      <c r="A657" s="2" t="n">
        <v>653</v>
      </c>
      <c r="B657" s="13" t="n">
        <f aca="false">SMALL(Datos!$D$2:$D$1501,A657)</f>
        <v>159.360005252176</v>
      </c>
      <c r="C657" s="21" t="n">
        <f aca="false">(Config!$B$11-A657+1)/Config!$B$11</f>
        <v>0.565333333333333</v>
      </c>
    </row>
    <row r="658" customFormat="false" ht="15" hidden="false" customHeight="false" outlineLevel="0" collapsed="false">
      <c r="A658" s="2" t="n">
        <v>654</v>
      </c>
      <c r="B658" s="13" t="n">
        <f aca="false">SMALL(Datos!$D$2:$D$1501,A658)</f>
        <v>159.384981631657</v>
      </c>
      <c r="C658" s="21" t="n">
        <f aca="false">(Config!$B$11-A658+1)/Config!$B$11</f>
        <v>0.564666666666667</v>
      </c>
    </row>
    <row r="659" customFormat="false" ht="15" hidden="false" customHeight="false" outlineLevel="0" collapsed="false">
      <c r="A659" s="2" t="n">
        <v>655</v>
      </c>
      <c r="B659" s="13" t="n">
        <f aca="false">SMALL(Datos!$D$2:$D$1501,A659)</f>
        <v>159.39211774008</v>
      </c>
      <c r="C659" s="21" t="n">
        <f aca="false">(Config!$B$11-A659+1)/Config!$B$11</f>
        <v>0.564</v>
      </c>
    </row>
    <row r="660" customFormat="false" ht="15" hidden="false" customHeight="false" outlineLevel="0" collapsed="false">
      <c r="A660" s="2" t="n">
        <v>656</v>
      </c>
      <c r="B660" s="13" t="n">
        <f aca="false">SMALL(Datos!$D$2:$D$1501,A660)</f>
        <v>159.399253848503</v>
      </c>
      <c r="C660" s="21" t="n">
        <f aca="false">(Config!$B$11-A660+1)/Config!$B$11</f>
        <v>0.563333333333333</v>
      </c>
    </row>
    <row r="661" customFormat="false" ht="15" hidden="false" customHeight="false" outlineLevel="0" collapsed="false">
      <c r="A661" s="2" t="n">
        <v>657</v>
      </c>
      <c r="B661" s="13" t="n">
        <f aca="false">SMALL(Datos!$D$2:$D$1501,A661)</f>
        <v>159.402821902715</v>
      </c>
      <c r="C661" s="21" t="n">
        <f aca="false">(Config!$B$11-A661+1)/Config!$B$11</f>
        <v>0.562666666666667</v>
      </c>
    </row>
    <row r="662" customFormat="false" ht="15" hidden="false" customHeight="false" outlineLevel="0" collapsed="false">
      <c r="A662" s="2" t="n">
        <v>658</v>
      </c>
      <c r="B662" s="13" t="n">
        <f aca="false">SMALL(Datos!$D$2:$D$1501,A662)</f>
        <v>159.402821902715</v>
      </c>
      <c r="C662" s="21" t="n">
        <f aca="false">(Config!$B$11-A662+1)/Config!$B$11</f>
        <v>0.562</v>
      </c>
    </row>
    <row r="663" customFormat="false" ht="15" hidden="false" customHeight="false" outlineLevel="0" collapsed="false">
      <c r="A663" s="2" t="n">
        <v>659</v>
      </c>
      <c r="B663" s="13" t="n">
        <f aca="false">SMALL(Datos!$D$2:$D$1501,A663)</f>
        <v>159.409958011138</v>
      </c>
      <c r="C663" s="21" t="n">
        <f aca="false">(Config!$B$11-A663+1)/Config!$B$11</f>
        <v>0.561333333333333</v>
      </c>
    </row>
    <row r="664" customFormat="false" ht="15" hidden="false" customHeight="false" outlineLevel="0" collapsed="false">
      <c r="A664" s="2" t="n">
        <v>660</v>
      </c>
      <c r="B664" s="13" t="n">
        <f aca="false">SMALL(Datos!$D$2:$D$1501,A664)</f>
        <v>159.417094119561</v>
      </c>
      <c r="C664" s="21" t="n">
        <f aca="false">(Config!$B$11-A664+1)/Config!$B$11</f>
        <v>0.560666666666667</v>
      </c>
    </row>
    <row r="665" customFormat="false" ht="15" hidden="false" customHeight="false" outlineLevel="0" collapsed="false">
      <c r="A665" s="2" t="n">
        <v>661</v>
      </c>
      <c r="B665" s="13" t="n">
        <f aca="false">SMALL(Datos!$D$2:$D$1501,A665)</f>
        <v>159.424230227984</v>
      </c>
      <c r="C665" s="21" t="n">
        <f aca="false">(Config!$B$11-A665+1)/Config!$B$11</f>
        <v>0.56</v>
      </c>
    </row>
    <row r="666" customFormat="false" ht="15" hidden="false" customHeight="false" outlineLevel="0" collapsed="false">
      <c r="A666" s="2" t="n">
        <v>662</v>
      </c>
      <c r="B666" s="13" t="n">
        <f aca="false">SMALL(Datos!$D$2:$D$1501,A666)</f>
        <v>159.438502444831</v>
      </c>
      <c r="C666" s="21" t="n">
        <f aca="false">(Config!$B$11-A666+1)/Config!$B$11</f>
        <v>0.559333333333333</v>
      </c>
    </row>
    <row r="667" customFormat="false" ht="15" hidden="false" customHeight="false" outlineLevel="0" collapsed="false">
      <c r="A667" s="2" t="n">
        <v>663</v>
      </c>
      <c r="B667" s="13" t="n">
        <f aca="false">SMALL(Datos!$D$2:$D$1501,A667)</f>
        <v>159.442070499042</v>
      </c>
      <c r="C667" s="21" t="n">
        <f aca="false">(Config!$B$11-A667+1)/Config!$B$11</f>
        <v>0.558666666666667</v>
      </c>
    </row>
    <row r="668" customFormat="false" ht="15" hidden="false" customHeight="false" outlineLevel="0" collapsed="false">
      <c r="A668" s="2" t="n">
        <v>664</v>
      </c>
      <c r="B668" s="13" t="n">
        <f aca="false">SMALL(Datos!$D$2:$D$1501,A668)</f>
        <v>159.445638553254</v>
      </c>
      <c r="C668" s="21" t="n">
        <f aca="false">(Config!$B$11-A668+1)/Config!$B$11</f>
        <v>0.558</v>
      </c>
    </row>
    <row r="669" customFormat="false" ht="15" hidden="false" customHeight="false" outlineLevel="0" collapsed="false">
      <c r="A669" s="2" t="n">
        <v>665</v>
      </c>
      <c r="B669" s="13" t="n">
        <f aca="false">SMALL(Datos!$D$2:$D$1501,A669)</f>
        <v>159.452774661677</v>
      </c>
      <c r="C669" s="21" t="n">
        <f aca="false">(Config!$B$11-A669+1)/Config!$B$11</f>
        <v>0.557333333333333</v>
      </c>
    </row>
    <row r="670" customFormat="false" ht="15" hidden="false" customHeight="false" outlineLevel="0" collapsed="false">
      <c r="A670" s="2" t="n">
        <v>666</v>
      </c>
      <c r="B670" s="13" t="n">
        <f aca="false">SMALL(Datos!$D$2:$D$1501,A670)</f>
        <v>159.470614932735</v>
      </c>
      <c r="C670" s="21" t="n">
        <f aca="false">(Config!$B$11-A670+1)/Config!$B$11</f>
        <v>0.556666666666667</v>
      </c>
    </row>
    <row r="671" customFormat="false" ht="15" hidden="false" customHeight="false" outlineLevel="0" collapsed="false">
      <c r="A671" s="2" t="n">
        <v>667</v>
      </c>
      <c r="B671" s="13" t="n">
        <f aca="false">SMALL(Datos!$D$2:$D$1501,A671)</f>
        <v>159.474182986947</v>
      </c>
      <c r="C671" s="21" t="n">
        <f aca="false">(Config!$B$11-A671+1)/Config!$B$11</f>
        <v>0.556</v>
      </c>
    </row>
    <row r="672" customFormat="false" ht="15" hidden="false" customHeight="false" outlineLevel="0" collapsed="false">
      <c r="A672" s="2" t="n">
        <v>668</v>
      </c>
      <c r="B672" s="13" t="n">
        <f aca="false">SMALL(Datos!$D$2:$D$1501,A672)</f>
        <v>159.477751041158</v>
      </c>
      <c r="C672" s="21" t="n">
        <f aca="false">(Config!$B$11-A672+1)/Config!$B$11</f>
        <v>0.555333333333333</v>
      </c>
    </row>
    <row r="673" customFormat="false" ht="15" hidden="false" customHeight="false" outlineLevel="0" collapsed="false">
      <c r="A673" s="2" t="n">
        <v>669</v>
      </c>
      <c r="B673" s="13" t="n">
        <f aca="false">SMALL(Datos!$D$2:$D$1501,A673)</f>
        <v>159.524135745909</v>
      </c>
      <c r="C673" s="21" t="n">
        <f aca="false">(Config!$B$11-A673+1)/Config!$B$11</f>
        <v>0.554666666666667</v>
      </c>
    </row>
    <row r="674" customFormat="false" ht="15" hidden="false" customHeight="false" outlineLevel="0" collapsed="false">
      <c r="A674" s="2" t="n">
        <v>670</v>
      </c>
      <c r="B674" s="13" t="n">
        <f aca="false">SMALL(Datos!$D$2:$D$1501,A674)</f>
        <v>159.534839908544</v>
      </c>
      <c r="C674" s="21" t="n">
        <f aca="false">(Config!$B$11-A674+1)/Config!$B$11</f>
        <v>0.554</v>
      </c>
    </row>
    <row r="675" customFormat="false" ht="15" hidden="false" customHeight="false" outlineLevel="0" collapsed="false">
      <c r="A675" s="2" t="n">
        <v>671</v>
      </c>
      <c r="B675" s="13" t="n">
        <f aca="false">SMALL(Datos!$D$2:$D$1501,A675)</f>
        <v>159.552680179602</v>
      </c>
      <c r="C675" s="21" t="n">
        <f aca="false">(Config!$B$11-A675+1)/Config!$B$11</f>
        <v>0.553333333333333</v>
      </c>
    </row>
    <row r="676" customFormat="false" ht="15" hidden="false" customHeight="false" outlineLevel="0" collapsed="false">
      <c r="A676" s="2" t="n">
        <v>672</v>
      </c>
      <c r="B676" s="13" t="n">
        <f aca="false">SMALL(Datos!$D$2:$D$1501,A676)</f>
        <v>159.566952396448</v>
      </c>
      <c r="C676" s="21" t="n">
        <f aca="false">(Config!$B$11-A676+1)/Config!$B$11</f>
        <v>0.552666666666667</v>
      </c>
    </row>
    <row r="677" customFormat="false" ht="15" hidden="false" customHeight="false" outlineLevel="0" collapsed="false">
      <c r="A677" s="2" t="n">
        <v>673</v>
      </c>
      <c r="B677" s="13" t="n">
        <f aca="false">SMALL(Datos!$D$2:$D$1501,A677)</f>
        <v>159.57052045066</v>
      </c>
      <c r="C677" s="21" t="n">
        <f aca="false">(Config!$B$11-A677+1)/Config!$B$11</f>
        <v>0.552</v>
      </c>
    </row>
    <row r="678" customFormat="false" ht="15" hidden="false" customHeight="false" outlineLevel="0" collapsed="false">
      <c r="A678" s="2" t="n">
        <v>674</v>
      </c>
      <c r="B678" s="13" t="n">
        <f aca="false">SMALL(Datos!$D$2:$D$1501,A678)</f>
        <v>159.577656559083</v>
      </c>
      <c r="C678" s="21" t="n">
        <f aca="false">(Config!$B$11-A678+1)/Config!$B$11</f>
        <v>0.551333333333333</v>
      </c>
    </row>
    <row r="679" customFormat="false" ht="15" hidden="false" customHeight="false" outlineLevel="0" collapsed="false">
      <c r="A679" s="2" t="n">
        <v>675</v>
      </c>
      <c r="B679" s="13" t="n">
        <f aca="false">SMALL(Datos!$D$2:$D$1501,A679)</f>
        <v>159.602632938564</v>
      </c>
      <c r="C679" s="21" t="n">
        <f aca="false">(Config!$B$11-A679+1)/Config!$B$11</f>
        <v>0.550666666666667</v>
      </c>
    </row>
    <row r="680" customFormat="false" ht="15" hidden="false" customHeight="false" outlineLevel="0" collapsed="false">
      <c r="A680" s="2" t="n">
        <v>676</v>
      </c>
      <c r="B680" s="13" t="n">
        <f aca="false">SMALL(Datos!$D$2:$D$1501,A680)</f>
        <v>159.602632938564</v>
      </c>
      <c r="C680" s="21" t="n">
        <f aca="false">(Config!$B$11-A680+1)/Config!$B$11</f>
        <v>0.55</v>
      </c>
    </row>
    <row r="681" customFormat="false" ht="15" hidden="false" customHeight="false" outlineLevel="0" collapsed="false">
      <c r="A681" s="2" t="n">
        <v>677</v>
      </c>
      <c r="B681" s="13" t="n">
        <f aca="false">SMALL(Datos!$D$2:$D$1501,A681)</f>
        <v>159.606200992775</v>
      </c>
      <c r="C681" s="21" t="n">
        <f aca="false">(Config!$B$11-A681+1)/Config!$B$11</f>
        <v>0.549333333333333</v>
      </c>
    </row>
    <row r="682" customFormat="false" ht="15" hidden="false" customHeight="false" outlineLevel="0" collapsed="false">
      <c r="A682" s="2" t="n">
        <v>678</v>
      </c>
      <c r="B682" s="13" t="n">
        <f aca="false">SMALL(Datos!$D$2:$D$1501,A682)</f>
        <v>159.609769046987</v>
      </c>
      <c r="C682" s="21" t="n">
        <f aca="false">(Config!$B$11-A682+1)/Config!$B$11</f>
        <v>0.548666666666667</v>
      </c>
    </row>
    <row r="683" customFormat="false" ht="15" hidden="false" customHeight="false" outlineLevel="0" collapsed="false">
      <c r="A683" s="2" t="n">
        <v>679</v>
      </c>
      <c r="B683" s="13" t="n">
        <f aca="false">SMALL(Datos!$D$2:$D$1501,A683)</f>
        <v>159.634745426468</v>
      </c>
      <c r="C683" s="21" t="n">
        <f aca="false">(Config!$B$11-A683+1)/Config!$B$11</f>
        <v>0.548</v>
      </c>
    </row>
    <row r="684" customFormat="false" ht="15" hidden="false" customHeight="false" outlineLevel="0" collapsed="false">
      <c r="A684" s="2" t="n">
        <v>680</v>
      </c>
      <c r="B684" s="13" t="n">
        <f aca="false">SMALL(Datos!$D$2:$D$1501,A684)</f>
        <v>159.652585697526</v>
      </c>
      <c r="C684" s="21" t="n">
        <f aca="false">(Config!$B$11-A684+1)/Config!$B$11</f>
        <v>0.547333333333333</v>
      </c>
    </row>
    <row r="685" customFormat="false" ht="15" hidden="false" customHeight="false" outlineLevel="0" collapsed="false">
      <c r="A685" s="2" t="n">
        <v>681</v>
      </c>
      <c r="B685" s="13" t="n">
        <f aca="false">SMALL(Datos!$D$2:$D$1501,A685)</f>
        <v>159.659721805949</v>
      </c>
      <c r="C685" s="21" t="n">
        <f aca="false">(Config!$B$11-A685+1)/Config!$B$11</f>
        <v>0.546666666666667</v>
      </c>
    </row>
    <row r="686" customFormat="false" ht="15" hidden="false" customHeight="false" outlineLevel="0" collapsed="false">
      <c r="A686" s="2" t="n">
        <v>682</v>
      </c>
      <c r="B686" s="13" t="n">
        <f aca="false">SMALL(Datos!$D$2:$D$1501,A686)</f>
        <v>159.670425968584</v>
      </c>
      <c r="C686" s="21" t="n">
        <f aca="false">(Config!$B$11-A686+1)/Config!$B$11</f>
        <v>0.546</v>
      </c>
    </row>
    <row r="687" customFormat="false" ht="15" hidden="false" customHeight="false" outlineLevel="0" collapsed="false">
      <c r="A687" s="2" t="n">
        <v>683</v>
      </c>
      <c r="B687" s="13" t="n">
        <f aca="false">SMALL(Datos!$D$2:$D$1501,A687)</f>
        <v>159.68469818543</v>
      </c>
      <c r="C687" s="21" t="n">
        <f aca="false">(Config!$B$11-A687+1)/Config!$B$11</f>
        <v>0.545333333333333</v>
      </c>
    </row>
    <row r="688" customFormat="false" ht="15" hidden="false" customHeight="false" outlineLevel="0" collapsed="false">
      <c r="A688" s="2" t="n">
        <v>684</v>
      </c>
      <c r="B688" s="13" t="n">
        <f aca="false">SMALL(Datos!$D$2:$D$1501,A688)</f>
        <v>159.7061065107</v>
      </c>
      <c r="C688" s="21" t="n">
        <f aca="false">(Config!$B$11-A688+1)/Config!$B$11</f>
        <v>0.544666666666667</v>
      </c>
    </row>
    <row r="689" customFormat="false" ht="15" hidden="false" customHeight="false" outlineLevel="0" collapsed="false">
      <c r="A689" s="2" t="n">
        <v>685</v>
      </c>
      <c r="B689" s="13" t="n">
        <f aca="false">SMALL(Datos!$D$2:$D$1501,A689)</f>
        <v>159.709674564912</v>
      </c>
      <c r="C689" s="21" t="n">
        <f aca="false">(Config!$B$11-A689+1)/Config!$B$11</f>
        <v>0.544</v>
      </c>
    </row>
    <row r="690" customFormat="false" ht="15" hidden="false" customHeight="false" outlineLevel="0" collapsed="false">
      <c r="A690" s="2" t="n">
        <v>686</v>
      </c>
      <c r="B690" s="13" t="n">
        <f aca="false">SMALL(Datos!$D$2:$D$1501,A690)</f>
        <v>159.716810673335</v>
      </c>
      <c r="C690" s="21" t="n">
        <f aca="false">(Config!$B$11-A690+1)/Config!$B$11</f>
        <v>0.543333333333333</v>
      </c>
    </row>
    <row r="691" customFormat="false" ht="15" hidden="false" customHeight="false" outlineLevel="0" collapsed="false">
      <c r="A691" s="2" t="n">
        <v>687</v>
      </c>
      <c r="B691" s="13" t="n">
        <f aca="false">SMALL(Datos!$D$2:$D$1501,A691)</f>
        <v>159.731082890181</v>
      </c>
      <c r="C691" s="21" t="n">
        <f aca="false">(Config!$B$11-A691+1)/Config!$B$11</f>
        <v>0.542666666666667</v>
      </c>
    </row>
    <row r="692" customFormat="false" ht="15" hidden="false" customHeight="false" outlineLevel="0" collapsed="false">
      <c r="A692" s="2" t="n">
        <v>688</v>
      </c>
      <c r="B692" s="13" t="n">
        <f aca="false">SMALL(Datos!$D$2:$D$1501,A692)</f>
        <v>159.731082890181</v>
      </c>
      <c r="C692" s="21" t="n">
        <f aca="false">(Config!$B$11-A692+1)/Config!$B$11</f>
        <v>0.542</v>
      </c>
    </row>
    <row r="693" customFormat="false" ht="15" hidden="false" customHeight="false" outlineLevel="0" collapsed="false">
      <c r="A693" s="2" t="n">
        <v>689</v>
      </c>
      <c r="B693" s="13" t="n">
        <f aca="false">SMALL(Datos!$D$2:$D$1501,A693)</f>
        <v>159.741787052816</v>
      </c>
      <c r="C693" s="21" t="n">
        <f aca="false">(Config!$B$11-A693+1)/Config!$B$11</f>
        <v>0.541333333333333</v>
      </c>
    </row>
    <row r="694" customFormat="false" ht="15" hidden="false" customHeight="false" outlineLevel="0" collapsed="false">
      <c r="A694" s="2" t="n">
        <v>690</v>
      </c>
      <c r="B694" s="13" t="n">
        <f aca="false">SMALL(Datos!$D$2:$D$1501,A694)</f>
        <v>159.745355107027</v>
      </c>
      <c r="C694" s="21" t="n">
        <f aca="false">(Config!$B$11-A694+1)/Config!$B$11</f>
        <v>0.540666666666667</v>
      </c>
    </row>
    <row r="695" customFormat="false" ht="15" hidden="false" customHeight="false" outlineLevel="0" collapsed="false">
      <c r="A695" s="2" t="n">
        <v>691</v>
      </c>
      <c r="B695" s="13" t="n">
        <f aca="false">SMALL(Datos!$D$2:$D$1501,A695)</f>
        <v>159.77389954072</v>
      </c>
      <c r="C695" s="21" t="n">
        <f aca="false">(Config!$B$11-A695+1)/Config!$B$11</f>
        <v>0.54</v>
      </c>
    </row>
    <row r="696" customFormat="false" ht="15" hidden="false" customHeight="false" outlineLevel="0" collapsed="false">
      <c r="A696" s="2" t="n">
        <v>692</v>
      </c>
      <c r="B696" s="13" t="n">
        <f aca="false">SMALL(Datos!$D$2:$D$1501,A696)</f>
        <v>159.777467594932</v>
      </c>
      <c r="C696" s="21" t="n">
        <f aca="false">(Config!$B$11-A696+1)/Config!$B$11</f>
        <v>0.539333333333333</v>
      </c>
    </row>
    <row r="697" customFormat="false" ht="15" hidden="false" customHeight="false" outlineLevel="0" collapsed="false">
      <c r="A697" s="2" t="n">
        <v>693</v>
      </c>
      <c r="B697" s="13" t="n">
        <f aca="false">SMALL(Datos!$D$2:$D$1501,A697)</f>
        <v>159.784603703355</v>
      </c>
      <c r="C697" s="21" t="n">
        <f aca="false">(Config!$B$11-A697+1)/Config!$B$11</f>
        <v>0.538666666666667</v>
      </c>
    </row>
    <row r="698" customFormat="false" ht="15" hidden="false" customHeight="false" outlineLevel="0" collapsed="false">
      <c r="A698" s="2" t="n">
        <v>694</v>
      </c>
      <c r="B698" s="13" t="n">
        <f aca="false">SMALL(Datos!$D$2:$D$1501,A698)</f>
        <v>159.79530786599</v>
      </c>
      <c r="C698" s="21" t="n">
        <f aca="false">(Config!$B$11-A698+1)/Config!$B$11</f>
        <v>0.538</v>
      </c>
    </row>
    <row r="699" customFormat="false" ht="15" hidden="false" customHeight="false" outlineLevel="0" collapsed="false">
      <c r="A699" s="2" t="n">
        <v>695</v>
      </c>
      <c r="B699" s="13" t="n">
        <f aca="false">SMALL(Datos!$D$2:$D$1501,A699)</f>
        <v>159.79530786599</v>
      </c>
      <c r="C699" s="21" t="n">
        <f aca="false">(Config!$B$11-A699+1)/Config!$B$11</f>
        <v>0.537333333333333</v>
      </c>
    </row>
    <row r="700" customFormat="false" ht="15" hidden="false" customHeight="false" outlineLevel="0" collapsed="false">
      <c r="A700" s="2" t="n">
        <v>696</v>
      </c>
      <c r="B700" s="13" t="n">
        <f aca="false">SMALL(Datos!$D$2:$D$1501,A700)</f>
        <v>159.806012028624</v>
      </c>
      <c r="C700" s="21" t="n">
        <f aca="false">(Config!$B$11-A700+1)/Config!$B$11</f>
        <v>0.536666666666667</v>
      </c>
    </row>
    <row r="701" customFormat="false" ht="15" hidden="false" customHeight="false" outlineLevel="0" collapsed="false">
      <c r="A701" s="2" t="n">
        <v>697</v>
      </c>
      <c r="B701" s="13" t="n">
        <f aca="false">SMALL(Datos!$D$2:$D$1501,A701)</f>
        <v>159.823852299682</v>
      </c>
      <c r="C701" s="21" t="n">
        <f aca="false">(Config!$B$11-A701+1)/Config!$B$11</f>
        <v>0.536</v>
      </c>
    </row>
    <row r="702" customFormat="false" ht="15" hidden="false" customHeight="false" outlineLevel="0" collapsed="false">
      <c r="A702" s="2" t="n">
        <v>698</v>
      </c>
      <c r="B702" s="13" t="n">
        <f aca="false">SMALL(Datos!$D$2:$D$1501,A702)</f>
        <v>159.823852299682</v>
      </c>
      <c r="C702" s="21" t="n">
        <f aca="false">(Config!$B$11-A702+1)/Config!$B$11</f>
        <v>0.535333333333333</v>
      </c>
    </row>
    <row r="703" customFormat="false" ht="15" hidden="false" customHeight="false" outlineLevel="0" collapsed="false">
      <c r="A703" s="2" t="n">
        <v>699</v>
      </c>
      <c r="B703" s="13" t="n">
        <f aca="false">SMALL(Datos!$D$2:$D$1501,A703)</f>
        <v>159.838124516529</v>
      </c>
      <c r="C703" s="21" t="n">
        <f aca="false">(Config!$B$11-A703+1)/Config!$B$11</f>
        <v>0.534666666666667</v>
      </c>
    </row>
    <row r="704" customFormat="false" ht="15" hidden="false" customHeight="false" outlineLevel="0" collapsed="false">
      <c r="A704" s="2" t="n">
        <v>700</v>
      </c>
      <c r="B704" s="13" t="n">
        <f aca="false">SMALL(Datos!$D$2:$D$1501,A704)</f>
        <v>159.84169257074</v>
      </c>
      <c r="C704" s="21" t="n">
        <f aca="false">(Config!$B$11-A704+1)/Config!$B$11</f>
        <v>0.534</v>
      </c>
    </row>
    <row r="705" customFormat="false" ht="15" hidden="false" customHeight="false" outlineLevel="0" collapsed="false">
      <c r="A705" s="2" t="n">
        <v>701</v>
      </c>
      <c r="B705" s="13" t="n">
        <f aca="false">SMALL(Datos!$D$2:$D$1501,A705)</f>
        <v>159.845260624952</v>
      </c>
      <c r="C705" s="21" t="n">
        <f aca="false">(Config!$B$11-A705+1)/Config!$B$11</f>
        <v>0.533333333333333</v>
      </c>
    </row>
    <row r="706" customFormat="false" ht="15" hidden="false" customHeight="false" outlineLevel="0" collapsed="false">
      <c r="A706" s="2" t="n">
        <v>702</v>
      </c>
      <c r="B706" s="13" t="n">
        <f aca="false">SMALL(Datos!$D$2:$D$1501,A706)</f>
        <v>159.852396733375</v>
      </c>
      <c r="C706" s="21" t="n">
        <f aca="false">(Config!$B$11-A706+1)/Config!$B$11</f>
        <v>0.532666666666667</v>
      </c>
    </row>
    <row r="707" customFormat="false" ht="15" hidden="false" customHeight="false" outlineLevel="0" collapsed="false">
      <c r="A707" s="2" t="n">
        <v>703</v>
      </c>
      <c r="B707" s="13" t="n">
        <f aca="false">SMALL(Datos!$D$2:$D$1501,A707)</f>
        <v>159.855964787587</v>
      </c>
      <c r="C707" s="21" t="n">
        <f aca="false">(Config!$B$11-A707+1)/Config!$B$11</f>
        <v>0.532</v>
      </c>
    </row>
    <row r="708" customFormat="false" ht="15" hidden="false" customHeight="false" outlineLevel="0" collapsed="false">
      <c r="A708" s="2" t="n">
        <v>704</v>
      </c>
      <c r="B708" s="13" t="n">
        <f aca="false">SMALL(Datos!$D$2:$D$1501,A708)</f>
        <v>159.877373112856</v>
      </c>
      <c r="C708" s="21" t="n">
        <f aca="false">(Config!$B$11-A708+1)/Config!$B$11</f>
        <v>0.531333333333333</v>
      </c>
    </row>
    <row r="709" customFormat="false" ht="15" hidden="false" customHeight="false" outlineLevel="0" collapsed="false">
      <c r="A709" s="2" t="n">
        <v>705</v>
      </c>
      <c r="B709" s="13" t="n">
        <f aca="false">SMALL(Datos!$D$2:$D$1501,A709)</f>
        <v>159.891645329703</v>
      </c>
      <c r="C709" s="21" t="n">
        <f aca="false">(Config!$B$11-A709+1)/Config!$B$11</f>
        <v>0.530666666666667</v>
      </c>
    </row>
    <row r="710" customFormat="false" ht="15" hidden="false" customHeight="false" outlineLevel="0" collapsed="false">
      <c r="A710" s="2" t="n">
        <v>706</v>
      </c>
      <c r="B710" s="13" t="n">
        <f aca="false">SMALL(Datos!$D$2:$D$1501,A710)</f>
        <v>159.895213383914</v>
      </c>
      <c r="C710" s="21" t="n">
        <f aca="false">(Config!$B$11-A710+1)/Config!$B$11</f>
        <v>0.53</v>
      </c>
    </row>
    <row r="711" customFormat="false" ht="15" hidden="false" customHeight="false" outlineLevel="0" collapsed="false">
      <c r="A711" s="2" t="n">
        <v>707</v>
      </c>
      <c r="B711" s="13" t="n">
        <f aca="false">SMALL(Datos!$D$2:$D$1501,A711)</f>
        <v>159.902349492337</v>
      </c>
      <c r="C711" s="21" t="n">
        <f aca="false">(Config!$B$11-A711+1)/Config!$B$11</f>
        <v>0.529333333333333</v>
      </c>
    </row>
    <row r="712" customFormat="false" ht="15" hidden="false" customHeight="false" outlineLevel="0" collapsed="false">
      <c r="A712" s="2" t="n">
        <v>708</v>
      </c>
      <c r="B712" s="13" t="n">
        <f aca="false">SMALL(Datos!$D$2:$D$1501,A712)</f>
        <v>159.905917546549</v>
      </c>
      <c r="C712" s="21" t="n">
        <f aca="false">(Config!$B$11-A712+1)/Config!$B$11</f>
        <v>0.528666666666667</v>
      </c>
    </row>
    <row r="713" customFormat="false" ht="15" hidden="false" customHeight="false" outlineLevel="0" collapsed="false">
      <c r="A713" s="2" t="n">
        <v>709</v>
      </c>
      <c r="B713" s="13" t="n">
        <f aca="false">SMALL(Datos!$D$2:$D$1501,A713)</f>
        <v>159.913053654972</v>
      </c>
      <c r="C713" s="21" t="n">
        <f aca="false">(Config!$B$11-A713+1)/Config!$B$11</f>
        <v>0.528</v>
      </c>
    </row>
    <row r="714" customFormat="false" ht="15" hidden="false" customHeight="false" outlineLevel="0" collapsed="false">
      <c r="A714" s="2" t="n">
        <v>710</v>
      </c>
      <c r="B714" s="13" t="n">
        <f aca="false">SMALL(Datos!$D$2:$D$1501,A714)</f>
        <v>159.93089392603</v>
      </c>
      <c r="C714" s="21" t="n">
        <f aca="false">(Config!$B$11-A714+1)/Config!$B$11</f>
        <v>0.527333333333333</v>
      </c>
    </row>
    <row r="715" customFormat="false" ht="15" hidden="false" customHeight="false" outlineLevel="0" collapsed="false">
      <c r="A715" s="2" t="n">
        <v>711</v>
      </c>
      <c r="B715" s="13" t="n">
        <f aca="false">SMALL(Datos!$D$2:$D$1501,A715)</f>
        <v>159.945166142876</v>
      </c>
      <c r="C715" s="21" t="n">
        <f aca="false">(Config!$B$11-A715+1)/Config!$B$11</f>
        <v>0.526666666666667</v>
      </c>
    </row>
    <row r="716" customFormat="false" ht="15" hidden="false" customHeight="false" outlineLevel="0" collapsed="false">
      <c r="A716" s="2" t="n">
        <v>712</v>
      </c>
      <c r="B716" s="13" t="n">
        <f aca="false">SMALL(Datos!$D$2:$D$1501,A716)</f>
        <v>159.948734197088</v>
      </c>
      <c r="C716" s="21" t="n">
        <f aca="false">(Config!$B$11-A716+1)/Config!$B$11</f>
        <v>0.526</v>
      </c>
    </row>
    <row r="717" customFormat="false" ht="15" hidden="false" customHeight="false" outlineLevel="0" collapsed="false">
      <c r="A717" s="2" t="n">
        <v>713</v>
      </c>
      <c r="B717" s="13" t="n">
        <f aca="false">SMALL(Datos!$D$2:$D$1501,A717)</f>
        <v>159.955870305511</v>
      </c>
      <c r="C717" s="21" t="n">
        <f aca="false">(Config!$B$11-A717+1)/Config!$B$11</f>
        <v>0.525333333333333</v>
      </c>
    </row>
    <row r="718" customFormat="false" ht="15" hidden="false" customHeight="false" outlineLevel="0" collapsed="false">
      <c r="A718" s="2" t="n">
        <v>714</v>
      </c>
      <c r="B718" s="13" t="n">
        <f aca="false">SMALL(Datos!$D$2:$D$1501,A718)</f>
        <v>159.966574468146</v>
      </c>
      <c r="C718" s="21" t="n">
        <f aca="false">(Config!$B$11-A718+1)/Config!$B$11</f>
        <v>0.524666666666667</v>
      </c>
    </row>
    <row r="719" customFormat="false" ht="15" hidden="false" customHeight="false" outlineLevel="0" collapsed="false">
      <c r="A719" s="2" t="n">
        <v>715</v>
      </c>
      <c r="B719" s="13" t="n">
        <f aca="false">SMALL(Datos!$D$2:$D$1501,A719)</f>
        <v>159.977278630781</v>
      </c>
      <c r="C719" s="21" t="n">
        <f aca="false">(Config!$B$11-A719+1)/Config!$B$11</f>
        <v>0.524</v>
      </c>
    </row>
    <row r="720" customFormat="false" ht="15" hidden="false" customHeight="false" outlineLevel="0" collapsed="false">
      <c r="A720" s="2" t="n">
        <v>716</v>
      </c>
      <c r="B720" s="13" t="n">
        <f aca="false">SMALL(Datos!$D$2:$D$1501,A720)</f>
        <v>159.984414739204</v>
      </c>
      <c r="C720" s="21" t="n">
        <f aca="false">(Config!$B$11-A720+1)/Config!$B$11</f>
        <v>0.523333333333333</v>
      </c>
    </row>
    <row r="721" customFormat="false" ht="15" hidden="false" customHeight="false" outlineLevel="0" collapsed="false">
      <c r="A721" s="2" t="n">
        <v>717</v>
      </c>
      <c r="B721" s="13" t="n">
        <f aca="false">SMALL(Datos!$D$2:$D$1501,A721)</f>
        <v>159.984414739204</v>
      </c>
      <c r="C721" s="21" t="n">
        <f aca="false">(Config!$B$11-A721+1)/Config!$B$11</f>
        <v>0.522666666666667</v>
      </c>
    </row>
    <row r="722" customFormat="false" ht="15" hidden="false" customHeight="false" outlineLevel="0" collapsed="false">
      <c r="A722" s="2" t="n">
        <v>718</v>
      </c>
      <c r="B722" s="13" t="n">
        <f aca="false">SMALL(Datos!$D$2:$D$1501,A722)</f>
        <v>159.987982793415</v>
      </c>
      <c r="C722" s="21" t="n">
        <f aca="false">(Config!$B$11-A722+1)/Config!$B$11</f>
        <v>0.522</v>
      </c>
    </row>
    <row r="723" customFormat="false" ht="15" hidden="false" customHeight="false" outlineLevel="0" collapsed="false">
      <c r="A723" s="2" t="n">
        <v>719</v>
      </c>
      <c r="B723" s="13" t="n">
        <f aca="false">SMALL(Datos!$D$2:$D$1501,A723)</f>
        <v>159.995118901839</v>
      </c>
      <c r="C723" s="21" t="n">
        <f aca="false">(Config!$B$11-A723+1)/Config!$B$11</f>
        <v>0.521333333333333</v>
      </c>
    </row>
    <row r="724" customFormat="false" ht="15" hidden="false" customHeight="false" outlineLevel="0" collapsed="false">
      <c r="A724" s="2" t="n">
        <v>720</v>
      </c>
      <c r="B724" s="13" t="n">
        <f aca="false">SMALL(Datos!$D$2:$D$1501,A724)</f>
        <v>159.995118901839</v>
      </c>
      <c r="C724" s="21" t="n">
        <f aca="false">(Config!$B$11-A724+1)/Config!$B$11</f>
        <v>0.520666666666667</v>
      </c>
    </row>
    <row r="725" customFormat="false" ht="15" hidden="false" customHeight="false" outlineLevel="0" collapsed="false">
      <c r="A725" s="2" t="n">
        <v>721</v>
      </c>
      <c r="B725" s="13" t="n">
        <f aca="false">SMALL(Datos!$D$2:$D$1501,A725)</f>
        <v>160.002255010262</v>
      </c>
      <c r="C725" s="21" t="n">
        <f aca="false">(Config!$B$11-A725+1)/Config!$B$11</f>
        <v>0.52</v>
      </c>
    </row>
    <row r="726" customFormat="false" ht="15" hidden="false" customHeight="false" outlineLevel="0" collapsed="false">
      <c r="A726" s="2" t="n">
        <v>722</v>
      </c>
      <c r="B726" s="13" t="n">
        <f aca="false">SMALL(Datos!$D$2:$D$1501,A726)</f>
        <v>160.002255010262</v>
      </c>
      <c r="C726" s="21" t="n">
        <f aca="false">(Config!$B$11-A726+1)/Config!$B$11</f>
        <v>0.519333333333333</v>
      </c>
    </row>
    <row r="727" customFormat="false" ht="15" hidden="false" customHeight="false" outlineLevel="0" collapsed="false">
      <c r="A727" s="2" t="n">
        <v>723</v>
      </c>
      <c r="B727" s="13" t="n">
        <f aca="false">SMALL(Datos!$D$2:$D$1501,A727)</f>
        <v>160.005823064473</v>
      </c>
      <c r="C727" s="21" t="n">
        <f aca="false">(Config!$B$11-A727+1)/Config!$B$11</f>
        <v>0.518666666666667</v>
      </c>
    </row>
    <row r="728" customFormat="false" ht="15" hidden="false" customHeight="false" outlineLevel="0" collapsed="false">
      <c r="A728" s="2" t="n">
        <v>724</v>
      </c>
      <c r="B728" s="13" t="n">
        <f aca="false">SMALL(Datos!$D$2:$D$1501,A728)</f>
        <v>160.009391118685</v>
      </c>
      <c r="C728" s="21" t="n">
        <f aca="false">(Config!$B$11-A728+1)/Config!$B$11</f>
        <v>0.518</v>
      </c>
    </row>
    <row r="729" customFormat="false" ht="15" hidden="false" customHeight="false" outlineLevel="0" collapsed="false">
      <c r="A729" s="2" t="n">
        <v>725</v>
      </c>
      <c r="B729" s="13" t="n">
        <f aca="false">SMALL(Datos!$D$2:$D$1501,A729)</f>
        <v>160.009391118685</v>
      </c>
      <c r="C729" s="21" t="n">
        <f aca="false">(Config!$B$11-A729+1)/Config!$B$11</f>
        <v>0.517333333333333</v>
      </c>
    </row>
    <row r="730" customFormat="false" ht="15" hidden="false" customHeight="false" outlineLevel="0" collapsed="false">
      <c r="A730" s="2" t="n">
        <v>726</v>
      </c>
      <c r="B730" s="13" t="n">
        <f aca="false">SMALL(Datos!$D$2:$D$1501,A730)</f>
        <v>160.023663335531</v>
      </c>
      <c r="C730" s="21" t="n">
        <f aca="false">(Config!$B$11-A730+1)/Config!$B$11</f>
        <v>0.516666666666667</v>
      </c>
    </row>
    <row r="731" customFormat="false" ht="15" hidden="false" customHeight="false" outlineLevel="0" collapsed="false">
      <c r="A731" s="2" t="n">
        <v>727</v>
      </c>
      <c r="B731" s="13" t="n">
        <f aca="false">SMALL(Datos!$D$2:$D$1501,A731)</f>
        <v>160.037935552378</v>
      </c>
      <c r="C731" s="21" t="n">
        <f aca="false">(Config!$B$11-A731+1)/Config!$B$11</f>
        <v>0.516</v>
      </c>
    </row>
    <row r="732" customFormat="false" ht="15" hidden="false" customHeight="false" outlineLevel="0" collapsed="false">
      <c r="A732" s="2" t="n">
        <v>728</v>
      </c>
      <c r="B732" s="13" t="n">
        <f aca="false">SMALL(Datos!$D$2:$D$1501,A732)</f>
        <v>160.045071660801</v>
      </c>
      <c r="C732" s="21" t="n">
        <f aca="false">(Config!$B$11-A732+1)/Config!$B$11</f>
        <v>0.515333333333333</v>
      </c>
    </row>
    <row r="733" customFormat="false" ht="15" hidden="false" customHeight="false" outlineLevel="0" collapsed="false">
      <c r="A733" s="2" t="n">
        <v>729</v>
      </c>
      <c r="B733" s="13" t="n">
        <f aca="false">SMALL(Datos!$D$2:$D$1501,A733)</f>
        <v>160.052207769224</v>
      </c>
      <c r="C733" s="21" t="n">
        <f aca="false">(Config!$B$11-A733+1)/Config!$B$11</f>
        <v>0.514666666666667</v>
      </c>
    </row>
    <row r="734" customFormat="false" ht="15" hidden="false" customHeight="false" outlineLevel="0" collapsed="false">
      <c r="A734" s="2" t="n">
        <v>730</v>
      </c>
      <c r="B734" s="13" t="n">
        <f aca="false">SMALL(Datos!$D$2:$D$1501,A734)</f>
        <v>160.055775823436</v>
      </c>
      <c r="C734" s="21" t="n">
        <f aca="false">(Config!$B$11-A734+1)/Config!$B$11</f>
        <v>0.514</v>
      </c>
    </row>
    <row r="735" customFormat="false" ht="15" hidden="false" customHeight="false" outlineLevel="0" collapsed="false">
      <c r="A735" s="2" t="n">
        <v>731</v>
      </c>
      <c r="B735" s="13" t="n">
        <f aca="false">SMALL(Datos!$D$2:$D$1501,A735)</f>
        <v>160.070048040282</v>
      </c>
      <c r="C735" s="21" t="n">
        <f aca="false">(Config!$B$11-A735+1)/Config!$B$11</f>
        <v>0.513333333333333</v>
      </c>
    </row>
    <row r="736" customFormat="false" ht="15" hidden="false" customHeight="false" outlineLevel="0" collapsed="false">
      <c r="A736" s="2" t="n">
        <v>732</v>
      </c>
      <c r="B736" s="13" t="n">
        <f aca="false">SMALL(Datos!$D$2:$D$1501,A736)</f>
        <v>160.080752202917</v>
      </c>
      <c r="C736" s="21" t="n">
        <f aca="false">(Config!$B$11-A736+1)/Config!$B$11</f>
        <v>0.512666666666667</v>
      </c>
    </row>
    <row r="737" customFormat="false" ht="15" hidden="false" customHeight="false" outlineLevel="0" collapsed="false">
      <c r="A737" s="2" t="n">
        <v>733</v>
      </c>
      <c r="B737" s="13" t="n">
        <f aca="false">SMALL(Datos!$D$2:$D$1501,A737)</f>
        <v>160.084320257128</v>
      </c>
      <c r="C737" s="21" t="n">
        <f aca="false">(Config!$B$11-A737+1)/Config!$B$11</f>
        <v>0.512</v>
      </c>
    </row>
    <row r="738" customFormat="false" ht="15" hidden="false" customHeight="false" outlineLevel="0" collapsed="false">
      <c r="A738" s="2" t="n">
        <v>734</v>
      </c>
      <c r="B738" s="13" t="n">
        <f aca="false">SMALL(Datos!$D$2:$D$1501,A738)</f>
        <v>160.091456365551</v>
      </c>
      <c r="C738" s="21" t="n">
        <f aca="false">(Config!$B$11-A738+1)/Config!$B$11</f>
        <v>0.511333333333333</v>
      </c>
    </row>
    <row r="739" customFormat="false" ht="15" hidden="false" customHeight="false" outlineLevel="0" collapsed="false">
      <c r="A739" s="2" t="n">
        <v>735</v>
      </c>
      <c r="B739" s="13" t="n">
        <f aca="false">SMALL(Datos!$D$2:$D$1501,A739)</f>
        <v>160.095024419763</v>
      </c>
      <c r="C739" s="21" t="n">
        <f aca="false">(Config!$B$11-A739+1)/Config!$B$11</f>
        <v>0.510666666666667</v>
      </c>
    </row>
    <row r="740" customFormat="false" ht="15" hidden="false" customHeight="false" outlineLevel="0" collapsed="false">
      <c r="A740" s="2" t="n">
        <v>736</v>
      </c>
      <c r="B740" s="13" t="n">
        <f aca="false">SMALL(Datos!$D$2:$D$1501,A740)</f>
        <v>160.112864690821</v>
      </c>
      <c r="C740" s="21" t="n">
        <f aca="false">(Config!$B$11-A740+1)/Config!$B$11</f>
        <v>0.51</v>
      </c>
    </row>
    <row r="741" customFormat="false" ht="15" hidden="false" customHeight="false" outlineLevel="0" collapsed="false">
      <c r="A741" s="2" t="n">
        <v>737</v>
      </c>
      <c r="B741" s="13" t="n">
        <f aca="false">SMALL(Datos!$D$2:$D$1501,A741)</f>
        <v>160.120000799244</v>
      </c>
      <c r="C741" s="21" t="n">
        <f aca="false">(Config!$B$11-A741+1)/Config!$B$11</f>
        <v>0.509333333333333</v>
      </c>
    </row>
    <row r="742" customFormat="false" ht="15" hidden="false" customHeight="false" outlineLevel="0" collapsed="false">
      <c r="A742" s="2" t="n">
        <v>738</v>
      </c>
      <c r="B742" s="13" t="n">
        <f aca="false">SMALL(Datos!$D$2:$D$1501,A742)</f>
        <v>160.127136907667</v>
      </c>
      <c r="C742" s="21" t="n">
        <f aca="false">(Config!$B$11-A742+1)/Config!$B$11</f>
        <v>0.508666666666667</v>
      </c>
    </row>
    <row r="743" customFormat="false" ht="15" hidden="false" customHeight="false" outlineLevel="0" collapsed="false">
      <c r="A743" s="2" t="n">
        <v>739</v>
      </c>
      <c r="B743" s="13" t="n">
        <f aca="false">SMALL(Datos!$D$2:$D$1501,A743)</f>
        <v>160.134273016091</v>
      </c>
      <c r="C743" s="21" t="n">
        <f aca="false">(Config!$B$11-A743+1)/Config!$B$11</f>
        <v>0.508</v>
      </c>
    </row>
    <row r="744" customFormat="false" ht="15" hidden="false" customHeight="false" outlineLevel="0" collapsed="false">
      <c r="A744" s="2" t="n">
        <v>740</v>
      </c>
      <c r="B744" s="13" t="n">
        <f aca="false">SMALL(Datos!$D$2:$D$1501,A744)</f>
        <v>160.159249395572</v>
      </c>
      <c r="C744" s="21" t="n">
        <f aca="false">(Config!$B$11-A744+1)/Config!$B$11</f>
        <v>0.507333333333333</v>
      </c>
    </row>
    <row r="745" customFormat="false" ht="15" hidden="false" customHeight="false" outlineLevel="0" collapsed="false">
      <c r="A745" s="2" t="n">
        <v>741</v>
      </c>
      <c r="B745" s="13" t="n">
        <f aca="false">SMALL(Datos!$D$2:$D$1501,A745)</f>
        <v>160.162817449783</v>
      </c>
      <c r="C745" s="21" t="n">
        <f aca="false">(Config!$B$11-A745+1)/Config!$B$11</f>
        <v>0.506666666666667</v>
      </c>
    </row>
    <row r="746" customFormat="false" ht="15" hidden="false" customHeight="false" outlineLevel="0" collapsed="false">
      <c r="A746" s="2" t="n">
        <v>742</v>
      </c>
      <c r="B746" s="13" t="n">
        <f aca="false">SMALL(Datos!$D$2:$D$1501,A746)</f>
        <v>160.17708966663</v>
      </c>
      <c r="C746" s="21" t="n">
        <f aca="false">(Config!$B$11-A746+1)/Config!$B$11</f>
        <v>0.506</v>
      </c>
    </row>
    <row r="747" customFormat="false" ht="15" hidden="false" customHeight="false" outlineLevel="0" collapsed="false">
      <c r="A747" s="2" t="n">
        <v>743</v>
      </c>
      <c r="B747" s="13" t="n">
        <f aca="false">SMALL(Datos!$D$2:$D$1501,A747)</f>
        <v>160.187793829264</v>
      </c>
      <c r="C747" s="21" t="n">
        <f aca="false">(Config!$B$11-A747+1)/Config!$B$11</f>
        <v>0.505333333333333</v>
      </c>
    </row>
    <row r="748" customFormat="false" ht="15" hidden="false" customHeight="false" outlineLevel="0" collapsed="false">
      <c r="A748" s="2" t="n">
        <v>744</v>
      </c>
      <c r="B748" s="13" t="n">
        <f aca="false">SMALL(Datos!$D$2:$D$1501,A748)</f>
        <v>160.187793829264</v>
      </c>
      <c r="C748" s="21" t="n">
        <f aca="false">(Config!$B$11-A748+1)/Config!$B$11</f>
        <v>0.504666666666667</v>
      </c>
    </row>
    <row r="749" customFormat="false" ht="15" hidden="false" customHeight="false" outlineLevel="0" collapsed="false">
      <c r="A749" s="2" t="n">
        <v>745</v>
      </c>
      <c r="B749" s="13" t="n">
        <f aca="false">SMALL(Datos!$D$2:$D$1501,A749)</f>
        <v>160.22347437138</v>
      </c>
      <c r="C749" s="21" t="n">
        <f aca="false">(Config!$B$11-A749+1)/Config!$B$11</f>
        <v>0.504</v>
      </c>
    </row>
    <row r="750" customFormat="false" ht="15" hidden="false" customHeight="false" outlineLevel="0" collapsed="false">
      <c r="A750" s="2" t="n">
        <v>746</v>
      </c>
      <c r="B750" s="13" t="n">
        <f aca="false">SMALL(Datos!$D$2:$D$1501,A750)</f>
        <v>160.227042425592</v>
      </c>
      <c r="C750" s="21" t="n">
        <f aca="false">(Config!$B$11-A750+1)/Config!$B$11</f>
        <v>0.503333333333333</v>
      </c>
    </row>
    <row r="751" customFormat="false" ht="15" hidden="false" customHeight="false" outlineLevel="0" collapsed="false">
      <c r="A751" s="2" t="n">
        <v>747</v>
      </c>
      <c r="B751" s="13" t="n">
        <f aca="false">SMALL(Datos!$D$2:$D$1501,A751)</f>
        <v>160.230610479803</v>
      </c>
      <c r="C751" s="21" t="n">
        <f aca="false">(Config!$B$11-A751+1)/Config!$B$11</f>
        <v>0.502666666666667</v>
      </c>
    </row>
    <row r="752" customFormat="false" ht="15" hidden="false" customHeight="false" outlineLevel="0" collapsed="false">
      <c r="A752" s="2" t="n">
        <v>748</v>
      </c>
      <c r="B752" s="13" t="n">
        <f aca="false">SMALL(Datos!$D$2:$D$1501,A752)</f>
        <v>160.237746588227</v>
      </c>
      <c r="C752" s="21" t="n">
        <f aca="false">(Config!$B$11-A752+1)/Config!$B$11</f>
        <v>0.502</v>
      </c>
    </row>
    <row r="753" customFormat="false" ht="15" hidden="false" customHeight="false" outlineLevel="0" collapsed="false">
      <c r="A753" s="2" t="n">
        <v>749</v>
      </c>
      <c r="B753" s="13" t="n">
        <f aca="false">SMALL(Datos!$D$2:$D$1501,A753)</f>
        <v>160.241314642438</v>
      </c>
      <c r="C753" s="21" t="n">
        <f aca="false">(Config!$B$11-A753+1)/Config!$B$11</f>
        <v>0.501333333333333</v>
      </c>
    </row>
    <row r="754" customFormat="false" ht="15" hidden="false" customHeight="false" outlineLevel="0" collapsed="false">
      <c r="A754" s="2" t="n">
        <v>750</v>
      </c>
      <c r="B754" s="13" t="n">
        <f aca="false">SMALL(Datos!$D$2:$D$1501,A754)</f>
        <v>160.241314642438</v>
      </c>
      <c r="C754" s="21" t="n">
        <f aca="false">(Config!$B$11-A754+1)/Config!$B$11</f>
        <v>0.500666666666667</v>
      </c>
    </row>
    <row r="755" customFormat="false" ht="15" hidden="false" customHeight="false" outlineLevel="0" collapsed="false">
      <c r="A755" s="2" t="n">
        <v>751</v>
      </c>
      <c r="B755" s="13" t="n">
        <f aca="false">SMALL(Datos!$D$2:$D$1501,A755)</f>
        <v>160.24488269665</v>
      </c>
      <c r="C755" s="21" t="n">
        <f aca="false">(Config!$B$11-A755+1)/Config!$B$11</f>
        <v>0.5</v>
      </c>
    </row>
    <row r="756" customFormat="false" ht="15" hidden="false" customHeight="false" outlineLevel="0" collapsed="false">
      <c r="A756" s="2" t="n">
        <v>752</v>
      </c>
      <c r="B756" s="13" t="n">
        <f aca="false">SMALL(Datos!$D$2:$D$1501,A756)</f>
        <v>160.24488269665</v>
      </c>
      <c r="C756" s="21" t="n">
        <f aca="false">(Config!$B$11-A756+1)/Config!$B$11</f>
        <v>0.499333333333333</v>
      </c>
    </row>
    <row r="757" customFormat="false" ht="15" hidden="false" customHeight="false" outlineLevel="0" collapsed="false">
      <c r="A757" s="2" t="n">
        <v>753</v>
      </c>
      <c r="B757" s="13" t="n">
        <f aca="false">SMALL(Datos!$D$2:$D$1501,A757)</f>
        <v>160.259154913496</v>
      </c>
      <c r="C757" s="21" t="n">
        <f aca="false">(Config!$B$11-A757+1)/Config!$B$11</f>
        <v>0.498666666666667</v>
      </c>
    </row>
    <row r="758" customFormat="false" ht="15" hidden="false" customHeight="false" outlineLevel="0" collapsed="false">
      <c r="A758" s="2" t="n">
        <v>754</v>
      </c>
      <c r="B758" s="13" t="n">
        <f aca="false">SMALL(Datos!$D$2:$D$1501,A758)</f>
        <v>160.266291021919</v>
      </c>
      <c r="C758" s="21" t="n">
        <f aca="false">(Config!$B$11-A758+1)/Config!$B$11</f>
        <v>0.498</v>
      </c>
    </row>
    <row r="759" customFormat="false" ht="15" hidden="false" customHeight="false" outlineLevel="0" collapsed="false">
      <c r="A759" s="2" t="n">
        <v>755</v>
      </c>
      <c r="B759" s="13" t="n">
        <f aca="false">SMALL(Datos!$D$2:$D$1501,A759)</f>
        <v>160.273427130343</v>
      </c>
      <c r="C759" s="21" t="n">
        <f aca="false">(Config!$B$11-A759+1)/Config!$B$11</f>
        <v>0.497333333333333</v>
      </c>
    </row>
    <row r="760" customFormat="false" ht="15" hidden="false" customHeight="false" outlineLevel="0" collapsed="false">
      <c r="A760" s="2" t="n">
        <v>756</v>
      </c>
      <c r="B760" s="13" t="n">
        <f aca="false">SMALL(Datos!$D$2:$D$1501,A760)</f>
        <v>160.280563238766</v>
      </c>
      <c r="C760" s="21" t="n">
        <f aca="false">(Config!$B$11-A760+1)/Config!$B$11</f>
        <v>0.496666666666667</v>
      </c>
    </row>
    <row r="761" customFormat="false" ht="15" hidden="false" customHeight="false" outlineLevel="0" collapsed="false">
      <c r="A761" s="2" t="n">
        <v>757</v>
      </c>
      <c r="B761" s="13" t="n">
        <f aca="false">SMALL(Datos!$D$2:$D$1501,A761)</f>
        <v>160.2912674014</v>
      </c>
      <c r="C761" s="21" t="n">
        <f aca="false">(Config!$B$11-A761+1)/Config!$B$11</f>
        <v>0.496</v>
      </c>
    </row>
    <row r="762" customFormat="false" ht="15" hidden="false" customHeight="false" outlineLevel="0" collapsed="false">
      <c r="A762" s="2" t="n">
        <v>758</v>
      </c>
      <c r="B762" s="13" t="n">
        <f aca="false">SMALL(Datos!$D$2:$D$1501,A762)</f>
        <v>160.319811835093</v>
      </c>
      <c r="C762" s="21" t="n">
        <f aca="false">(Config!$B$11-A762+1)/Config!$B$11</f>
        <v>0.495333333333333</v>
      </c>
    </row>
    <row r="763" customFormat="false" ht="15" hidden="false" customHeight="false" outlineLevel="0" collapsed="false">
      <c r="A763" s="2" t="n">
        <v>759</v>
      </c>
      <c r="B763" s="13" t="n">
        <f aca="false">SMALL(Datos!$D$2:$D$1501,A763)</f>
        <v>160.359060431421</v>
      </c>
      <c r="C763" s="21" t="n">
        <f aca="false">(Config!$B$11-A763+1)/Config!$B$11</f>
        <v>0.494666666666667</v>
      </c>
    </row>
    <row r="764" customFormat="false" ht="15" hidden="false" customHeight="false" outlineLevel="0" collapsed="false">
      <c r="A764" s="2" t="n">
        <v>760</v>
      </c>
      <c r="B764" s="13" t="n">
        <f aca="false">SMALL(Datos!$D$2:$D$1501,A764)</f>
        <v>160.366196539844</v>
      </c>
      <c r="C764" s="21" t="n">
        <f aca="false">(Config!$B$11-A764+1)/Config!$B$11</f>
        <v>0.494</v>
      </c>
    </row>
    <row r="765" customFormat="false" ht="15" hidden="false" customHeight="false" outlineLevel="0" collapsed="false">
      <c r="A765" s="2" t="n">
        <v>761</v>
      </c>
      <c r="B765" s="13" t="n">
        <f aca="false">SMALL(Datos!$D$2:$D$1501,A765)</f>
        <v>160.369764594055</v>
      </c>
      <c r="C765" s="21" t="n">
        <f aca="false">(Config!$B$11-A765+1)/Config!$B$11</f>
        <v>0.493333333333333</v>
      </c>
    </row>
    <row r="766" customFormat="false" ht="15" hidden="false" customHeight="false" outlineLevel="0" collapsed="false">
      <c r="A766" s="2" t="n">
        <v>762</v>
      </c>
      <c r="B766" s="13" t="n">
        <f aca="false">SMALL(Datos!$D$2:$D$1501,A766)</f>
        <v>160.384036810902</v>
      </c>
      <c r="C766" s="21" t="n">
        <f aca="false">(Config!$B$11-A766+1)/Config!$B$11</f>
        <v>0.492666666666667</v>
      </c>
    </row>
    <row r="767" customFormat="false" ht="15" hidden="false" customHeight="false" outlineLevel="0" collapsed="false">
      <c r="A767" s="2" t="n">
        <v>763</v>
      </c>
      <c r="B767" s="13" t="n">
        <f aca="false">SMALL(Datos!$D$2:$D$1501,A767)</f>
        <v>160.384036810902</v>
      </c>
      <c r="C767" s="21" t="n">
        <f aca="false">(Config!$B$11-A767+1)/Config!$B$11</f>
        <v>0.492</v>
      </c>
    </row>
    <row r="768" customFormat="false" ht="15" hidden="false" customHeight="false" outlineLevel="0" collapsed="false">
      <c r="A768" s="2" t="n">
        <v>764</v>
      </c>
      <c r="B768" s="13" t="n">
        <f aca="false">SMALL(Datos!$D$2:$D$1501,A768)</f>
        <v>160.387604865113</v>
      </c>
      <c r="C768" s="21" t="n">
        <f aca="false">(Config!$B$11-A768+1)/Config!$B$11</f>
        <v>0.491333333333333</v>
      </c>
    </row>
    <row r="769" customFormat="false" ht="15" hidden="false" customHeight="false" outlineLevel="0" collapsed="false">
      <c r="A769" s="2" t="n">
        <v>765</v>
      </c>
      <c r="B769" s="13" t="n">
        <f aca="false">SMALL(Datos!$D$2:$D$1501,A769)</f>
        <v>160.394740973536</v>
      </c>
      <c r="C769" s="21" t="n">
        <f aca="false">(Config!$B$11-A769+1)/Config!$B$11</f>
        <v>0.490666666666667</v>
      </c>
    </row>
    <row r="770" customFormat="false" ht="15" hidden="false" customHeight="false" outlineLevel="0" collapsed="false">
      <c r="A770" s="2" t="n">
        <v>766</v>
      </c>
      <c r="B770" s="13" t="n">
        <f aca="false">SMALL(Datos!$D$2:$D$1501,A770)</f>
        <v>160.394740973536</v>
      </c>
      <c r="C770" s="21" t="n">
        <f aca="false">(Config!$B$11-A770+1)/Config!$B$11</f>
        <v>0.49</v>
      </c>
    </row>
    <row r="771" customFormat="false" ht="15" hidden="false" customHeight="false" outlineLevel="0" collapsed="false">
      <c r="A771" s="2" t="n">
        <v>767</v>
      </c>
      <c r="B771" s="13" t="n">
        <f aca="false">SMALL(Datos!$D$2:$D$1501,A771)</f>
        <v>160.40187708196</v>
      </c>
      <c r="C771" s="21" t="n">
        <f aca="false">(Config!$B$11-A771+1)/Config!$B$11</f>
        <v>0.489333333333333</v>
      </c>
    </row>
    <row r="772" customFormat="false" ht="15" hidden="false" customHeight="false" outlineLevel="0" collapsed="false">
      <c r="A772" s="2" t="n">
        <v>768</v>
      </c>
      <c r="B772" s="13" t="n">
        <f aca="false">SMALL(Datos!$D$2:$D$1501,A772)</f>
        <v>160.405445136171</v>
      </c>
      <c r="C772" s="21" t="n">
        <f aca="false">(Config!$B$11-A772+1)/Config!$B$11</f>
        <v>0.488666666666667</v>
      </c>
    </row>
    <row r="773" customFormat="false" ht="15" hidden="false" customHeight="false" outlineLevel="0" collapsed="false">
      <c r="A773" s="2" t="n">
        <v>769</v>
      </c>
      <c r="B773" s="13" t="n">
        <f aca="false">SMALL(Datos!$D$2:$D$1501,A773)</f>
        <v>160.419717353018</v>
      </c>
      <c r="C773" s="21" t="n">
        <f aca="false">(Config!$B$11-A773+1)/Config!$B$11</f>
        <v>0.488</v>
      </c>
    </row>
    <row r="774" customFormat="false" ht="15" hidden="false" customHeight="false" outlineLevel="0" collapsed="false">
      <c r="A774" s="2" t="n">
        <v>770</v>
      </c>
      <c r="B774" s="13" t="n">
        <f aca="false">SMALL(Datos!$D$2:$D$1501,A774)</f>
        <v>160.441125678287</v>
      </c>
      <c r="C774" s="21" t="n">
        <f aca="false">(Config!$B$11-A774+1)/Config!$B$11</f>
        <v>0.487333333333333</v>
      </c>
    </row>
    <row r="775" customFormat="false" ht="15" hidden="false" customHeight="false" outlineLevel="0" collapsed="false">
      <c r="A775" s="2" t="n">
        <v>771</v>
      </c>
      <c r="B775" s="13" t="n">
        <f aca="false">SMALL(Datos!$D$2:$D$1501,A775)</f>
        <v>160.458965949345</v>
      </c>
      <c r="C775" s="21" t="n">
        <f aca="false">(Config!$B$11-A775+1)/Config!$B$11</f>
        <v>0.486666666666667</v>
      </c>
    </row>
    <row r="776" customFormat="false" ht="15" hidden="false" customHeight="false" outlineLevel="0" collapsed="false">
      <c r="A776" s="2" t="n">
        <v>772</v>
      </c>
      <c r="B776" s="13" t="n">
        <f aca="false">SMALL(Datos!$D$2:$D$1501,A776)</f>
        <v>160.473238166191</v>
      </c>
      <c r="C776" s="21" t="n">
        <f aca="false">(Config!$B$11-A776+1)/Config!$B$11</f>
        <v>0.486</v>
      </c>
    </row>
    <row r="777" customFormat="false" ht="15" hidden="false" customHeight="false" outlineLevel="0" collapsed="false">
      <c r="A777" s="2" t="n">
        <v>773</v>
      </c>
      <c r="B777" s="13" t="n">
        <f aca="false">SMALL(Datos!$D$2:$D$1501,A777)</f>
        <v>160.476806220403</v>
      </c>
      <c r="C777" s="21" t="n">
        <f aca="false">(Config!$B$11-A777+1)/Config!$B$11</f>
        <v>0.485333333333333</v>
      </c>
    </row>
    <row r="778" customFormat="false" ht="15" hidden="false" customHeight="false" outlineLevel="0" collapsed="false">
      <c r="A778" s="2" t="n">
        <v>774</v>
      </c>
      <c r="B778" s="13" t="n">
        <f aca="false">SMALL(Datos!$D$2:$D$1501,A778)</f>
        <v>160.480374274615</v>
      </c>
      <c r="C778" s="21" t="n">
        <f aca="false">(Config!$B$11-A778+1)/Config!$B$11</f>
        <v>0.484666666666667</v>
      </c>
    </row>
    <row r="779" customFormat="false" ht="15" hidden="false" customHeight="false" outlineLevel="0" collapsed="false">
      <c r="A779" s="2" t="n">
        <v>775</v>
      </c>
      <c r="B779" s="13" t="n">
        <f aca="false">SMALL(Datos!$D$2:$D$1501,A779)</f>
        <v>160.483942328826</v>
      </c>
      <c r="C779" s="21" t="n">
        <f aca="false">(Config!$B$11-A779+1)/Config!$B$11</f>
        <v>0.484</v>
      </c>
    </row>
    <row r="780" customFormat="false" ht="15" hidden="false" customHeight="false" outlineLevel="0" collapsed="false">
      <c r="A780" s="2" t="n">
        <v>776</v>
      </c>
      <c r="B780" s="13" t="n">
        <f aca="false">SMALL(Datos!$D$2:$D$1501,A780)</f>
        <v>160.491078437249</v>
      </c>
      <c r="C780" s="21" t="n">
        <f aca="false">(Config!$B$11-A780+1)/Config!$B$11</f>
        <v>0.483333333333333</v>
      </c>
    </row>
    <row r="781" customFormat="false" ht="15" hidden="false" customHeight="false" outlineLevel="0" collapsed="false">
      <c r="A781" s="2" t="n">
        <v>777</v>
      </c>
      <c r="B781" s="13" t="n">
        <f aca="false">SMALL(Datos!$D$2:$D$1501,A781)</f>
        <v>160.494646491461</v>
      </c>
      <c r="C781" s="21" t="n">
        <f aca="false">(Config!$B$11-A781+1)/Config!$B$11</f>
        <v>0.482666666666667</v>
      </c>
    </row>
    <row r="782" customFormat="false" ht="15" hidden="false" customHeight="false" outlineLevel="0" collapsed="false">
      <c r="A782" s="2" t="n">
        <v>778</v>
      </c>
      <c r="B782" s="13" t="n">
        <f aca="false">SMALL(Datos!$D$2:$D$1501,A782)</f>
        <v>160.498214545673</v>
      </c>
      <c r="C782" s="21" t="n">
        <f aca="false">(Config!$B$11-A782+1)/Config!$B$11</f>
        <v>0.482</v>
      </c>
    </row>
    <row r="783" customFormat="false" ht="15" hidden="false" customHeight="false" outlineLevel="0" collapsed="false">
      <c r="A783" s="2" t="n">
        <v>779</v>
      </c>
      <c r="B783" s="13" t="n">
        <f aca="false">SMALL(Datos!$D$2:$D$1501,A783)</f>
        <v>160.501782599884</v>
      </c>
      <c r="C783" s="21" t="n">
        <f aca="false">(Config!$B$11-A783+1)/Config!$B$11</f>
        <v>0.481333333333333</v>
      </c>
    </row>
    <row r="784" customFormat="false" ht="15" hidden="false" customHeight="false" outlineLevel="0" collapsed="false">
      <c r="A784" s="2" t="n">
        <v>780</v>
      </c>
      <c r="B784" s="13" t="n">
        <f aca="false">SMALL(Datos!$D$2:$D$1501,A784)</f>
        <v>160.505350654096</v>
      </c>
      <c r="C784" s="21" t="n">
        <f aca="false">(Config!$B$11-A784+1)/Config!$B$11</f>
        <v>0.480666666666667</v>
      </c>
    </row>
    <row r="785" customFormat="false" ht="15" hidden="false" customHeight="false" outlineLevel="0" collapsed="false">
      <c r="A785" s="2" t="n">
        <v>781</v>
      </c>
      <c r="B785" s="13" t="n">
        <f aca="false">SMALL(Datos!$D$2:$D$1501,A785)</f>
        <v>160.508918708307</v>
      </c>
      <c r="C785" s="21" t="n">
        <f aca="false">(Config!$B$11-A785+1)/Config!$B$11</f>
        <v>0.48</v>
      </c>
    </row>
    <row r="786" customFormat="false" ht="15" hidden="false" customHeight="false" outlineLevel="0" collapsed="false">
      <c r="A786" s="2" t="n">
        <v>782</v>
      </c>
      <c r="B786" s="13" t="n">
        <f aca="false">SMALL(Datos!$D$2:$D$1501,A786)</f>
        <v>160.519622870942</v>
      </c>
      <c r="C786" s="21" t="n">
        <f aca="false">(Config!$B$11-A786+1)/Config!$B$11</f>
        <v>0.479333333333333</v>
      </c>
    </row>
    <row r="787" customFormat="false" ht="15" hidden="false" customHeight="false" outlineLevel="0" collapsed="false">
      <c r="A787" s="2" t="n">
        <v>783</v>
      </c>
      <c r="B787" s="13" t="n">
        <f aca="false">SMALL(Datos!$D$2:$D$1501,A787)</f>
        <v>160.530327033577</v>
      </c>
      <c r="C787" s="21" t="n">
        <f aca="false">(Config!$B$11-A787+1)/Config!$B$11</f>
        <v>0.478666666666667</v>
      </c>
    </row>
    <row r="788" customFormat="false" ht="15" hidden="false" customHeight="false" outlineLevel="0" collapsed="false">
      <c r="A788" s="2" t="n">
        <v>784</v>
      </c>
      <c r="B788" s="13" t="n">
        <f aca="false">SMALL(Datos!$D$2:$D$1501,A788)</f>
        <v>160.548167304635</v>
      </c>
      <c r="C788" s="21" t="n">
        <f aca="false">(Config!$B$11-A788+1)/Config!$B$11</f>
        <v>0.478</v>
      </c>
    </row>
    <row r="789" customFormat="false" ht="15" hidden="false" customHeight="false" outlineLevel="0" collapsed="false">
      <c r="A789" s="2" t="n">
        <v>785</v>
      </c>
      <c r="B789" s="13" t="n">
        <f aca="false">SMALL(Datos!$D$2:$D$1501,A789)</f>
        <v>160.562439521481</v>
      </c>
      <c r="C789" s="21" t="n">
        <f aca="false">(Config!$B$11-A789+1)/Config!$B$11</f>
        <v>0.477333333333333</v>
      </c>
    </row>
    <row r="790" customFormat="false" ht="15" hidden="false" customHeight="false" outlineLevel="0" collapsed="false">
      <c r="A790" s="2" t="n">
        <v>786</v>
      </c>
      <c r="B790" s="13" t="n">
        <f aca="false">SMALL(Datos!$D$2:$D$1501,A790)</f>
        <v>160.573143684116</v>
      </c>
      <c r="C790" s="21" t="n">
        <f aca="false">(Config!$B$11-A790+1)/Config!$B$11</f>
        <v>0.476666666666667</v>
      </c>
    </row>
    <row r="791" customFormat="false" ht="15" hidden="false" customHeight="false" outlineLevel="0" collapsed="false">
      <c r="A791" s="2" t="n">
        <v>787</v>
      </c>
      <c r="B791" s="13" t="n">
        <f aca="false">SMALL(Datos!$D$2:$D$1501,A791)</f>
        <v>160.576711738328</v>
      </c>
      <c r="C791" s="21" t="n">
        <f aca="false">(Config!$B$11-A791+1)/Config!$B$11</f>
        <v>0.476</v>
      </c>
    </row>
    <row r="792" customFormat="false" ht="15" hidden="false" customHeight="false" outlineLevel="0" collapsed="false">
      <c r="A792" s="2" t="n">
        <v>788</v>
      </c>
      <c r="B792" s="13" t="n">
        <f aca="false">SMALL(Datos!$D$2:$D$1501,A792)</f>
        <v>160.594552009385</v>
      </c>
      <c r="C792" s="21" t="n">
        <f aca="false">(Config!$B$11-A792+1)/Config!$B$11</f>
        <v>0.475333333333333</v>
      </c>
    </row>
    <row r="793" customFormat="false" ht="15" hidden="false" customHeight="false" outlineLevel="0" collapsed="false">
      <c r="A793" s="2" t="n">
        <v>789</v>
      </c>
      <c r="B793" s="13" t="n">
        <f aca="false">SMALL(Datos!$D$2:$D$1501,A793)</f>
        <v>160.60525617202</v>
      </c>
      <c r="C793" s="21" t="n">
        <f aca="false">(Config!$B$11-A793+1)/Config!$B$11</f>
        <v>0.474666666666667</v>
      </c>
    </row>
    <row r="794" customFormat="false" ht="15" hidden="false" customHeight="false" outlineLevel="0" collapsed="false">
      <c r="A794" s="2" t="n">
        <v>790</v>
      </c>
      <c r="B794" s="13" t="n">
        <f aca="false">SMALL(Datos!$D$2:$D$1501,A794)</f>
        <v>160.612392280443</v>
      </c>
      <c r="C794" s="21" t="n">
        <f aca="false">(Config!$B$11-A794+1)/Config!$B$11</f>
        <v>0.474</v>
      </c>
    </row>
    <row r="795" customFormat="false" ht="15" hidden="false" customHeight="false" outlineLevel="0" collapsed="false">
      <c r="A795" s="2" t="n">
        <v>791</v>
      </c>
      <c r="B795" s="13" t="n">
        <f aca="false">SMALL(Datos!$D$2:$D$1501,A795)</f>
        <v>160.619528388867</v>
      </c>
      <c r="C795" s="21" t="n">
        <f aca="false">(Config!$B$11-A795+1)/Config!$B$11</f>
        <v>0.473333333333333</v>
      </c>
    </row>
    <row r="796" customFormat="false" ht="15" hidden="false" customHeight="false" outlineLevel="0" collapsed="false">
      <c r="A796" s="2" t="n">
        <v>792</v>
      </c>
      <c r="B796" s="13" t="n">
        <f aca="false">SMALL(Datos!$D$2:$D$1501,A796)</f>
        <v>160.62666449729</v>
      </c>
      <c r="C796" s="21" t="n">
        <f aca="false">(Config!$B$11-A796+1)/Config!$B$11</f>
        <v>0.472666666666667</v>
      </c>
    </row>
    <row r="797" customFormat="false" ht="15" hidden="false" customHeight="false" outlineLevel="0" collapsed="false">
      <c r="A797" s="2" t="n">
        <v>793</v>
      </c>
      <c r="B797" s="13" t="n">
        <f aca="false">SMALL(Datos!$D$2:$D$1501,A797)</f>
        <v>160.658776985194</v>
      </c>
      <c r="C797" s="21" t="n">
        <f aca="false">(Config!$B$11-A797+1)/Config!$B$11</f>
        <v>0.472</v>
      </c>
    </row>
    <row r="798" customFormat="false" ht="15" hidden="false" customHeight="false" outlineLevel="0" collapsed="false">
      <c r="A798" s="2" t="n">
        <v>794</v>
      </c>
      <c r="B798" s="13" t="n">
        <f aca="false">SMALL(Datos!$D$2:$D$1501,A798)</f>
        <v>160.67304920204</v>
      </c>
      <c r="C798" s="21" t="n">
        <f aca="false">(Config!$B$11-A798+1)/Config!$B$11</f>
        <v>0.471333333333333</v>
      </c>
    </row>
    <row r="799" customFormat="false" ht="15" hidden="false" customHeight="false" outlineLevel="0" collapsed="false">
      <c r="A799" s="2" t="n">
        <v>795</v>
      </c>
      <c r="B799" s="13" t="n">
        <f aca="false">SMALL(Datos!$D$2:$D$1501,A799)</f>
        <v>160.67304920204</v>
      </c>
      <c r="C799" s="21" t="n">
        <f aca="false">(Config!$B$11-A799+1)/Config!$B$11</f>
        <v>0.470666666666667</v>
      </c>
    </row>
    <row r="800" customFormat="false" ht="15" hidden="false" customHeight="false" outlineLevel="0" collapsed="false">
      <c r="A800" s="2" t="n">
        <v>796</v>
      </c>
      <c r="B800" s="13" t="n">
        <f aca="false">SMALL(Datos!$D$2:$D$1501,A800)</f>
        <v>160.676617256252</v>
      </c>
      <c r="C800" s="21" t="n">
        <f aca="false">(Config!$B$11-A800+1)/Config!$B$11</f>
        <v>0.47</v>
      </c>
    </row>
    <row r="801" customFormat="false" ht="15" hidden="false" customHeight="false" outlineLevel="0" collapsed="false">
      <c r="A801" s="2" t="n">
        <v>797</v>
      </c>
      <c r="B801" s="13" t="n">
        <f aca="false">SMALL(Datos!$D$2:$D$1501,A801)</f>
        <v>160.676617256252</v>
      </c>
      <c r="C801" s="21" t="n">
        <f aca="false">(Config!$B$11-A801+1)/Config!$B$11</f>
        <v>0.469333333333333</v>
      </c>
    </row>
    <row r="802" customFormat="false" ht="15" hidden="false" customHeight="false" outlineLevel="0" collapsed="false">
      <c r="A802" s="2" t="n">
        <v>798</v>
      </c>
      <c r="B802" s="13" t="n">
        <f aca="false">SMALL(Datos!$D$2:$D$1501,A802)</f>
        <v>160.680185310464</v>
      </c>
      <c r="C802" s="21" t="n">
        <f aca="false">(Config!$B$11-A802+1)/Config!$B$11</f>
        <v>0.468666666666667</v>
      </c>
    </row>
    <row r="803" customFormat="false" ht="15" hidden="false" customHeight="false" outlineLevel="0" collapsed="false">
      <c r="A803" s="2" t="n">
        <v>799</v>
      </c>
      <c r="B803" s="13" t="n">
        <f aca="false">SMALL(Datos!$D$2:$D$1501,A803)</f>
        <v>160.680185310464</v>
      </c>
      <c r="C803" s="21" t="n">
        <f aca="false">(Config!$B$11-A803+1)/Config!$B$11</f>
        <v>0.468</v>
      </c>
    </row>
    <row r="804" customFormat="false" ht="15" hidden="false" customHeight="false" outlineLevel="0" collapsed="false">
      <c r="A804" s="2" t="n">
        <v>800</v>
      </c>
      <c r="B804" s="13" t="n">
        <f aca="false">SMALL(Datos!$D$2:$D$1501,A804)</f>
        <v>160.683753364675</v>
      </c>
      <c r="C804" s="21" t="n">
        <f aca="false">(Config!$B$11-A804+1)/Config!$B$11</f>
        <v>0.467333333333333</v>
      </c>
    </row>
    <row r="805" customFormat="false" ht="15" hidden="false" customHeight="false" outlineLevel="0" collapsed="false">
      <c r="A805" s="2" t="n">
        <v>801</v>
      </c>
      <c r="B805" s="13" t="n">
        <f aca="false">SMALL(Datos!$D$2:$D$1501,A805)</f>
        <v>160.683753364675</v>
      </c>
      <c r="C805" s="21" t="n">
        <f aca="false">(Config!$B$11-A805+1)/Config!$B$11</f>
        <v>0.466666666666667</v>
      </c>
    </row>
    <row r="806" customFormat="false" ht="15" hidden="false" customHeight="false" outlineLevel="0" collapsed="false">
      <c r="A806" s="2" t="n">
        <v>802</v>
      </c>
      <c r="B806" s="13" t="n">
        <f aca="false">SMALL(Datos!$D$2:$D$1501,A806)</f>
        <v>160.687321418887</v>
      </c>
      <c r="C806" s="21" t="n">
        <f aca="false">(Config!$B$11-A806+1)/Config!$B$11</f>
        <v>0.466</v>
      </c>
    </row>
    <row r="807" customFormat="false" ht="15" hidden="false" customHeight="false" outlineLevel="0" collapsed="false">
      <c r="A807" s="2" t="n">
        <v>803</v>
      </c>
      <c r="B807" s="13" t="n">
        <f aca="false">SMALL(Datos!$D$2:$D$1501,A807)</f>
        <v>160.687321418887</v>
      </c>
      <c r="C807" s="21" t="n">
        <f aca="false">(Config!$B$11-A807+1)/Config!$B$11</f>
        <v>0.465333333333333</v>
      </c>
    </row>
    <row r="808" customFormat="false" ht="15" hidden="false" customHeight="false" outlineLevel="0" collapsed="false">
      <c r="A808" s="2" t="n">
        <v>804</v>
      </c>
      <c r="B808" s="13" t="n">
        <f aca="false">SMALL(Datos!$D$2:$D$1501,A808)</f>
        <v>160.690889473098</v>
      </c>
      <c r="C808" s="21" t="n">
        <f aca="false">(Config!$B$11-A808+1)/Config!$B$11</f>
        <v>0.464666666666667</v>
      </c>
    </row>
    <row r="809" customFormat="false" ht="15" hidden="false" customHeight="false" outlineLevel="0" collapsed="false">
      <c r="A809" s="2" t="n">
        <v>805</v>
      </c>
      <c r="B809" s="13" t="n">
        <f aca="false">SMALL(Datos!$D$2:$D$1501,A809)</f>
        <v>160.69445752731</v>
      </c>
      <c r="C809" s="21" t="n">
        <f aca="false">(Config!$B$11-A809+1)/Config!$B$11</f>
        <v>0.464</v>
      </c>
    </row>
    <row r="810" customFormat="false" ht="15" hidden="false" customHeight="false" outlineLevel="0" collapsed="false">
      <c r="A810" s="2" t="n">
        <v>806</v>
      </c>
      <c r="B810" s="13" t="n">
        <f aca="false">SMALL(Datos!$D$2:$D$1501,A810)</f>
        <v>160.701593635733</v>
      </c>
      <c r="C810" s="21" t="n">
        <f aca="false">(Config!$B$11-A810+1)/Config!$B$11</f>
        <v>0.463333333333333</v>
      </c>
    </row>
    <row r="811" customFormat="false" ht="15" hidden="false" customHeight="false" outlineLevel="0" collapsed="false">
      <c r="A811" s="2" t="n">
        <v>807</v>
      </c>
      <c r="B811" s="13" t="n">
        <f aca="false">SMALL(Datos!$D$2:$D$1501,A811)</f>
        <v>160.719433906791</v>
      </c>
      <c r="C811" s="21" t="n">
        <f aca="false">(Config!$B$11-A811+1)/Config!$B$11</f>
        <v>0.462666666666667</v>
      </c>
    </row>
    <row r="812" customFormat="false" ht="15" hidden="false" customHeight="false" outlineLevel="0" collapsed="false">
      <c r="A812" s="2" t="n">
        <v>808</v>
      </c>
      <c r="B812" s="13" t="n">
        <f aca="false">SMALL(Datos!$D$2:$D$1501,A812)</f>
        <v>160.733706123637</v>
      </c>
      <c r="C812" s="21" t="n">
        <f aca="false">(Config!$B$11-A812+1)/Config!$B$11</f>
        <v>0.462</v>
      </c>
    </row>
    <row r="813" customFormat="false" ht="15" hidden="false" customHeight="false" outlineLevel="0" collapsed="false">
      <c r="A813" s="2" t="n">
        <v>809</v>
      </c>
      <c r="B813" s="13" t="n">
        <f aca="false">SMALL(Datos!$D$2:$D$1501,A813)</f>
        <v>160.755114448907</v>
      </c>
      <c r="C813" s="21" t="n">
        <f aca="false">(Config!$B$11-A813+1)/Config!$B$11</f>
        <v>0.461333333333333</v>
      </c>
    </row>
    <row r="814" customFormat="false" ht="15" hidden="false" customHeight="false" outlineLevel="0" collapsed="false">
      <c r="A814" s="2" t="n">
        <v>810</v>
      </c>
      <c r="B814" s="13" t="n">
        <f aca="false">SMALL(Datos!$D$2:$D$1501,A814)</f>
        <v>160.765818611542</v>
      </c>
      <c r="C814" s="21" t="n">
        <f aca="false">(Config!$B$11-A814+1)/Config!$B$11</f>
        <v>0.460666666666667</v>
      </c>
    </row>
    <row r="815" customFormat="false" ht="15" hidden="false" customHeight="false" outlineLevel="0" collapsed="false">
      <c r="A815" s="2" t="n">
        <v>811</v>
      </c>
      <c r="B815" s="13" t="n">
        <f aca="false">SMALL(Datos!$D$2:$D$1501,A815)</f>
        <v>160.769386665753</v>
      </c>
      <c r="C815" s="21" t="n">
        <f aca="false">(Config!$B$11-A815+1)/Config!$B$11</f>
        <v>0.46</v>
      </c>
    </row>
    <row r="816" customFormat="false" ht="15" hidden="false" customHeight="false" outlineLevel="0" collapsed="false">
      <c r="A816" s="2" t="n">
        <v>812</v>
      </c>
      <c r="B816" s="13" t="n">
        <f aca="false">SMALL(Datos!$D$2:$D$1501,A816)</f>
        <v>160.7836588826</v>
      </c>
      <c r="C816" s="21" t="n">
        <f aca="false">(Config!$B$11-A816+1)/Config!$B$11</f>
        <v>0.459333333333333</v>
      </c>
    </row>
    <row r="817" customFormat="false" ht="15" hidden="false" customHeight="false" outlineLevel="0" collapsed="false">
      <c r="A817" s="2" t="n">
        <v>813</v>
      </c>
      <c r="B817" s="13" t="n">
        <f aca="false">SMALL(Datos!$D$2:$D$1501,A817)</f>
        <v>160.805067207869</v>
      </c>
      <c r="C817" s="21" t="n">
        <f aca="false">(Config!$B$11-A817+1)/Config!$B$11</f>
        <v>0.458666666666667</v>
      </c>
    </row>
    <row r="818" customFormat="false" ht="15" hidden="false" customHeight="false" outlineLevel="0" collapsed="false">
      <c r="A818" s="2" t="n">
        <v>814</v>
      </c>
      <c r="B818" s="13" t="n">
        <f aca="false">SMALL(Datos!$D$2:$D$1501,A818)</f>
        <v>160.805067207869</v>
      </c>
      <c r="C818" s="21" t="n">
        <f aca="false">(Config!$B$11-A818+1)/Config!$B$11</f>
        <v>0.458</v>
      </c>
    </row>
    <row r="819" customFormat="false" ht="15" hidden="false" customHeight="false" outlineLevel="0" collapsed="false">
      <c r="A819" s="2" t="n">
        <v>815</v>
      </c>
      <c r="B819" s="13" t="n">
        <f aca="false">SMALL(Datos!$D$2:$D$1501,A819)</f>
        <v>160.812203316292</v>
      </c>
      <c r="C819" s="21" t="n">
        <f aca="false">(Config!$B$11-A819+1)/Config!$B$11</f>
        <v>0.457333333333333</v>
      </c>
    </row>
    <row r="820" customFormat="false" ht="15" hidden="false" customHeight="false" outlineLevel="0" collapsed="false">
      <c r="A820" s="2" t="n">
        <v>816</v>
      </c>
      <c r="B820" s="13" t="n">
        <f aca="false">SMALL(Datos!$D$2:$D$1501,A820)</f>
        <v>160.815771370504</v>
      </c>
      <c r="C820" s="21" t="n">
        <f aca="false">(Config!$B$11-A820+1)/Config!$B$11</f>
        <v>0.456666666666667</v>
      </c>
    </row>
    <row r="821" customFormat="false" ht="15" hidden="false" customHeight="false" outlineLevel="0" collapsed="false">
      <c r="A821" s="2" t="n">
        <v>817</v>
      </c>
      <c r="B821" s="13" t="n">
        <f aca="false">SMALL(Datos!$D$2:$D$1501,A821)</f>
        <v>160.833611641562</v>
      </c>
      <c r="C821" s="21" t="n">
        <f aca="false">(Config!$B$11-A821+1)/Config!$B$11</f>
        <v>0.456</v>
      </c>
    </row>
    <row r="822" customFormat="false" ht="15" hidden="false" customHeight="false" outlineLevel="0" collapsed="false">
      <c r="A822" s="2" t="n">
        <v>818</v>
      </c>
      <c r="B822" s="13" t="n">
        <f aca="false">SMALL(Datos!$D$2:$D$1501,A822)</f>
        <v>160.837179695773</v>
      </c>
      <c r="C822" s="21" t="n">
        <f aca="false">(Config!$B$11-A822+1)/Config!$B$11</f>
        <v>0.455333333333333</v>
      </c>
    </row>
    <row r="823" customFormat="false" ht="15" hidden="false" customHeight="false" outlineLevel="0" collapsed="false">
      <c r="A823" s="2" t="n">
        <v>819</v>
      </c>
      <c r="B823" s="13" t="n">
        <f aca="false">SMALL(Datos!$D$2:$D$1501,A823)</f>
        <v>160.840747749985</v>
      </c>
      <c r="C823" s="21" t="n">
        <f aca="false">(Config!$B$11-A823+1)/Config!$B$11</f>
        <v>0.454666666666667</v>
      </c>
    </row>
    <row r="824" customFormat="false" ht="15" hidden="false" customHeight="false" outlineLevel="0" collapsed="false">
      <c r="A824" s="2" t="n">
        <v>820</v>
      </c>
      <c r="B824" s="13" t="n">
        <f aca="false">SMALL(Datos!$D$2:$D$1501,A824)</f>
        <v>160.855019966831</v>
      </c>
      <c r="C824" s="21" t="n">
        <f aca="false">(Config!$B$11-A824+1)/Config!$B$11</f>
        <v>0.454</v>
      </c>
    </row>
    <row r="825" customFormat="false" ht="15" hidden="false" customHeight="false" outlineLevel="0" collapsed="false">
      <c r="A825" s="2" t="n">
        <v>821</v>
      </c>
      <c r="B825" s="13" t="n">
        <f aca="false">SMALL(Datos!$D$2:$D$1501,A825)</f>
        <v>160.872860237889</v>
      </c>
      <c r="C825" s="21" t="n">
        <f aca="false">(Config!$B$11-A825+1)/Config!$B$11</f>
        <v>0.453333333333333</v>
      </c>
    </row>
    <row r="826" customFormat="false" ht="15" hidden="false" customHeight="false" outlineLevel="0" collapsed="false">
      <c r="A826" s="2" t="n">
        <v>822</v>
      </c>
      <c r="B826" s="13" t="n">
        <f aca="false">SMALL(Datos!$D$2:$D$1501,A826)</f>
        <v>160.883564400524</v>
      </c>
      <c r="C826" s="21" t="n">
        <f aca="false">(Config!$B$11-A826+1)/Config!$B$11</f>
        <v>0.452666666666667</v>
      </c>
    </row>
    <row r="827" customFormat="false" ht="15" hidden="false" customHeight="false" outlineLevel="0" collapsed="false">
      <c r="A827" s="2" t="n">
        <v>823</v>
      </c>
      <c r="B827" s="13" t="n">
        <f aca="false">SMALL(Datos!$D$2:$D$1501,A827)</f>
        <v>160.890700508947</v>
      </c>
      <c r="C827" s="21" t="n">
        <f aca="false">(Config!$B$11-A827+1)/Config!$B$11</f>
        <v>0.452</v>
      </c>
    </row>
    <row r="828" customFormat="false" ht="15" hidden="false" customHeight="false" outlineLevel="0" collapsed="false">
      <c r="A828" s="2" t="n">
        <v>824</v>
      </c>
      <c r="B828" s="13" t="n">
        <f aca="false">SMALL(Datos!$D$2:$D$1501,A828)</f>
        <v>160.894268563159</v>
      </c>
      <c r="C828" s="21" t="n">
        <f aca="false">(Config!$B$11-A828+1)/Config!$B$11</f>
        <v>0.451333333333333</v>
      </c>
    </row>
    <row r="829" customFormat="false" ht="15" hidden="false" customHeight="false" outlineLevel="0" collapsed="false">
      <c r="A829" s="2" t="n">
        <v>825</v>
      </c>
      <c r="B829" s="13" t="n">
        <f aca="false">SMALL(Datos!$D$2:$D$1501,A829)</f>
        <v>160.904972725794</v>
      </c>
      <c r="C829" s="21" t="n">
        <f aca="false">(Config!$B$11-A829+1)/Config!$B$11</f>
        <v>0.450666666666667</v>
      </c>
    </row>
    <row r="830" customFormat="false" ht="15" hidden="false" customHeight="false" outlineLevel="0" collapsed="false">
      <c r="A830" s="2" t="n">
        <v>826</v>
      </c>
      <c r="B830" s="13" t="n">
        <f aca="false">SMALL(Datos!$D$2:$D$1501,A830)</f>
        <v>160.91924494264</v>
      </c>
      <c r="C830" s="21" t="n">
        <f aca="false">(Config!$B$11-A830+1)/Config!$B$11</f>
        <v>0.45</v>
      </c>
    </row>
    <row r="831" customFormat="false" ht="15" hidden="false" customHeight="false" outlineLevel="0" collapsed="false">
      <c r="A831" s="2" t="n">
        <v>827</v>
      </c>
      <c r="B831" s="13" t="n">
        <f aca="false">SMALL(Datos!$D$2:$D$1501,A831)</f>
        <v>160.922812996852</v>
      </c>
      <c r="C831" s="21" t="n">
        <f aca="false">(Config!$B$11-A831+1)/Config!$B$11</f>
        <v>0.449333333333333</v>
      </c>
    </row>
    <row r="832" customFormat="false" ht="15" hidden="false" customHeight="false" outlineLevel="0" collapsed="false">
      <c r="A832" s="2" t="n">
        <v>828</v>
      </c>
      <c r="B832" s="13" t="n">
        <f aca="false">SMALL(Datos!$D$2:$D$1501,A832)</f>
        <v>160.926381051063</v>
      </c>
      <c r="C832" s="21" t="n">
        <f aca="false">(Config!$B$11-A832+1)/Config!$B$11</f>
        <v>0.448666666666667</v>
      </c>
    </row>
    <row r="833" customFormat="false" ht="15" hidden="false" customHeight="false" outlineLevel="0" collapsed="false">
      <c r="A833" s="2" t="n">
        <v>829</v>
      </c>
      <c r="B833" s="13" t="n">
        <f aca="false">SMALL(Datos!$D$2:$D$1501,A833)</f>
        <v>160.926381051063</v>
      </c>
      <c r="C833" s="21" t="n">
        <f aca="false">(Config!$B$11-A833+1)/Config!$B$11</f>
        <v>0.448</v>
      </c>
    </row>
    <row r="834" customFormat="false" ht="15" hidden="false" customHeight="false" outlineLevel="0" collapsed="false">
      <c r="A834" s="2" t="n">
        <v>830</v>
      </c>
      <c r="B834" s="13" t="n">
        <f aca="false">SMALL(Datos!$D$2:$D$1501,A834)</f>
        <v>160.929949105275</v>
      </c>
      <c r="C834" s="21" t="n">
        <f aca="false">(Config!$B$11-A834+1)/Config!$B$11</f>
        <v>0.447333333333333</v>
      </c>
    </row>
    <row r="835" customFormat="false" ht="15" hidden="false" customHeight="false" outlineLevel="0" collapsed="false">
      <c r="A835" s="2" t="n">
        <v>831</v>
      </c>
      <c r="B835" s="13" t="n">
        <f aca="false">SMALL(Datos!$D$2:$D$1501,A835)</f>
        <v>160.944221322121</v>
      </c>
      <c r="C835" s="21" t="n">
        <f aca="false">(Config!$B$11-A835+1)/Config!$B$11</f>
        <v>0.446666666666667</v>
      </c>
    </row>
    <row r="836" customFormat="false" ht="15" hidden="false" customHeight="false" outlineLevel="0" collapsed="false">
      <c r="A836" s="2" t="n">
        <v>832</v>
      </c>
      <c r="B836" s="13" t="n">
        <f aca="false">SMALL(Datos!$D$2:$D$1501,A836)</f>
        <v>160.951357430544</v>
      </c>
      <c r="C836" s="21" t="n">
        <f aca="false">(Config!$B$11-A836+1)/Config!$B$11</f>
        <v>0.446</v>
      </c>
    </row>
    <row r="837" customFormat="false" ht="15" hidden="false" customHeight="false" outlineLevel="0" collapsed="false">
      <c r="A837" s="2" t="n">
        <v>833</v>
      </c>
      <c r="B837" s="13" t="n">
        <f aca="false">SMALL(Datos!$D$2:$D$1501,A837)</f>
        <v>160.972765755814</v>
      </c>
      <c r="C837" s="21" t="n">
        <f aca="false">(Config!$B$11-A837+1)/Config!$B$11</f>
        <v>0.445333333333333</v>
      </c>
    </row>
    <row r="838" customFormat="false" ht="15" hidden="false" customHeight="false" outlineLevel="0" collapsed="false">
      <c r="A838" s="2" t="n">
        <v>834</v>
      </c>
      <c r="B838" s="13" t="n">
        <f aca="false">SMALL(Datos!$D$2:$D$1501,A838)</f>
        <v>160.979901864237</v>
      </c>
      <c r="C838" s="21" t="n">
        <f aca="false">(Config!$B$11-A838+1)/Config!$B$11</f>
        <v>0.444666666666667</v>
      </c>
    </row>
    <row r="839" customFormat="false" ht="15" hidden="false" customHeight="false" outlineLevel="0" collapsed="false">
      <c r="A839" s="2" t="n">
        <v>835</v>
      </c>
      <c r="B839" s="13" t="n">
        <f aca="false">SMALL(Datos!$D$2:$D$1501,A839)</f>
        <v>160.994174081083</v>
      </c>
      <c r="C839" s="21" t="n">
        <f aca="false">(Config!$B$11-A839+1)/Config!$B$11</f>
        <v>0.444</v>
      </c>
    </row>
    <row r="840" customFormat="false" ht="15" hidden="false" customHeight="false" outlineLevel="0" collapsed="false">
      <c r="A840" s="2" t="n">
        <v>836</v>
      </c>
      <c r="B840" s="13" t="n">
        <f aca="false">SMALL(Datos!$D$2:$D$1501,A840)</f>
        <v>161.004878243718</v>
      </c>
      <c r="C840" s="21" t="n">
        <f aca="false">(Config!$B$11-A840+1)/Config!$B$11</f>
        <v>0.443333333333333</v>
      </c>
    </row>
    <row r="841" customFormat="false" ht="15" hidden="false" customHeight="false" outlineLevel="0" collapsed="false">
      <c r="A841" s="2" t="n">
        <v>837</v>
      </c>
      <c r="B841" s="13" t="n">
        <f aca="false">SMALL(Datos!$D$2:$D$1501,A841)</f>
        <v>161.012014352141</v>
      </c>
      <c r="C841" s="21" t="n">
        <f aca="false">(Config!$B$11-A841+1)/Config!$B$11</f>
        <v>0.442666666666667</v>
      </c>
    </row>
    <row r="842" customFormat="false" ht="15" hidden="false" customHeight="false" outlineLevel="0" collapsed="false">
      <c r="A842" s="2" t="n">
        <v>838</v>
      </c>
      <c r="B842" s="13" t="n">
        <f aca="false">SMALL(Datos!$D$2:$D$1501,A842)</f>
        <v>161.015582406353</v>
      </c>
      <c r="C842" s="21" t="n">
        <f aca="false">(Config!$B$11-A842+1)/Config!$B$11</f>
        <v>0.442</v>
      </c>
    </row>
    <row r="843" customFormat="false" ht="15" hidden="false" customHeight="false" outlineLevel="0" collapsed="false">
      <c r="A843" s="2" t="n">
        <v>839</v>
      </c>
      <c r="B843" s="13" t="n">
        <f aca="false">SMALL(Datos!$D$2:$D$1501,A843)</f>
        <v>161.022718514776</v>
      </c>
      <c r="C843" s="21" t="n">
        <f aca="false">(Config!$B$11-A843+1)/Config!$B$11</f>
        <v>0.441333333333333</v>
      </c>
    </row>
    <row r="844" customFormat="false" ht="15" hidden="false" customHeight="false" outlineLevel="0" collapsed="false">
      <c r="A844" s="2" t="n">
        <v>840</v>
      </c>
      <c r="B844" s="13" t="n">
        <f aca="false">SMALL(Datos!$D$2:$D$1501,A844)</f>
        <v>161.029854623199</v>
      </c>
      <c r="C844" s="21" t="n">
        <f aca="false">(Config!$B$11-A844+1)/Config!$B$11</f>
        <v>0.440666666666667</v>
      </c>
    </row>
    <row r="845" customFormat="false" ht="15" hidden="false" customHeight="false" outlineLevel="0" collapsed="false">
      <c r="A845" s="2" t="n">
        <v>841</v>
      </c>
      <c r="B845" s="13" t="n">
        <f aca="false">SMALL(Datos!$D$2:$D$1501,A845)</f>
        <v>161.036990731622</v>
      </c>
      <c r="C845" s="21" t="n">
        <f aca="false">(Config!$B$11-A845+1)/Config!$B$11</f>
        <v>0.44</v>
      </c>
    </row>
    <row r="846" customFormat="false" ht="15" hidden="false" customHeight="false" outlineLevel="0" collapsed="false">
      <c r="A846" s="2" t="n">
        <v>842</v>
      </c>
      <c r="B846" s="13" t="n">
        <f aca="false">SMALL(Datos!$D$2:$D$1501,A846)</f>
        <v>161.040558785834</v>
      </c>
      <c r="C846" s="21" t="n">
        <f aca="false">(Config!$B$11-A846+1)/Config!$B$11</f>
        <v>0.439333333333333</v>
      </c>
    </row>
    <row r="847" customFormat="false" ht="15" hidden="false" customHeight="false" outlineLevel="0" collapsed="false">
      <c r="A847" s="2" t="n">
        <v>843</v>
      </c>
      <c r="B847" s="13" t="n">
        <f aca="false">SMALL(Datos!$D$2:$D$1501,A847)</f>
        <v>161.047694894257</v>
      </c>
      <c r="C847" s="21" t="n">
        <f aca="false">(Config!$B$11-A847+1)/Config!$B$11</f>
        <v>0.438666666666667</v>
      </c>
    </row>
    <row r="848" customFormat="false" ht="15" hidden="false" customHeight="false" outlineLevel="0" collapsed="false">
      <c r="A848" s="2" t="n">
        <v>844</v>
      </c>
      <c r="B848" s="13" t="n">
        <f aca="false">SMALL(Datos!$D$2:$D$1501,A848)</f>
        <v>161.069103219527</v>
      </c>
      <c r="C848" s="21" t="n">
        <f aca="false">(Config!$B$11-A848+1)/Config!$B$11</f>
        <v>0.438</v>
      </c>
    </row>
    <row r="849" customFormat="false" ht="15" hidden="false" customHeight="false" outlineLevel="0" collapsed="false">
      <c r="A849" s="2" t="n">
        <v>845</v>
      </c>
      <c r="B849" s="13" t="n">
        <f aca="false">SMALL(Datos!$D$2:$D$1501,A849)</f>
        <v>161.069103219527</v>
      </c>
      <c r="C849" s="21" t="n">
        <f aca="false">(Config!$B$11-A849+1)/Config!$B$11</f>
        <v>0.437333333333333</v>
      </c>
    </row>
    <row r="850" customFormat="false" ht="15" hidden="false" customHeight="false" outlineLevel="0" collapsed="false">
      <c r="A850" s="2" t="n">
        <v>846</v>
      </c>
      <c r="B850" s="13" t="n">
        <f aca="false">SMALL(Datos!$D$2:$D$1501,A850)</f>
        <v>161.072671273738</v>
      </c>
      <c r="C850" s="21" t="n">
        <f aca="false">(Config!$B$11-A850+1)/Config!$B$11</f>
        <v>0.436666666666667</v>
      </c>
    </row>
    <row r="851" customFormat="false" ht="15" hidden="false" customHeight="false" outlineLevel="0" collapsed="false">
      <c r="A851" s="2" t="n">
        <v>847</v>
      </c>
      <c r="B851" s="13" t="n">
        <f aca="false">SMALL(Datos!$D$2:$D$1501,A851)</f>
        <v>161.07623932795</v>
      </c>
      <c r="C851" s="21" t="n">
        <f aca="false">(Config!$B$11-A851+1)/Config!$B$11</f>
        <v>0.436</v>
      </c>
    </row>
    <row r="852" customFormat="false" ht="15" hidden="false" customHeight="false" outlineLevel="0" collapsed="false">
      <c r="A852" s="2" t="n">
        <v>848</v>
      </c>
      <c r="B852" s="13" t="n">
        <f aca="false">SMALL(Datos!$D$2:$D$1501,A852)</f>
        <v>161.086943490585</v>
      </c>
      <c r="C852" s="21" t="n">
        <f aca="false">(Config!$B$11-A852+1)/Config!$B$11</f>
        <v>0.435333333333333</v>
      </c>
    </row>
    <row r="853" customFormat="false" ht="15" hidden="false" customHeight="false" outlineLevel="0" collapsed="false">
      <c r="A853" s="2" t="n">
        <v>849</v>
      </c>
      <c r="B853" s="13" t="n">
        <f aca="false">SMALL(Datos!$D$2:$D$1501,A853)</f>
        <v>161.101215707431</v>
      </c>
      <c r="C853" s="21" t="n">
        <f aca="false">(Config!$B$11-A853+1)/Config!$B$11</f>
        <v>0.434666666666667</v>
      </c>
    </row>
    <row r="854" customFormat="false" ht="15" hidden="false" customHeight="false" outlineLevel="0" collapsed="false">
      <c r="A854" s="2" t="n">
        <v>850</v>
      </c>
      <c r="B854" s="13" t="n">
        <f aca="false">SMALL(Datos!$D$2:$D$1501,A854)</f>
        <v>161.108351815854</v>
      </c>
      <c r="C854" s="21" t="n">
        <f aca="false">(Config!$B$11-A854+1)/Config!$B$11</f>
        <v>0.434</v>
      </c>
    </row>
    <row r="855" customFormat="false" ht="15" hidden="false" customHeight="false" outlineLevel="0" collapsed="false">
      <c r="A855" s="2" t="n">
        <v>851</v>
      </c>
      <c r="B855" s="13" t="n">
        <f aca="false">SMALL(Datos!$D$2:$D$1501,A855)</f>
        <v>161.108351815854</v>
      </c>
      <c r="C855" s="21" t="n">
        <f aca="false">(Config!$B$11-A855+1)/Config!$B$11</f>
        <v>0.433333333333333</v>
      </c>
    </row>
    <row r="856" customFormat="false" ht="15" hidden="false" customHeight="false" outlineLevel="0" collapsed="false">
      <c r="A856" s="2" t="n">
        <v>852</v>
      </c>
      <c r="B856" s="13" t="n">
        <f aca="false">SMALL(Datos!$D$2:$D$1501,A856)</f>
        <v>161.126192086912</v>
      </c>
      <c r="C856" s="21" t="n">
        <f aca="false">(Config!$B$11-A856+1)/Config!$B$11</f>
        <v>0.432666666666667</v>
      </c>
    </row>
    <row r="857" customFormat="false" ht="15" hidden="false" customHeight="false" outlineLevel="0" collapsed="false">
      <c r="A857" s="2" t="n">
        <v>853</v>
      </c>
      <c r="B857" s="13" t="n">
        <f aca="false">SMALL(Datos!$D$2:$D$1501,A857)</f>
        <v>161.133328195335</v>
      </c>
      <c r="C857" s="21" t="n">
        <f aca="false">(Config!$B$11-A857+1)/Config!$B$11</f>
        <v>0.432</v>
      </c>
    </row>
    <row r="858" customFormat="false" ht="15" hidden="false" customHeight="false" outlineLevel="0" collapsed="false">
      <c r="A858" s="2" t="n">
        <v>854</v>
      </c>
      <c r="B858" s="13" t="n">
        <f aca="false">SMALL(Datos!$D$2:$D$1501,A858)</f>
        <v>161.133328195335</v>
      </c>
      <c r="C858" s="21" t="n">
        <f aca="false">(Config!$B$11-A858+1)/Config!$B$11</f>
        <v>0.431333333333333</v>
      </c>
    </row>
    <row r="859" customFormat="false" ht="15" hidden="false" customHeight="false" outlineLevel="0" collapsed="false">
      <c r="A859" s="2" t="n">
        <v>855</v>
      </c>
      <c r="B859" s="13" t="n">
        <f aca="false">SMALL(Datos!$D$2:$D$1501,A859)</f>
        <v>161.136896249547</v>
      </c>
      <c r="C859" s="21" t="n">
        <f aca="false">(Config!$B$11-A859+1)/Config!$B$11</f>
        <v>0.430666666666667</v>
      </c>
    </row>
    <row r="860" customFormat="false" ht="15" hidden="false" customHeight="false" outlineLevel="0" collapsed="false">
      <c r="A860" s="2" t="n">
        <v>856</v>
      </c>
      <c r="B860" s="13" t="n">
        <f aca="false">SMALL(Datos!$D$2:$D$1501,A860)</f>
        <v>161.14403235797</v>
      </c>
      <c r="C860" s="21" t="n">
        <f aca="false">(Config!$B$11-A860+1)/Config!$B$11</f>
        <v>0.43</v>
      </c>
    </row>
    <row r="861" customFormat="false" ht="15" hidden="false" customHeight="false" outlineLevel="0" collapsed="false">
      <c r="A861" s="2" t="n">
        <v>857</v>
      </c>
      <c r="B861" s="13" t="n">
        <f aca="false">SMALL(Datos!$D$2:$D$1501,A861)</f>
        <v>161.14403235797</v>
      </c>
      <c r="C861" s="21" t="n">
        <f aca="false">(Config!$B$11-A861+1)/Config!$B$11</f>
        <v>0.429333333333333</v>
      </c>
    </row>
    <row r="862" customFormat="false" ht="15" hidden="false" customHeight="false" outlineLevel="0" collapsed="false">
      <c r="A862" s="2" t="n">
        <v>858</v>
      </c>
      <c r="B862" s="13" t="n">
        <f aca="false">SMALL(Datos!$D$2:$D$1501,A862)</f>
        <v>161.161872629028</v>
      </c>
      <c r="C862" s="21" t="n">
        <f aca="false">(Config!$B$11-A862+1)/Config!$B$11</f>
        <v>0.428666666666667</v>
      </c>
    </row>
    <row r="863" customFormat="false" ht="15" hidden="false" customHeight="false" outlineLevel="0" collapsed="false">
      <c r="A863" s="2" t="n">
        <v>859</v>
      </c>
      <c r="B863" s="13" t="n">
        <f aca="false">SMALL(Datos!$D$2:$D$1501,A863)</f>
        <v>161.186849008509</v>
      </c>
      <c r="C863" s="21" t="n">
        <f aca="false">(Config!$B$11-A863+1)/Config!$B$11</f>
        <v>0.428</v>
      </c>
    </row>
    <row r="864" customFormat="false" ht="15" hidden="false" customHeight="false" outlineLevel="0" collapsed="false">
      <c r="A864" s="2" t="n">
        <v>860</v>
      </c>
      <c r="B864" s="13" t="n">
        <f aca="false">SMALL(Datos!$D$2:$D$1501,A864)</f>
        <v>161.204689279567</v>
      </c>
      <c r="C864" s="21" t="n">
        <f aca="false">(Config!$B$11-A864+1)/Config!$B$11</f>
        <v>0.427333333333333</v>
      </c>
    </row>
    <row r="865" customFormat="false" ht="15" hidden="false" customHeight="false" outlineLevel="0" collapsed="false">
      <c r="A865" s="2" t="n">
        <v>861</v>
      </c>
      <c r="B865" s="13" t="n">
        <f aca="false">SMALL(Datos!$D$2:$D$1501,A865)</f>
        <v>161.21182538799</v>
      </c>
      <c r="C865" s="21" t="n">
        <f aca="false">(Config!$B$11-A865+1)/Config!$B$11</f>
        <v>0.426666666666667</v>
      </c>
    </row>
    <row r="866" customFormat="false" ht="15" hidden="false" customHeight="false" outlineLevel="0" collapsed="false">
      <c r="A866" s="2" t="n">
        <v>862</v>
      </c>
      <c r="B866" s="13" t="n">
        <f aca="false">SMALL(Datos!$D$2:$D$1501,A866)</f>
        <v>161.21182538799</v>
      </c>
      <c r="C866" s="21" t="n">
        <f aca="false">(Config!$B$11-A866+1)/Config!$B$11</f>
        <v>0.426</v>
      </c>
    </row>
    <row r="867" customFormat="false" ht="15" hidden="false" customHeight="false" outlineLevel="0" collapsed="false">
      <c r="A867" s="2" t="n">
        <v>863</v>
      </c>
      <c r="B867" s="13" t="n">
        <f aca="false">SMALL(Datos!$D$2:$D$1501,A867)</f>
        <v>161.218961496413</v>
      </c>
      <c r="C867" s="21" t="n">
        <f aca="false">(Config!$B$11-A867+1)/Config!$B$11</f>
        <v>0.425333333333333</v>
      </c>
    </row>
    <row r="868" customFormat="false" ht="15" hidden="false" customHeight="false" outlineLevel="0" collapsed="false">
      <c r="A868" s="2" t="n">
        <v>864</v>
      </c>
      <c r="B868" s="13" t="n">
        <f aca="false">SMALL(Datos!$D$2:$D$1501,A868)</f>
        <v>161.218961496413</v>
      </c>
      <c r="C868" s="21" t="n">
        <f aca="false">(Config!$B$11-A868+1)/Config!$B$11</f>
        <v>0.424666666666667</v>
      </c>
    </row>
    <row r="869" customFormat="false" ht="15" hidden="false" customHeight="false" outlineLevel="0" collapsed="false">
      <c r="A869" s="2" t="n">
        <v>865</v>
      </c>
      <c r="B869" s="13" t="n">
        <f aca="false">SMALL(Datos!$D$2:$D$1501,A869)</f>
        <v>161.229665659048</v>
      </c>
      <c r="C869" s="21" t="n">
        <f aca="false">(Config!$B$11-A869+1)/Config!$B$11</f>
        <v>0.424</v>
      </c>
    </row>
    <row r="870" customFormat="false" ht="15" hidden="false" customHeight="false" outlineLevel="0" collapsed="false">
      <c r="A870" s="2" t="n">
        <v>866</v>
      </c>
      <c r="B870" s="13" t="n">
        <f aca="false">SMALL(Datos!$D$2:$D$1501,A870)</f>
        <v>161.229665659048</v>
      </c>
      <c r="C870" s="21" t="n">
        <f aca="false">(Config!$B$11-A870+1)/Config!$B$11</f>
        <v>0.423333333333333</v>
      </c>
    </row>
    <row r="871" customFormat="false" ht="15" hidden="false" customHeight="false" outlineLevel="0" collapsed="false">
      <c r="A871" s="2" t="n">
        <v>867</v>
      </c>
      <c r="B871" s="13" t="n">
        <f aca="false">SMALL(Datos!$D$2:$D$1501,A871)</f>
        <v>161.23323371326</v>
      </c>
      <c r="C871" s="21" t="n">
        <f aca="false">(Config!$B$11-A871+1)/Config!$B$11</f>
        <v>0.422666666666667</v>
      </c>
    </row>
    <row r="872" customFormat="false" ht="15" hidden="false" customHeight="false" outlineLevel="0" collapsed="false">
      <c r="A872" s="2" t="n">
        <v>868</v>
      </c>
      <c r="B872" s="13" t="n">
        <f aca="false">SMALL(Datos!$D$2:$D$1501,A872)</f>
        <v>161.243937875895</v>
      </c>
      <c r="C872" s="21" t="n">
        <f aca="false">(Config!$B$11-A872+1)/Config!$B$11</f>
        <v>0.422</v>
      </c>
    </row>
    <row r="873" customFormat="false" ht="15" hidden="false" customHeight="false" outlineLevel="0" collapsed="false">
      <c r="A873" s="2" t="n">
        <v>869</v>
      </c>
      <c r="B873" s="13" t="n">
        <f aca="false">SMALL(Datos!$D$2:$D$1501,A873)</f>
        <v>161.247505930106</v>
      </c>
      <c r="C873" s="21" t="n">
        <f aca="false">(Config!$B$11-A873+1)/Config!$B$11</f>
        <v>0.421333333333333</v>
      </c>
    </row>
    <row r="874" customFormat="false" ht="15" hidden="false" customHeight="false" outlineLevel="0" collapsed="false">
      <c r="A874" s="2" t="n">
        <v>870</v>
      </c>
      <c r="B874" s="13" t="n">
        <f aca="false">SMALL(Datos!$D$2:$D$1501,A874)</f>
        <v>161.254642038529</v>
      </c>
      <c r="C874" s="21" t="n">
        <f aca="false">(Config!$B$11-A874+1)/Config!$B$11</f>
        <v>0.420666666666667</v>
      </c>
    </row>
    <row r="875" customFormat="false" ht="15" hidden="false" customHeight="false" outlineLevel="0" collapsed="false">
      <c r="A875" s="2" t="n">
        <v>871</v>
      </c>
      <c r="B875" s="13" t="n">
        <f aca="false">SMALL(Datos!$D$2:$D$1501,A875)</f>
        <v>161.254642038529</v>
      </c>
      <c r="C875" s="21" t="n">
        <f aca="false">(Config!$B$11-A875+1)/Config!$B$11</f>
        <v>0.42</v>
      </c>
    </row>
    <row r="876" customFormat="false" ht="15" hidden="false" customHeight="false" outlineLevel="0" collapsed="false">
      <c r="A876" s="2" t="n">
        <v>872</v>
      </c>
      <c r="B876" s="13" t="n">
        <f aca="false">SMALL(Datos!$D$2:$D$1501,A876)</f>
        <v>161.272482309587</v>
      </c>
      <c r="C876" s="21" t="n">
        <f aca="false">(Config!$B$11-A876+1)/Config!$B$11</f>
        <v>0.419333333333333</v>
      </c>
    </row>
    <row r="877" customFormat="false" ht="15" hidden="false" customHeight="false" outlineLevel="0" collapsed="false">
      <c r="A877" s="2" t="n">
        <v>873</v>
      </c>
      <c r="B877" s="13" t="n">
        <f aca="false">SMALL(Datos!$D$2:$D$1501,A877)</f>
        <v>161.293890634857</v>
      </c>
      <c r="C877" s="21" t="n">
        <f aca="false">(Config!$B$11-A877+1)/Config!$B$11</f>
        <v>0.418666666666667</v>
      </c>
    </row>
    <row r="878" customFormat="false" ht="15" hidden="false" customHeight="false" outlineLevel="0" collapsed="false">
      <c r="A878" s="2" t="n">
        <v>874</v>
      </c>
      <c r="B878" s="13" t="n">
        <f aca="false">SMALL(Datos!$D$2:$D$1501,A878)</f>
        <v>161.318867014338</v>
      </c>
      <c r="C878" s="21" t="n">
        <f aca="false">(Config!$B$11-A878+1)/Config!$B$11</f>
        <v>0.418</v>
      </c>
    </row>
    <row r="879" customFormat="false" ht="15" hidden="false" customHeight="false" outlineLevel="0" collapsed="false">
      <c r="A879" s="2" t="n">
        <v>875</v>
      </c>
      <c r="B879" s="13" t="n">
        <f aca="false">SMALL(Datos!$D$2:$D$1501,A879)</f>
        <v>161.318867014338</v>
      </c>
      <c r="C879" s="21" t="n">
        <f aca="false">(Config!$B$11-A879+1)/Config!$B$11</f>
        <v>0.417333333333333</v>
      </c>
    </row>
    <row r="880" customFormat="false" ht="15" hidden="false" customHeight="false" outlineLevel="0" collapsed="false">
      <c r="A880" s="2" t="n">
        <v>876</v>
      </c>
      <c r="B880" s="13" t="n">
        <f aca="false">SMALL(Datos!$D$2:$D$1501,A880)</f>
        <v>161.333139231184</v>
      </c>
      <c r="C880" s="21" t="n">
        <f aca="false">(Config!$B$11-A880+1)/Config!$B$11</f>
        <v>0.416666666666667</v>
      </c>
    </row>
    <row r="881" customFormat="false" ht="15" hidden="false" customHeight="false" outlineLevel="0" collapsed="false">
      <c r="A881" s="2" t="n">
        <v>877</v>
      </c>
      <c r="B881" s="13" t="n">
        <f aca="false">SMALL(Datos!$D$2:$D$1501,A881)</f>
        <v>161.340275339607</v>
      </c>
      <c r="C881" s="21" t="n">
        <f aca="false">(Config!$B$11-A881+1)/Config!$B$11</f>
        <v>0.416</v>
      </c>
    </row>
    <row r="882" customFormat="false" ht="15" hidden="false" customHeight="false" outlineLevel="0" collapsed="false">
      <c r="A882" s="2" t="n">
        <v>878</v>
      </c>
      <c r="B882" s="13" t="n">
        <f aca="false">SMALL(Datos!$D$2:$D$1501,A882)</f>
        <v>161.343843393819</v>
      </c>
      <c r="C882" s="21" t="n">
        <f aca="false">(Config!$B$11-A882+1)/Config!$B$11</f>
        <v>0.415333333333333</v>
      </c>
    </row>
    <row r="883" customFormat="false" ht="15" hidden="false" customHeight="false" outlineLevel="0" collapsed="false">
      <c r="A883" s="2" t="n">
        <v>879</v>
      </c>
      <c r="B883" s="13" t="n">
        <f aca="false">SMALL(Datos!$D$2:$D$1501,A883)</f>
        <v>161.343843393819</v>
      </c>
      <c r="C883" s="21" t="n">
        <f aca="false">(Config!$B$11-A883+1)/Config!$B$11</f>
        <v>0.414666666666667</v>
      </c>
    </row>
    <row r="884" customFormat="false" ht="15" hidden="false" customHeight="false" outlineLevel="0" collapsed="false">
      <c r="A884" s="2" t="n">
        <v>880</v>
      </c>
      <c r="B884" s="13" t="n">
        <f aca="false">SMALL(Datos!$D$2:$D$1501,A884)</f>
        <v>161.347411448031</v>
      </c>
      <c r="C884" s="21" t="n">
        <f aca="false">(Config!$B$11-A884+1)/Config!$B$11</f>
        <v>0.414</v>
      </c>
    </row>
    <row r="885" customFormat="false" ht="15" hidden="false" customHeight="false" outlineLevel="0" collapsed="false">
      <c r="A885" s="2" t="n">
        <v>881</v>
      </c>
      <c r="B885" s="13" t="n">
        <f aca="false">SMALL(Datos!$D$2:$D$1501,A885)</f>
        <v>161.350979502242</v>
      </c>
      <c r="C885" s="21" t="n">
        <f aca="false">(Config!$B$11-A885+1)/Config!$B$11</f>
        <v>0.413333333333333</v>
      </c>
    </row>
    <row r="886" customFormat="false" ht="15" hidden="false" customHeight="false" outlineLevel="0" collapsed="false">
      <c r="A886" s="2" t="n">
        <v>882</v>
      </c>
      <c r="B886" s="13" t="n">
        <f aca="false">SMALL(Datos!$D$2:$D$1501,A886)</f>
        <v>161.379523935935</v>
      </c>
      <c r="C886" s="21" t="n">
        <f aca="false">(Config!$B$11-A886+1)/Config!$B$11</f>
        <v>0.412666666666667</v>
      </c>
    </row>
    <row r="887" customFormat="false" ht="15" hidden="false" customHeight="false" outlineLevel="0" collapsed="false">
      <c r="A887" s="2" t="n">
        <v>883</v>
      </c>
      <c r="B887" s="13" t="n">
        <f aca="false">SMALL(Datos!$D$2:$D$1501,A887)</f>
        <v>161.379523935935</v>
      </c>
      <c r="C887" s="21" t="n">
        <f aca="false">(Config!$B$11-A887+1)/Config!$B$11</f>
        <v>0.412</v>
      </c>
    </row>
    <row r="888" customFormat="false" ht="15" hidden="false" customHeight="false" outlineLevel="0" collapsed="false">
      <c r="A888" s="2" t="n">
        <v>884</v>
      </c>
      <c r="B888" s="13" t="n">
        <f aca="false">SMALL(Datos!$D$2:$D$1501,A888)</f>
        <v>161.379523935935</v>
      </c>
      <c r="C888" s="21" t="n">
        <f aca="false">(Config!$B$11-A888+1)/Config!$B$11</f>
        <v>0.411333333333333</v>
      </c>
    </row>
    <row r="889" customFormat="false" ht="15" hidden="false" customHeight="false" outlineLevel="0" collapsed="false">
      <c r="A889" s="2" t="n">
        <v>885</v>
      </c>
      <c r="B889" s="13" t="n">
        <f aca="false">SMALL(Datos!$D$2:$D$1501,A889)</f>
        <v>161.383091990147</v>
      </c>
      <c r="C889" s="21" t="n">
        <f aca="false">(Config!$B$11-A889+1)/Config!$B$11</f>
        <v>0.410666666666667</v>
      </c>
    </row>
    <row r="890" customFormat="false" ht="15" hidden="false" customHeight="false" outlineLevel="0" collapsed="false">
      <c r="A890" s="2" t="n">
        <v>886</v>
      </c>
      <c r="B890" s="13" t="n">
        <f aca="false">SMALL(Datos!$D$2:$D$1501,A890)</f>
        <v>161.397364206993</v>
      </c>
      <c r="C890" s="21" t="n">
        <f aca="false">(Config!$B$11-A890+1)/Config!$B$11</f>
        <v>0.41</v>
      </c>
    </row>
    <row r="891" customFormat="false" ht="15" hidden="false" customHeight="false" outlineLevel="0" collapsed="false">
      <c r="A891" s="2" t="n">
        <v>887</v>
      </c>
      <c r="B891" s="13" t="n">
        <f aca="false">SMALL(Datos!$D$2:$D$1501,A891)</f>
        <v>161.400932261204</v>
      </c>
      <c r="C891" s="21" t="n">
        <f aca="false">(Config!$B$11-A891+1)/Config!$B$11</f>
        <v>0.409333333333333</v>
      </c>
    </row>
    <row r="892" customFormat="false" ht="15" hidden="false" customHeight="false" outlineLevel="0" collapsed="false">
      <c r="A892" s="2" t="n">
        <v>888</v>
      </c>
      <c r="B892" s="13" t="n">
        <f aca="false">SMALL(Datos!$D$2:$D$1501,A892)</f>
        <v>161.404500315416</v>
      </c>
      <c r="C892" s="21" t="n">
        <f aca="false">(Config!$B$11-A892+1)/Config!$B$11</f>
        <v>0.408666666666667</v>
      </c>
    </row>
    <row r="893" customFormat="false" ht="15" hidden="false" customHeight="false" outlineLevel="0" collapsed="false">
      <c r="A893" s="2" t="n">
        <v>889</v>
      </c>
      <c r="B893" s="13" t="n">
        <f aca="false">SMALL(Datos!$D$2:$D$1501,A893)</f>
        <v>161.411636423839</v>
      </c>
      <c r="C893" s="21" t="n">
        <f aca="false">(Config!$B$11-A893+1)/Config!$B$11</f>
        <v>0.408</v>
      </c>
    </row>
    <row r="894" customFormat="false" ht="15" hidden="false" customHeight="false" outlineLevel="0" collapsed="false">
      <c r="A894" s="2" t="n">
        <v>890</v>
      </c>
      <c r="B894" s="13" t="n">
        <f aca="false">SMALL(Datos!$D$2:$D$1501,A894)</f>
        <v>161.422340586474</v>
      </c>
      <c r="C894" s="21" t="n">
        <f aca="false">(Config!$B$11-A894+1)/Config!$B$11</f>
        <v>0.407333333333333</v>
      </c>
    </row>
    <row r="895" customFormat="false" ht="15" hidden="false" customHeight="false" outlineLevel="0" collapsed="false">
      <c r="A895" s="2" t="n">
        <v>891</v>
      </c>
      <c r="B895" s="13" t="n">
        <f aca="false">SMALL(Datos!$D$2:$D$1501,A895)</f>
        <v>161.43661280332</v>
      </c>
      <c r="C895" s="21" t="n">
        <f aca="false">(Config!$B$11-A895+1)/Config!$B$11</f>
        <v>0.406666666666667</v>
      </c>
    </row>
    <row r="896" customFormat="false" ht="15" hidden="false" customHeight="false" outlineLevel="0" collapsed="false">
      <c r="A896" s="2" t="n">
        <v>892</v>
      </c>
      <c r="B896" s="13" t="n">
        <f aca="false">SMALL(Datos!$D$2:$D$1501,A896)</f>
        <v>161.454453074378</v>
      </c>
      <c r="C896" s="21" t="n">
        <f aca="false">(Config!$B$11-A896+1)/Config!$B$11</f>
        <v>0.406</v>
      </c>
    </row>
    <row r="897" customFormat="false" ht="15" hidden="false" customHeight="false" outlineLevel="0" collapsed="false">
      <c r="A897" s="2" t="n">
        <v>893</v>
      </c>
      <c r="B897" s="13" t="n">
        <f aca="false">SMALL(Datos!$D$2:$D$1501,A897)</f>
        <v>161.479429453859</v>
      </c>
      <c r="C897" s="21" t="n">
        <f aca="false">(Config!$B$11-A897+1)/Config!$B$11</f>
        <v>0.405333333333333</v>
      </c>
    </row>
    <row r="898" customFormat="false" ht="15" hidden="false" customHeight="false" outlineLevel="0" collapsed="false">
      <c r="A898" s="2" t="n">
        <v>894</v>
      </c>
      <c r="B898" s="13" t="n">
        <f aca="false">SMALL(Datos!$D$2:$D$1501,A898)</f>
        <v>161.500837779129</v>
      </c>
      <c r="C898" s="21" t="n">
        <f aca="false">(Config!$B$11-A898+1)/Config!$B$11</f>
        <v>0.404666666666667</v>
      </c>
    </row>
    <row r="899" customFormat="false" ht="15" hidden="false" customHeight="false" outlineLevel="0" collapsed="false">
      <c r="A899" s="2" t="n">
        <v>895</v>
      </c>
      <c r="B899" s="13" t="n">
        <f aca="false">SMALL(Datos!$D$2:$D$1501,A899)</f>
        <v>161.507973887552</v>
      </c>
      <c r="C899" s="21" t="n">
        <f aca="false">(Config!$B$11-A899+1)/Config!$B$11</f>
        <v>0.404</v>
      </c>
    </row>
    <row r="900" customFormat="false" ht="15" hidden="false" customHeight="false" outlineLevel="0" collapsed="false">
      <c r="A900" s="2" t="n">
        <v>896</v>
      </c>
      <c r="B900" s="13" t="n">
        <f aca="false">SMALL(Datos!$D$2:$D$1501,A900)</f>
        <v>161.518678050187</v>
      </c>
      <c r="C900" s="21" t="n">
        <f aca="false">(Config!$B$11-A900+1)/Config!$B$11</f>
        <v>0.403333333333333</v>
      </c>
    </row>
    <row r="901" customFormat="false" ht="15" hidden="false" customHeight="false" outlineLevel="0" collapsed="false">
      <c r="A901" s="2" t="n">
        <v>897</v>
      </c>
      <c r="B901" s="13" t="n">
        <f aca="false">SMALL(Datos!$D$2:$D$1501,A901)</f>
        <v>161.522246104398</v>
      </c>
      <c r="C901" s="21" t="n">
        <f aca="false">(Config!$B$11-A901+1)/Config!$B$11</f>
        <v>0.402666666666667</v>
      </c>
    </row>
    <row r="902" customFormat="false" ht="15" hidden="false" customHeight="false" outlineLevel="0" collapsed="false">
      <c r="A902" s="2" t="n">
        <v>898</v>
      </c>
      <c r="B902" s="13" t="n">
        <f aca="false">SMALL(Datos!$D$2:$D$1501,A902)</f>
        <v>161.529382212822</v>
      </c>
      <c r="C902" s="21" t="n">
        <f aca="false">(Config!$B$11-A902+1)/Config!$B$11</f>
        <v>0.402</v>
      </c>
    </row>
    <row r="903" customFormat="false" ht="15" hidden="false" customHeight="false" outlineLevel="0" collapsed="false">
      <c r="A903" s="2" t="n">
        <v>899</v>
      </c>
      <c r="B903" s="13" t="n">
        <f aca="false">SMALL(Datos!$D$2:$D$1501,A903)</f>
        <v>161.565062754938</v>
      </c>
      <c r="C903" s="21" t="n">
        <f aca="false">(Config!$B$11-A903+1)/Config!$B$11</f>
        <v>0.401333333333333</v>
      </c>
    </row>
    <row r="904" customFormat="false" ht="15" hidden="false" customHeight="false" outlineLevel="0" collapsed="false">
      <c r="A904" s="2" t="n">
        <v>900</v>
      </c>
      <c r="B904" s="13" t="n">
        <f aca="false">SMALL(Datos!$D$2:$D$1501,A904)</f>
        <v>161.572198863361</v>
      </c>
      <c r="C904" s="21" t="n">
        <f aca="false">(Config!$B$11-A904+1)/Config!$B$11</f>
        <v>0.400666666666667</v>
      </c>
    </row>
    <row r="905" customFormat="false" ht="15" hidden="false" customHeight="false" outlineLevel="0" collapsed="false">
      <c r="A905" s="2" t="n">
        <v>901</v>
      </c>
      <c r="B905" s="13" t="n">
        <f aca="false">SMALL(Datos!$D$2:$D$1501,A905)</f>
        <v>161.575766917572</v>
      </c>
      <c r="C905" s="21" t="n">
        <f aca="false">(Config!$B$11-A905+1)/Config!$B$11</f>
        <v>0.4</v>
      </c>
    </row>
    <row r="906" customFormat="false" ht="15" hidden="false" customHeight="false" outlineLevel="0" collapsed="false">
      <c r="A906" s="2" t="n">
        <v>902</v>
      </c>
      <c r="B906" s="13" t="n">
        <f aca="false">SMALL(Datos!$D$2:$D$1501,A906)</f>
        <v>161.582903025995</v>
      </c>
      <c r="C906" s="21" t="n">
        <f aca="false">(Config!$B$11-A906+1)/Config!$B$11</f>
        <v>0.399333333333333</v>
      </c>
    </row>
    <row r="907" customFormat="false" ht="15" hidden="false" customHeight="false" outlineLevel="0" collapsed="false">
      <c r="A907" s="2" t="n">
        <v>903</v>
      </c>
      <c r="B907" s="13" t="n">
        <f aca="false">SMALL(Datos!$D$2:$D$1501,A907)</f>
        <v>161.582903025995</v>
      </c>
      <c r="C907" s="21" t="n">
        <f aca="false">(Config!$B$11-A907+1)/Config!$B$11</f>
        <v>0.398666666666667</v>
      </c>
    </row>
    <row r="908" customFormat="false" ht="15" hidden="false" customHeight="false" outlineLevel="0" collapsed="false">
      <c r="A908" s="2" t="n">
        <v>904</v>
      </c>
      <c r="B908" s="13" t="n">
        <f aca="false">SMALL(Datos!$D$2:$D$1501,A908)</f>
        <v>161.607879405477</v>
      </c>
      <c r="C908" s="21" t="n">
        <f aca="false">(Config!$B$11-A908+1)/Config!$B$11</f>
        <v>0.398</v>
      </c>
    </row>
    <row r="909" customFormat="false" ht="15" hidden="false" customHeight="false" outlineLevel="0" collapsed="false">
      <c r="A909" s="2" t="n">
        <v>905</v>
      </c>
      <c r="B909" s="13" t="n">
        <f aca="false">SMALL(Datos!$D$2:$D$1501,A909)</f>
        <v>161.636423839169</v>
      </c>
      <c r="C909" s="21" t="n">
        <f aca="false">(Config!$B$11-A909+1)/Config!$B$11</f>
        <v>0.397333333333333</v>
      </c>
    </row>
    <row r="910" customFormat="false" ht="15" hidden="false" customHeight="false" outlineLevel="0" collapsed="false">
      <c r="A910" s="2" t="n">
        <v>906</v>
      </c>
      <c r="B910" s="13" t="n">
        <f aca="false">SMALL(Datos!$D$2:$D$1501,A910)</f>
        <v>161.654264110227</v>
      </c>
      <c r="C910" s="21" t="n">
        <f aca="false">(Config!$B$11-A910+1)/Config!$B$11</f>
        <v>0.396666666666667</v>
      </c>
    </row>
    <row r="911" customFormat="false" ht="15" hidden="false" customHeight="false" outlineLevel="0" collapsed="false">
      <c r="A911" s="2" t="n">
        <v>907</v>
      </c>
      <c r="B911" s="13" t="n">
        <f aca="false">SMALL(Datos!$D$2:$D$1501,A911)</f>
        <v>161.657832164439</v>
      </c>
      <c r="C911" s="21" t="n">
        <f aca="false">(Config!$B$11-A911+1)/Config!$B$11</f>
        <v>0.396</v>
      </c>
    </row>
    <row r="912" customFormat="false" ht="15" hidden="false" customHeight="false" outlineLevel="0" collapsed="false">
      <c r="A912" s="2" t="n">
        <v>908</v>
      </c>
      <c r="B912" s="13" t="n">
        <f aca="false">SMALL(Datos!$D$2:$D$1501,A912)</f>
        <v>161.66140021865</v>
      </c>
      <c r="C912" s="21" t="n">
        <f aca="false">(Config!$B$11-A912+1)/Config!$B$11</f>
        <v>0.395333333333333</v>
      </c>
    </row>
    <row r="913" customFormat="false" ht="15" hidden="false" customHeight="false" outlineLevel="0" collapsed="false">
      <c r="A913" s="2" t="n">
        <v>909</v>
      </c>
      <c r="B913" s="13" t="n">
        <f aca="false">SMALL(Datos!$D$2:$D$1501,A913)</f>
        <v>161.664968272862</v>
      </c>
      <c r="C913" s="21" t="n">
        <f aca="false">(Config!$B$11-A913+1)/Config!$B$11</f>
        <v>0.394666666666667</v>
      </c>
    </row>
    <row r="914" customFormat="false" ht="15" hidden="false" customHeight="false" outlineLevel="0" collapsed="false">
      <c r="A914" s="2" t="n">
        <v>910</v>
      </c>
      <c r="B914" s="13" t="n">
        <f aca="false">SMALL(Datos!$D$2:$D$1501,A914)</f>
        <v>161.672104381285</v>
      </c>
      <c r="C914" s="21" t="n">
        <f aca="false">(Config!$B$11-A914+1)/Config!$B$11</f>
        <v>0.394</v>
      </c>
    </row>
    <row r="915" customFormat="false" ht="15" hidden="false" customHeight="false" outlineLevel="0" collapsed="false">
      <c r="A915" s="2" t="n">
        <v>911</v>
      </c>
      <c r="B915" s="13" t="n">
        <f aca="false">SMALL(Datos!$D$2:$D$1501,A915)</f>
        <v>161.689944652343</v>
      </c>
      <c r="C915" s="21" t="n">
        <f aca="false">(Config!$B$11-A915+1)/Config!$B$11</f>
        <v>0.393333333333333</v>
      </c>
    </row>
    <row r="916" customFormat="false" ht="15" hidden="false" customHeight="false" outlineLevel="0" collapsed="false">
      <c r="A916" s="2" t="n">
        <v>912</v>
      </c>
      <c r="B916" s="13" t="n">
        <f aca="false">SMALL(Datos!$D$2:$D$1501,A916)</f>
        <v>161.693512706555</v>
      </c>
      <c r="C916" s="21" t="n">
        <f aca="false">(Config!$B$11-A916+1)/Config!$B$11</f>
        <v>0.392666666666667</v>
      </c>
    </row>
    <row r="917" customFormat="false" ht="15" hidden="false" customHeight="false" outlineLevel="0" collapsed="false">
      <c r="A917" s="2" t="n">
        <v>913</v>
      </c>
      <c r="B917" s="13" t="n">
        <f aca="false">SMALL(Datos!$D$2:$D$1501,A917)</f>
        <v>161.711352977613</v>
      </c>
      <c r="C917" s="21" t="n">
        <f aca="false">(Config!$B$11-A917+1)/Config!$B$11</f>
        <v>0.392</v>
      </c>
    </row>
    <row r="918" customFormat="false" ht="15" hidden="false" customHeight="false" outlineLevel="0" collapsed="false">
      <c r="A918" s="2" t="n">
        <v>914</v>
      </c>
      <c r="B918" s="13" t="n">
        <f aca="false">SMALL(Datos!$D$2:$D$1501,A918)</f>
        <v>161.729193248671</v>
      </c>
      <c r="C918" s="21" t="n">
        <f aca="false">(Config!$B$11-A918+1)/Config!$B$11</f>
        <v>0.391333333333333</v>
      </c>
    </row>
    <row r="919" customFormat="false" ht="15" hidden="false" customHeight="false" outlineLevel="0" collapsed="false">
      <c r="A919" s="2" t="n">
        <v>915</v>
      </c>
      <c r="B919" s="13" t="n">
        <f aca="false">SMALL(Datos!$D$2:$D$1501,A919)</f>
        <v>161.743465465517</v>
      </c>
      <c r="C919" s="21" t="n">
        <f aca="false">(Config!$B$11-A919+1)/Config!$B$11</f>
        <v>0.390666666666667</v>
      </c>
    </row>
    <row r="920" customFormat="false" ht="15" hidden="false" customHeight="false" outlineLevel="0" collapsed="false">
      <c r="A920" s="2" t="n">
        <v>916</v>
      </c>
      <c r="B920" s="13" t="n">
        <f aca="false">SMALL(Datos!$D$2:$D$1501,A920)</f>
        <v>161.75060157394</v>
      </c>
      <c r="C920" s="21" t="n">
        <f aca="false">(Config!$B$11-A920+1)/Config!$B$11</f>
        <v>0.39</v>
      </c>
    </row>
    <row r="921" customFormat="false" ht="15" hidden="false" customHeight="false" outlineLevel="0" collapsed="false">
      <c r="A921" s="2" t="n">
        <v>917</v>
      </c>
      <c r="B921" s="13" t="n">
        <f aca="false">SMALL(Datos!$D$2:$D$1501,A921)</f>
        <v>161.75060157394</v>
      </c>
      <c r="C921" s="21" t="n">
        <f aca="false">(Config!$B$11-A921+1)/Config!$B$11</f>
        <v>0.389333333333333</v>
      </c>
    </row>
    <row r="922" customFormat="false" ht="15" hidden="false" customHeight="false" outlineLevel="0" collapsed="false">
      <c r="A922" s="2" t="n">
        <v>918</v>
      </c>
      <c r="B922" s="13" t="n">
        <f aca="false">SMALL(Datos!$D$2:$D$1501,A922)</f>
        <v>161.779146007633</v>
      </c>
      <c r="C922" s="21" t="n">
        <f aca="false">(Config!$B$11-A922+1)/Config!$B$11</f>
        <v>0.388666666666667</v>
      </c>
    </row>
    <row r="923" customFormat="false" ht="15" hidden="false" customHeight="false" outlineLevel="0" collapsed="false">
      <c r="A923" s="2" t="n">
        <v>919</v>
      </c>
      <c r="B923" s="13" t="n">
        <f aca="false">SMALL(Datos!$D$2:$D$1501,A923)</f>
        <v>161.779146007633</v>
      </c>
      <c r="C923" s="21" t="n">
        <f aca="false">(Config!$B$11-A923+1)/Config!$B$11</f>
        <v>0.388</v>
      </c>
    </row>
    <row r="924" customFormat="false" ht="15" hidden="false" customHeight="false" outlineLevel="0" collapsed="false">
      <c r="A924" s="2" t="n">
        <v>920</v>
      </c>
      <c r="B924" s="13" t="n">
        <f aca="false">SMALL(Datos!$D$2:$D$1501,A924)</f>
        <v>161.786282116056</v>
      </c>
      <c r="C924" s="21" t="n">
        <f aca="false">(Config!$B$11-A924+1)/Config!$B$11</f>
        <v>0.387333333333333</v>
      </c>
    </row>
    <row r="925" customFormat="false" ht="15" hidden="false" customHeight="false" outlineLevel="0" collapsed="false">
      <c r="A925" s="2" t="n">
        <v>921</v>
      </c>
      <c r="B925" s="13" t="n">
        <f aca="false">SMALL(Datos!$D$2:$D$1501,A925)</f>
        <v>161.789850170268</v>
      </c>
      <c r="C925" s="21" t="n">
        <f aca="false">(Config!$B$11-A925+1)/Config!$B$11</f>
        <v>0.386666666666667</v>
      </c>
    </row>
    <row r="926" customFormat="false" ht="15" hidden="false" customHeight="false" outlineLevel="0" collapsed="false">
      <c r="A926" s="2" t="n">
        <v>922</v>
      </c>
      <c r="B926" s="13" t="n">
        <f aca="false">SMALL(Datos!$D$2:$D$1501,A926)</f>
        <v>161.800554332902</v>
      </c>
      <c r="C926" s="21" t="n">
        <f aca="false">(Config!$B$11-A926+1)/Config!$B$11</f>
        <v>0.386</v>
      </c>
    </row>
    <row r="927" customFormat="false" ht="15" hidden="false" customHeight="false" outlineLevel="0" collapsed="false">
      <c r="A927" s="2" t="n">
        <v>923</v>
      </c>
      <c r="B927" s="13" t="n">
        <f aca="false">SMALL(Datos!$D$2:$D$1501,A927)</f>
        <v>161.804122387114</v>
      </c>
      <c r="C927" s="21" t="n">
        <f aca="false">(Config!$B$11-A927+1)/Config!$B$11</f>
        <v>0.385333333333333</v>
      </c>
    </row>
    <row r="928" customFormat="false" ht="15" hidden="false" customHeight="false" outlineLevel="0" collapsed="false">
      <c r="A928" s="2" t="n">
        <v>924</v>
      </c>
      <c r="B928" s="13" t="n">
        <f aca="false">SMALL(Datos!$D$2:$D$1501,A928)</f>
        <v>161.807690441326</v>
      </c>
      <c r="C928" s="21" t="n">
        <f aca="false">(Config!$B$11-A928+1)/Config!$B$11</f>
        <v>0.384666666666667</v>
      </c>
    </row>
    <row r="929" customFormat="false" ht="15" hidden="false" customHeight="false" outlineLevel="0" collapsed="false">
      <c r="A929" s="2" t="n">
        <v>925</v>
      </c>
      <c r="B929" s="13" t="n">
        <f aca="false">SMALL(Datos!$D$2:$D$1501,A929)</f>
        <v>161.836234875018</v>
      </c>
      <c r="C929" s="21" t="n">
        <f aca="false">(Config!$B$11-A929+1)/Config!$B$11</f>
        <v>0.384</v>
      </c>
    </row>
    <row r="930" customFormat="false" ht="15" hidden="false" customHeight="false" outlineLevel="0" collapsed="false">
      <c r="A930" s="2" t="n">
        <v>926</v>
      </c>
      <c r="B930" s="13" t="n">
        <f aca="false">SMALL(Datos!$D$2:$D$1501,A930)</f>
        <v>161.836234875018</v>
      </c>
      <c r="C930" s="21" t="n">
        <f aca="false">(Config!$B$11-A930+1)/Config!$B$11</f>
        <v>0.383333333333333</v>
      </c>
    </row>
    <row r="931" customFormat="false" ht="15" hidden="false" customHeight="false" outlineLevel="0" collapsed="false">
      <c r="A931" s="2" t="n">
        <v>927</v>
      </c>
      <c r="B931" s="13" t="n">
        <f aca="false">SMALL(Datos!$D$2:$D$1501,A931)</f>
        <v>161.850507091865</v>
      </c>
      <c r="C931" s="21" t="n">
        <f aca="false">(Config!$B$11-A931+1)/Config!$B$11</f>
        <v>0.382666666666667</v>
      </c>
    </row>
    <row r="932" customFormat="false" ht="15" hidden="false" customHeight="false" outlineLevel="0" collapsed="false">
      <c r="A932" s="2" t="n">
        <v>928</v>
      </c>
      <c r="B932" s="13" t="n">
        <f aca="false">SMALL(Datos!$D$2:$D$1501,A932)</f>
        <v>161.854075146076</v>
      </c>
      <c r="C932" s="21" t="n">
        <f aca="false">(Config!$B$11-A932+1)/Config!$B$11</f>
        <v>0.382</v>
      </c>
    </row>
    <row r="933" customFormat="false" ht="15" hidden="false" customHeight="false" outlineLevel="0" collapsed="false">
      <c r="A933" s="2" t="n">
        <v>929</v>
      </c>
      <c r="B933" s="13" t="n">
        <f aca="false">SMALL(Datos!$D$2:$D$1501,A933)</f>
        <v>161.857643200288</v>
      </c>
      <c r="C933" s="21" t="n">
        <f aca="false">(Config!$B$11-A933+1)/Config!$B$11</f>
        <v>0.381333333333333</v>
      </c>
    </row>
    <row r="934" customFormat="false" ht="15" hidden="false" customHeight="false" outlineLevel="0" collapsed="false">
      <c r="A934" s="2" t="n">
        <v>930</v>
      </c>
      <c r="B934" s="13" t="n">
        <f aca="false">SMALL(Datos!$D$2:$D$1501,A934)</f>
        <v>161.857643200288</v>
      </c>
      <c r="C934" s="21" t="n">
        <f aca="false">(Config!$B$11-A934+1)/Config!$B$11</f>
        <v>0.380666666666667</v>
      </c>
    </row>
    <row r="935" customFormat="false" ht="15" hidden="false" customHeight="false" outlineLevel="0" collapsed="false">
      <c r="A935" s="2" t="n">
        <v>931</v>
      </c>
      <c r="B935" s="13" t="n">
        <f aca="false">SMALL(Datos!$D$2:$D$1501,A935)</f>
        <v>161.864779308711</v>
      </c>
      <c r="C935" s="21" t="n">
        <f aca="false">(Config!$B$11-A935+1)/Config!$B$11</f>
        <v>0.38</v>
      </c>
    </row>
    <row r="936" customFormat="false" ht="15" hidden="false" customHeight="false" outlineLevel="0" collapsed="false">
      <c r="A936" s="2" t="n">
        <v>932</v>
      </c>
      <c r="B936" s="13" t="n">
        <f aca="false">SMALL(Datos!$D$2:$D$1501,A936)</f>
        <v>161.871915417134</v>
      </c>
      <c r="C936" s="21" t="n">
        <f aca="false">(Config!$B$11-A936+1)/Config!$B$11</f>
        <v>0.379333333333333</v>
      </c>
    </row>
    <row r="937" customFormat="false" ht="15" hidden="false" customHeight="false" outlineLevel="0" collapsed="false">
      <c r="A937" s="2" t="n">
        <v>933</v>
      </c>
      <c r="B937" s="13" t="n">
        <f aca="false">SMALL(Datos!$D$2:$D$1501,A937)</f>
        <v>161.882619579769</v>
      </c>
      <c r="C937" s="21" t="n">
        <f aca="false">(Config!$B$11-A937+1)/Config!$B$11</f>
        <v>0.378666666666667</v>
      </c>
    </row>
    <row r="938" customFormat="false" ht="15" hidden="false" customHeight="false" outlineLevel="0" collapsed="false">
      <c r="A938" s="2" t="n">
        <v>934</v>
      </c>
      <c r="B938" s="13" t="n">
        <f aca="false">SMALL(Datos!$D$2:$D$1501,A938)</f>
        <v>161.893323742404</v>
      </c>
      <c r="C938" s="21" t="n">
        <f aca="false">(Config!$B$11-A938+1)/Config!$B$11</f>
        <v>0.378</v>
      </c>
    </row>
    <row r="939" customFormat="false" ht="15" hidden="false" customHeight="false" outlineLevel="0" collapsed="false">
      <c r="A939" s="2" t="n">
        <v>935</v>
      </c>
      <c r="B939" s="13" t="n">
        <f aca="false">SMALL(Datos!$D$2:$D$1501,A939)</f>
        <v>161.918300121885</v>
      </c>
      <c r="C939" s="21" t="n">
        <f aca="false">(Config!$B$11-A939+1)/Config!$B$11</f>
        <v>0.377333333333333</v>
      </c>
    </row>
    <row r="940" customFormat="false" ht="15" hidden="false" customHeight="false" outlineLevel="0" collapsed="false">
      <c r="A940" s="2" t="n">
        <v>936</v>
      </c>
      <c r="B940" s="13" t="n">
        <f aca="false">SMALL(Datos!$D$2:$D$1501,A940)</f>
        <v>161.925436230308</v>
      </c>
      <c r="C940" s="21" t="n">
        <f aca="false">(Config!$B$11-A940+1)/Config!$B$11</f>
        <v>0.376666666666667</v>
      </c>
    </row>
    <row r="941" customFormat="false" ht="15" hidden="false" customHeight="false" outlineLevel="0" collapsed="false">
      <c r="A941" s="2" t="n">
        <v>937</v>
      </c>
      <c r="B941" s="13" t="n">
        <f aca="false">SMALL(Datos!$D$2:$D$1501,A941)</f>
        <v>161.92900428452</v>
      </c>
      <c r="C941" s="21" t="n">
        <f aca="false">(Config!$B$11-A941+1)/Config!$B$11</f>
        <v>0.376</v>
      </c>
    </row>
    <row r="942" customFormat="false" ht="15" hidden="false" customHeight="false" outlineLevel="0" collapsed="false">
      <c r="A942" s="2" t="n">
        <v>938</v>
      </c>
      <c r="B942" s="13" t="n">
        <f aca="false">SMALL(Datos!$D$2:$D$1501,A942)</f>
        <v>161.932572338731</v>
      </c>
      <c r="C942" s="21" t="n">
        <f aca="false">(Config!$B$11-A942+1)/Config!$B$11</f>
        <v>0.375333333333333</v>
      </c>
    </row>
    <row r="943" customFormat="false" ht="15" hidden="false" customHeight="false" outlineLevel="0" collapsed="false">
      <c r="A943" s="2" t="n">
        <v>939</v>
      </c>
      <c r="B943" s="13" t="n">
        <f aca="false">SMALL(Datos!$D$2:$D$1501,A943)</f>
        <v>161.936140392943</v>
      </c>
      <c r="C943" s="21" t="n">
        <f aca="false">(Config!$B$11-A943+1)/Config!$B$11</f>
        <v>0.374666666666667</v>
      </c>
    </row>
    <row r="944" customFormat="false" ht="15" hidden="false" customHeight="false" outlineLevel="0" collapsed="false">
      <c r="A944" s="2" t="n">
        <v>940</v>
      </c>
      <c r="B944" s="13" t="n">
        <f aca="false">SMALL(Datos!$D$2:$D$1501,A944)</f>
        <v>161.946844555577</v>
      </c>
      <c r="C944" s="21" t="n">
        <f aca="false">(Config!$B$11-A944+1)/Config!$B$11</f>
        <v>0.374</v>
      </c>
    </row>
    <row r="945" customFormat="false" ht="15" hidden="false" customHeight="false" outlineLevel="0" collapsed="false">
      <c r="A945" s="2" t="n">
        <v>941</v>
      </c>
      <c r="B945" s="13" t="n">
        <f aca="false">SMALL(Datos!$D$2:$D$1501,A945)</f>
        <v>161.957548718212</v>
      </c>
      <c r="C945" s="21" t="n">
        <f aca="false">(Config!$B$11-A945+1)/Config!$B$11</f>
        <v>0.373333333333333</v>
      </c>
    </row>
    <row r="946" customFormat="false" ht="15" hidden="false" customHeight="false" outlineLevel="0" collapsed="false">
      <c r="A946" s="2" t="n">
        <v>942</v>
      </c>
      <c r="B946" s="13" t="n">
        <f aca="false">SMALL(Datos!$D$2:$D$1501,A946)</f>
        <v>161.964684826635</v>
      </c>
      <c r="C946" s="21" t="n">
        <f aca="false">(Config!$B$11-A946+1)/Config!$B$11</f>
        <v>0.372666666666667</v>
      </c>
    </row>
    <row r="947" customFormat="false" ht="15" hidden="false" customHeight="false" outlineLevel="0" collapsed="false">
      <c r="A947" s="2" t="n">
        <v>943</v>
      </c>
      <c r="B947" s="13" t="n">
        <f aca="false">SMALL(Datos!$D$2:$D$1501,A947)</f>
        <v>161.968252880847</v>
      </c>
      <c r="C947" s="21" t="n">
        <f aca="false">(Config!$B$11-A947+1)/Config!$B$11</f>
        <v>0.372</v>
      </c>
    </row>
    <row r="948" customFormat="false" ht="15" hidden="false" customHeight="false" outlineLevel="0" collapsed="false">
      <c r="A948" s="2" t="n">
        <v>944</v>
      </c>
      <c r="B948" s="13" t="n">
        <f aca="false">SMALL(Datos!$D$2:$D$1501,A948)</f>
        <v>161.971820935059</v>
      </c>
      <c r="C948" s="21" t="n">
        <f aca="false">(Config!$B$11-A948+1)/Config!$B$11</f>
        <v>0.371333333333333</v>
      </c>
    </row>
    <row r="949" customFormat="false" ht="15" hidden="false" customHeight="false" outlineLevel="0" collapsed="false">
      <c r="A949" s="2" t="n">
        <v>945</v>
      </c>
      <c r="B949" s="13" t="n">
        <f aca="false">SMALL(Datos!$D$2:$D$1501,A949)</f>
        <v>161.978957043482</v>
      </c>
      <c r="C949" s="21" t="n">
        <f aca="false">(Config!$B$11-A949+1)/Config!$B$11</f>
        <v>0.370666666666667</v>
      </c>
    </row>
    <row r="950" customFormat="false" ht="15" hidden="false" customHeight="false" outlineLevel="0" collapsed="false">
      <c r="A950" s="2" t="n">
        <v>946</v>
      </c>
      <c r="B950" s="13" t="n">
        <f aca="false">SMALL(Datos!$D$2:$D$1501,A950)</f>
        <v>161.989661206117</v>
      </c>
      <c r="C950" s="21" t="n">
        <f aca="false">(Config!$B$11-A950+1)/Config!$B$11</f>
        <v>0.37</v>
      </c>
    </row>
    <row r="951" customFormat="false" ht="15" hidden="false" customHeight="false" outlineLevel="0" collapsed="false">
      <c r="A951" s="2" t="n">
        <v>947</v>
      </c>
      <c r="B951" s="13" t="n">
        <f aca="false">SMALL(Datos!$D$2:$D$1501,A951)</f>
        <v>161.993229260328</v>
      </c>
      <c r="C951" s="21" t="n">
        <f aca="false">(Config!$B$11-A951+1)/Config!$B$11</f>
        <v>0.369333333333333</v>
      </c>
    </row>
    <row r="952" customFormat="false" ht="15" hidden="false" customHeight="false" outlineLevel="0" collapsed="false">
      <c r="A952" s="2" t="n">
        <v>948</v>
      </c>
      <c r="B952" s="13" t="n">
        <f aca="false">SMALL(Datos!$D$2:$D$1501,A952)</f>
        <v>162.003933422963</v>
      </c>
      <c r="C952" s="21" t="n">
        <f aca="false">(Config!$B$11-A952+1)/Config!$B$11</f>
        <v>0.368666666666667</v>
      </c>
    </row>
    <row r="953" customFormat="false" ht="15" hidden="false" customHeight="false" outlineLevel="0" collapsed="false">
      <c r="A953" s="2" t="n">
        <v>949</v>
      </c>
      <c r="B953" s="13" t="n">
        <f aca="false">SMALL(Datos!$D$2:$D$1501,A953)</f>
        <v>162.011069531386</v>
      </c>
      <c r="C953" s="21" t="n">
        <f aca="false">(Config!$B$11-A953+1)/Config!$B$11</f>
        <v>0.368</v>
      </c>
    </row>
    <row r="954" customFormat="false" ht="15" hidden="false" customHeight="false" outlineLevel="0" collapsed="false">
      <c r="A954" s="2" t="n">
        <v>950</v>
      </c>
      <c r="B954" s="13" t="n">
        <f aca="false">SMALL(Datos!$D$2:$D$1501,A954)</f>
        <v>162.014637585598</v>
      </c>
      <c r="C954" s="21" t="n">
        <f aca="false">(Config!$B$11-A954+1)/Config!$B$11</f>
        <v>0.367333333333333</v>
      </c>
    </row>
    <row r="955" customFormat="false" ht="15" hidden="false" customHeight="false" outlineLevel="0" collapsed="false">
      <c r="A955" s="2" t="n">
        <v>951</v>
      </c>
      <c r="B955" s="13" t="n">
        <f aca="false">SMALL(Datos!$D$2:$D$1501,A955)</f>
        <v>162.025341748232</v>
      </c>
      <c r="C955" s="21" t="n">
        <f aca="false">(Config!$B$11-A955+1)/Config!$B$11</f>
        <v>0.366666666666667</v>
      </c>
    </row>
    <row r="956" customFormat="false" ht="15" hidden="false" customHeight="false" outlineLevel="0" collapsed="false">
      <c r="A956" s="2" t="n">
        <v>952</v>
      </c>
      <c r="B956" s="13" t="n">
        <f aca="false">SMALL(Datos!$D$2:$D$1501,A956)</f>
        <v>162.025341748232</v>
      </c>
      <c r="C956" s="21" t="n">
        <f aca="false">(Config!$B$11-A956+1)/Config!$B$11</f>
        <v>0.366</v>
      </c>
    </row>
    <row r="957" customFormat="false" ht="15" hidden="false" customHeight="false" outlineLevel="0" collapsed="false">
      <c r="A957" s="2" t="n">
        <v>953</v>
      </c>
      <c r="B957" s="13" t="n">
        <f aca="false">SMALL(Datos!$D$2:$D$1501,A957)</f>
        <v>162.032477856656</v>
      </c>
      <c r="C957" s="21" t="n">
        <f aca="false">(Config!$B$11-A957+1)/Config!$B$11</f>
        <v>0.365333333333333</v>
      </c>
    </row>
    <row r="958" customFormat="false" ht="15" hidden="false" customHeight="false" outlineLevel="0" collapsed="false">
      <c r="A958" s="2" t="n">
        <v>954</v>
      </c>
      <c r="B958" s="13" t="n">
        <f aca="false">SMALL(Datos!$D$2:$D$1501,A958)</f>
        <v>162.057454236137</v>
      </c>
      <c r="C958" s="21" t="n">
        <f aca="false">(Config!$B$11-A958+1)/Config!$B$11</f>
        <v>0.364666666666667</v>
      </c>
    </row>
    <row r="959" customFormat="false" ht="15" hidden="false" customHeight="false" outlineLevel="0" collapsed="false">
      <c r="A959" s="2" t="n">
        <v>955</v>
      </c>
      <c r="B959" s="13" t="n">
        <f aca="false">SMALL(Datos!$D$2:$D$1501,A959)</f>
        <v>162.061022290348</v>
      </c>
      <c r="C959" s="21" t="n">
        <f aca="false">(Config!$B$11-A959+1)/Config!$B$11</f>
        <v>0.364</v>
      </c>
    </row>
    <row r="960" customFormat="false" ht="15" hidden="false" customHeight="false" outlineLevel="0" collapsed="false">
      <c r="A960" s="2" t="n">
        <v>956</v>
      </c>
      <c r="B960" s="13" t="n">
        <f aca="false">SMALL(Datos!$D$2:$D$1501,A960)</f>
        <v>162.078862561406</v>
      </c>
      <c r="C960" s="21" t="n">
        <f aca="false">(Config!$B$11-A960+1)/Config!$B$11</f>
        <v>0.363333333333333</v>
      </c>
    </row>
    <row r="961" customFormat="false" ht="15" hidden="false" customHeight="false" outlineLevel="0" collapsed="false">
      <c r="A961" s="2" t="n">
        <v>957</v>
      </c>
      <c r="B961" s="13" t="n">
        <f aca="false">SMALL(Datos!$D$2:$D$1501,A961)</f>
        <v>162.082430615618</v>
      </c>
      <c r="C961" s="21" t="n">
        <f aca="false">(Config!$B$11-A961+1)/Config!$B$11</f>
        <v>0.362666666666667</v>
      </c>
    </row>
    <row r="962" customFormat="false" ht="15" hidden="false" customHeight="false" outlineLevel="0" collapsed="false">
      <c r="A962" s="2" t="n">
        <v>958</v>
      </c>
      <c r="B962" s="13" t="n">
        <f aca="false">SMALL(Datos!$D$2:$D$1501,A962)</f>
        <v>162.107406995099</v>
      </c>
      <c r="C962" s="21" t="n">
        <f aca="false">(Config!$B$11-A962+1)/Config!$B$11</f>
        <v>0.362</v>
      </c>
    </row>
    <row r="963" customFormat="false" ht="15" hidden="false" customHeight="false" outlineLevel="0" collapsed="false">
      <c r="A963" s="2" t="n">
        <v>959</v>
      </c>
      <c r="B963" s="13" t="n">
        <f aca="false">SMALL(Datos!$D$2:$D$1501,A963)</f>
        <v>162.125247266157</v>
      </c>
      <c r="C963" s="21" t="n">
        <f aca="false">(Config!$B$11-A963+1)/Config!$B$11</f>
        <v>0.361333333333333</v>
      </c>
    </row>
    <row r="964" customFormat="false" ht="15" hidden="false" customHeight="false" outlineLevel="0" collapsed="false">
      <c r="A964" s="2" t="n">
        <v>960</v>
      </c>
      <c r="B964" s="13" t="n">
        <f aca="false">SMALL(Datos!$D$2:$D$1501,A964)</f>
        <v>162.128815320369</v>
      </c>
      <c r="C964" s="21" t="n">
        <f aca="false">(Config!$B$11-A964+1)/Config!$B$11</f>
        <v>0.360666666666667</v>
      </c>
    </row>
    <row r="965" customFormat="false" ht="15" hidden="false" customHeight="false" outlineLevel="0" collapsed="false">
      <c r="A965" s="2" t="n">
        <v>961</v>
      </c>
      <c r="B965" s="13" t="n">
        <f aca="false">SMALL(Datos!$D$2:$D$1501,A965)</f>
        <v>162.150223645638</v>
      </c>
      <c r="C965" s="21" t="n">
        <f aca="false">(Config!$B$11-A965+1)/Config!$B$11</f>
        <v>0.36</v>
      </c>
    </row>
    <row r="966" customFormat="false" ht="15" hidden="false" customHeight="false" outlineLevel="0" collapsed="false">
      <c r="A966" s="2" t="n">
        <v>962</v>
      </c>
      <c r="B966" s="13" t="n">
        <f aca="false">SMALL(Datos!$D$2:$D$1501,A966)</f>
        <v>162.171631970908</v>
      </c>
      <c r="C966" s="21" t="n">
        <f aca="false">(Config!$B$11-A966+1)/Config!$B$11</f>
        <v>0.359333333333333</v>
      </c>
    </row>
    <row r="967" customFormat="false" ht="15" hidden="false" customHeight="false" outlineLevel="0" collapsed="false">
      <c r="A967" s="2" t="n">
        <v>963</v>
      </c>
      <c r="B967" s="13" t="n">
        <f aca="false">SMALL(Datos!$D$2:$D$1501,A967)</f>
        <v>162.178768079331</v>
      </c>
      <c r="C967" s="21" t="n">
        <f aca="false">(Config!$B$11-A967+1)/Config!$B$11</f>
        <v>0.358666666666667</v>
      </c>
    </row>
    <row r="968" customFormat="false" ht="15" hidden="false" customHeight="false" outlineLevel="0" collapsed="false">
      <c r="A968" s="2" t="n">
        <v>964</v>
      </c>
      <c r="B968" s="13" t="n">
        <f aca="false">SMALL(Datos!$D$2:$D$1501,A968)</f>
        <v>162.182336133542</v>
      </c>
      <c r="C968" s="21" t="n">
        <f aca="false">(Config!$B$11-A968+1)/Config!$B$11</f>
        <v>0.358</v>
      </c>
    </row>
    <row r="969" customFormat="false" ht="15" hidden="false" customHeight="false" outlineLevel="0" collapsed="false">
      <c r="A969" s="2" t="n">
        <v>965</v>
      </c>
      <c r="B969" s="13" t="n">
        <f aca="false">SMALL(Datos!$D$2:$D$1501,A969)</f>
        <v>162.182336133542</v>
      </c>
      <c r="C969" s="21" t="n">
        <f aca="false">(Config!$B$11-A969+1)/Config!$B$11</f>
        <v>0.357333333333333</v>
      </c>
    </row>
    <row r="970" customFormat="false" ht="15" hidden="false" customHeight="false" outlineLevel="0" collapsed="false">
      <c r="A970" s="2" t="n">
        <v>966</v>
      </c>
      <c r="B970" s="13" t="n">
        <f aca="false">SMALL(Datos!$D$2:$D$1501,A970)</f>
        <v>162.196608350389</v>
      </c>
      <c r="C970" s="21" t="n">
        <f aca="false">(Config!$B$11-A970+1)/Config!$B$11</f>
        <v>0.356666666666667</v>
      </c>
    </row>
    <row r="971" customFormat="false" ht="15" hidden="false" customHeight="false" outlineLevel="0" collapsed="false">
      <c r="A971" s="2" t="n">
        <v>967</v>
      </c>
      <c r="B971" s="13" t="n">
        <f aca="false">SMALL(Datos!$D$2:$D$1501,A971)</f>
        <v>162.203744458812</v>
      </c>
      <c r="C971" s="21" t="n">
        <f aca="false">(Config!$B$11-A971+1)/Config!$B$11</f>
        <v>0.356</v>
      </c>
    </row>
    <row r="972" customFormat="false" ht="15" hidden="false" customHeight="false" outlineLevel="0" collapsed="false">
      <c r="A972" s="2" t="n">
        <v>968</v>
      </c>
      <c r="B972" s="13" t="n">
        <f aca="false">SMALL(Datos!$D$2:$D$1501,A972)</f>
        <v>162.207312513023</v>
      </c>
      <c r="C972" s="21" t="n">
        <f aca="false">(Config!$B$11-A972+1)/Config!$B$11</f>
        <v>0.355333333333333</v>
      </c>
    </row>
    <row r="973" customFormat="false" ht="15" hidden="false" customHeight="false" outlineLevel="0" collapsed="false">
      <c r="A973" s="2" t="n">
        <v>969</v>
      </c>
      <c r="B973" s="13" t="n">
        <f aca="false">SMALL(Datos!$D$2:$D$1501,A973)</f>
        <v>162.228720838293</v>
      </c>
      <c r="C973" s="21" t="n">
        <f aca="false">(Config!$B$11-A973+1)/Config!$B$11</f>
        <v>0.354666666666667</v>
      </c>
    </row>
    <row r="974" customFormat="false" ht="15" hidden="false" customHeight="false" outlineLevel="0" collapsed="false">
      <c r="A974" s="2" t="n">
        <v>970</v>
      </c>
      <c r="B974" s="13" t="n">
        <f aca="false">SMALL(Datos!$D$2:$D$1501,A974)</f>
        <v>162.242993055139</v>
      </c>
      <c r="C974" s="21" t="n">
        <f aca="false">(Config!$B$11-A974+1)/Config!$B$11</f>
        <v>0.354</v>
      </c>
    </row>
    <row r="975" customFormat="false" ht="15" hidden="false" customHeight="false" outlineLevel="0" collapsed="false">
      <c r="A975" s="2" t="n">
        <v>971</v>
      </c>
      <c r="B975" s="13" t="n">
        <f aca="false">SMALL(Datos!$D$2:$D$1501,A975)</f>
        <v>162.257265271986</v>
      </c>
      <c r="C975" s="21" t="n">
        <f aca="false">(Config!$B$11-A975+1)/Config!$B$11</f>
        <v>0.353333333333333</v>
      </c>
    </row>
    <row r="976" customFormat="false" ht="15" hidden="false" customHeight="false" outlineLevel="0" collapsed="false">
      <c r="A976" s="2" t="n">
        <v>972</v>
      </c>
      <c r="B976" s="13" t="n">
        <f aca="false">SMALL(Datos!$D$2:$D$1501,A976)</f>
        <v>162.271537488832</v>
      </c>
      <c r="C976" s="21" t="n">
        <f aca="false">(Config!$B$11-A976+1)/Config!$B$11</f>
        <v>0.352666666666667</v>
      </c>
    </row>
    <row r="977" customFormat="false" ht="15" hidden="false" customHeight="false" outlineLevel="0" collapsed="false">
      <c r="A977" s="2" t="n">
        <v>973</v>
      </c>
      <c r="B977" s="13" t="n">
        <f aca="false">SMALL(Datos!$D$2:$D$1501,A977)</f>
        <v>162.28937775989</v>
      </c>
      <c r="C977" s="21" t="n">
        <f aca="false">(Config!$B$11-A977+1)/Config!$B$11</f>
        <v>0.352</v>
      </c>
    </row>
    <row r="978" customFormat="false" ht="15" hidden="false" customHeight="false" outlineLevel="0" collapsed="false">
      <c r="A978" s="2" t="n">
        <v>974</v>
      </c>
      <c r="B978" s="13" t="n">
        <f aca="false">SMALL(Datos!$D$2:$D$1501,A978)</f>
        <v>162.296513868313</v>
      </c>
      <c r="C978" s="21" t="n">
        <f aca="false">(Config!$B$11-A978+1)/Config!$B$11</f>
        <v>0.351333333333333</v>
      </c>
    </row>
    <row r="979" customFormat="false" ht="15" hidden="false" customHeight="false" outlineLevel="0" collapsed="false">
      <c r="A979" s="2" t="n">
        <v>975</v>
      </c>
      <c r="B979" s="13" t="n">
        <f aca="false">SMALL(Datos!$D$2:$D$1501,A979)</f>
        <v>162.317922193583</v>
      </c>
      <c r="C979" s="21" t="n">
        <f aca="false">(Config!$B$11-A979+1)/Config!$B$11</f>
        <v>0.350666666666667</v>
      </c>
    </row>
    <row r="980" customFormat="false" ht="15" hidden="false" customHeight="false" outlineLevel="0" collapsed="false">
      <c r="A980" s="2" t="n">
        <v>976</v>
      </c>
      <c r="B980" s="13" t="n">
        <f aca="false">SMALL(Datos!$D$2:$D$1501,A980)</f>
        <v>162.335762464641</v>
      </c>
      <c r="C980" s="21" t="n">
        <f aca="false">(Config!$B$11-A980+1)/Config!$B$11</f>
        <v>0.35</v>
      </c>
    </row>
    <row r="981" customFormat="false" ht="15" hidden="false" customHeight="false" outlineLevel="0" collapsed="false">
      <c r="A981" s="2" t="n">
        <v>977</v>
      </c>
      <c r="B981" s="13" t="n">
        <f aca="false">SMALL(Datos!$D$2:$D$1501,A981)</f>
        <v>162.339330518852</v>
      </c>
      <c r="C981" s="21" t="n">
        <f aca="false">(Config!$B$11-A981+1)/Config!$B$11</f>
        <v>0.349333333333333</v>
      </c>
    </row>
    <row r="982" customFormat="false" ht="15" hidden="false" customHeight="false" outlineLevel="0" collapsed="false">
      <c r="A982" s="2" t="n">
        <v>978</v>
      </c>
      <c r="B982" s="13" t="n">
        <f aca="false">SMALL(Datos!$D$2:$D$1501,A982)</f>
        <v>162.342898573064</v>
      </c>
      <c r="C982" s="21" t="n">
        <f aca="false">(Config!$B$11-A982+1)/Config!$B$11</f>
        <v>0.348666666666667</v>
      </c>
    </row>
    <row r="983" customFormat="false" ht="15" hidden="false" customHeight="false" outlineLevel="0" collapsed="false">
      <c r="A983" s="2" t="n">
        <v>979</v>
      </c>
      <c r="B983" s="13" t="n">
        <f aca="false">SMALL(Datos!$D$2:$D$1501,A983)</f>
        <v>162.346466627275</v>
      </c>
      <c r="C983" s="21" t="n">
        <f aca="false">(Config!$B$11-A983+1)/Config!$B$11</f>
        <v>0.348</v>
      </c>
    </row>
    <row r="984" customFormat="false" ht="15" hidden="false" customHeight="false" outlineLevel="0" collapsed="false">
      <c r="A984" s="2" t="n">
        <v>980</v>
      </c>
      <c r="B984" s="13" t="n">
        <f aca="false">SMALL(Datos!$D$2:$D$1501,A984)</f>
        <v>162.367874952545</v>
      </c>
      <c r="C984" s="21" t="n">
        <f aca="false">(Config!$B$11-A984+1)/Config!$B$11</f>
        <v>0.347333333333333</v>
      </c>
    </row>
    <row r="985" customFormat="false" ht="15" hidden="false" customHeight="false" outlineLevel="0" collapsed="false">
      <c r="A985" s="2" t="n">
        <v>981</v>
      </c>
      <c r="B985" s="13" t="n">
        <f aca="false">SMALL(Datos!$D$2:$D$1501,A985)</f>
        <v>162.367874952545</v>
      </c>
      <c r="C985" s="21" t="n">
        <f aca="false">(Config!$B$11-A985+1)/Config!$B$11</f>
        <v>0.346666666666667</v>
      </c>
    </row>
    <row r="986" customFormat="false" ht="15" hidden="false" customHeight="false" outlineLevel="0" collapsed="false">
      <c r="A986" s="2" t="n">
        <v>982</v>
      </c>
      <c r="B986" s="13" t="n">
        <f aca="false">SMALL(Datos!$D$2:$D$1501,A986)</f>
        <v>162.389283277814</v>
      </c>
      <c r="C986" s="21" t="n">
        <f aca="false">(Config!$B$11-A986+1)/Config!$B$11</f>
        <v>0.346</v>
      </c>
    </row>
    <row r="987" customFormat="false" ht="15" hidden="false" customHeight="false" outlineLevel="0" collapsed="false">
      <c r="A987" s="2" t="n">
        <v>983</v>
      </c>
      <c r="B987" s="13" t="n">
        <f aca="false">SMALL(Datos!$D$2:$D$1501,A987)</f>
        <v>162.410691603084</v>
      </c>
      <c r="C987" s="21" t="n">
        <f aca="false">(Config!$B$11-A987+1)/Config!$B$11</f>
        <v>0.345333333333333</v>
      </c>
    </row>
    <row r="988" customFormat="false" ht="15" hidden="false" customHeight="false" outlineLevel="0" collapsed="false">
      <c r="A988" s="2" t="n">
        <v>984</v>
      </c>
      <c r="B988" s="13" t="n">
        <f aca="false">SMALL(Datos!$D$2:$D$1501,A988)</f>
        <v>162.414259657296</v>
      </c>
      <c r="C988" s="21" t="n">
        <f aca="false">(Config!$B$11-A988+1)/Config!$B$11</f>
        <v>0.344666666666667</v>
      </c>
    </row>
    <row r="989" customFormat="false" ht="15" hidden="false" customHeight="false" outlineLevel="0" collapsed="false">
      <c r="A989" s="2" t="n">
        <v>985</v>
      </c>
      <c r="B989" s="13" t="n">
        <f aca="false">SMALL(Datos!$D$2:$D$1501,A989)</f>
        <v>162.417827711507</v>
      </c>
      <c r="C989" s="21" t="n">
        <f aca="false">(Config!$B$11-A989+1)/Config!$B$11</f>
        <v>0.344</v>
      </c>
    </row>
    <row r="990" customFormat="false" ht="15" hidden="false" customHeight="false" outlineLevel="0" collapsed="false">
      <c r="A990" s="2" t="n">
        <v>986</v>
      </c>
      <c r="B990" s="13" t="n">
        <f aca="false">SMALL(Datos!$D$2:$D$1501,A990)</f>
        <v>162.432099928354</v>
      </c>
      <c r="C990" s="21" t="n">
        <f aca="false">(Config!$B$11-A990+1)/Config!$B$11</f>
        <v>0.343333333333333</v>
      </c>
    </row>
    <row r="991" customFormat="false" ht="15" hidden="false" customHeight="false" outlineLevel="0" collapsed="false">
      <c r="A991" s="2" t="n">
        <v>987</v>
      </c>
      <c r="B991" s="13" t="n">
        <f aca="false">SMALL(Datos!$D$2:$D$1501,A991)</f>
        <v>162.435667982565</v>
      </c>
      <c r="C991" s="21" t="n">
        <f aca="false">(Config!$B$11-A991+1)/Config!$B$11</f>
        <v>0.342666666666667</v>
      </c>
    </row>
    <row r="992" customFormat="false" ht="15" hidden="false" customHeight="false" outlineLevel="0" collapsed="false">
      <c r="A992" s="2" t="n">
        <v>988</v>
      </c>
      <c r="B992" s="13" t="n">
        <f aca="false">SMALL(Datos!$D$2:$D$1501,A992)</f>
        <v>162.435667982565</v>
      </c>
      <c r="C992" s="21" t="n">
        <f aca="false">(Config!$B$11-A992+1)/Config!$B$11</f>
        <v>0.342</v>
      </c>
    </row>
    <row r="993" customFormat="false" ht="15" hidden="false" customHeight="false" outlineLevel="0" collapsed="false">
      <c r="A993" s="2" t="n">
        <v>989</v>
      </c>
      <c r="B993" s="13" t="n">
        <f aca="false">SMALL(Datos!$D$2:$D$1501,A993)</f>
        <v>162.442804090988</v>
      </c>
      <c r="C993" s="21" t="n">
        <f aca="false">(Config!$B$11-A993+1)/Config!$B$11</f>
        <v>0.341333333333333</v>
      </c>
    </row>
    <row r="994" customFormat="false" ht="15" hidden="false" customHeight="false" outlineLevel="0" collapsed="false">
      <c r="A994" s="2" t="n">
        <v>990</v>
      </c>
      <c r="B994" s="13" t="n">
        <f aca="false">SMALL(Datos!$D$2:$D$1501,A994)</f>
        <v>162.467780470469</v>
      </c>
      <c r="C994" s="21" t="n">
        <f aca="false">(Config!$B$11-A994+1)/Config!$B$11</f>
        <v>0.340666666666667</v>
      </c>
    </row>
    <row r="995" customFormat="false" ht="15" hidden="false" customHeight="false" outlineLevel="0" collapsed="false">
      <c r="A995" s="2" t="n">
        <v>991</v>
      </c>
      <c r="B995" s="13" t="n">
        <f aca="false">SMALL(Datos!$D$2:$D$1501,A995)</f>
        <v>162.467780470469</v>
      </c>
      <c r="C995" s="21" t="n">
        <f aca="false">(Config!$B$11-A995+1)/Config!$B$11</f>
        <v>0.34</v>
      </c>
    </row>
    <row r="996" customFormat="false" ht="15" hidden="false" customHeight="false" outlineLevel="0" collapsed="false">
      <c r="A996" s="2" t="n">
        <v>992</v>
      </c>
      <c r="B996" s="13" t="n">
        <f aca="false">SMALL(Datos!$D$2:$D$1501,A996)</f>
        <v>162.467780470469</v>
      </c>
      <c r="C996" s="21" t="n">
        <f aca="false">(Config!$B$11-A996+1)/Config!$B$11</f>
        <v>0.339333333333333</v>
      </c>
    </row>
    <row r="997" customFormat="false" ht="15" hidden="false" customHeight="false" outlineLevel="0" collapsed="false">
      <c r="A997" s="2" t="n">
        <v>993</v>
      </c>
      <c r="B997" s="13" t="n">
        <f aca="false">SMALL(Datos!$D$2:$D$1501,A997)</f>
        <v>162.482052687316</v>
      </c>
      <c r="C997" s="21" t="n">
        <f aca="false">(Config!$B$11-A997+1)/Config!$B$11</f>
        <v>0.338666666666667</v>
      </c>
    </row>
    <row r="998" customFormat="false" ht="15" hidden="false" customHeight="false" outlineLevel="0" collapsed="false">
      <c r="A998" s="2" t="n">
        <v>994</v>
      </c>
      <c r="B998" s="13" t="n">
        <f aca="false">SMALL(Datos!$D$2:$D$1501,A998)</f>
        <v>162.485620741527</v>
      </c>
      <c r="C998" s="21" t="n">
        <f aca="false">(Config!$B$11-A998+1)/Config!$B$11</f>
        <v>0.338</v>
      </c>
    </row>
    <row r="999" customFormat="false" ht="15" hidden="false" customHeight="false" outlineLevel="0" collapsed="false">
      <c r="A999" s="2" t="n">
        <v>995</v>
      </c>
      <c r="B999" s="13" t="n">
        <f aca="false">SMALL(Datos!$D$2:$D$1501,A999)</f>
        <v>162.489188795739</v>
      </c>
      <c r="C999" s="21" t="n">
        <f aca="false">(Config!$B$11-A999+1)/Config!$B$11</f>
        <v>0.337333333333333</v>
      </c>
    </row>
    <row r="1000" customFormat="false" ht="15" hidden="false" customHeight="false" outlineLevel="0" collapsed="false">
      <c r="A1000" s="2" t="n">
        <v>996</v>
      </c>
      <c r="B1000" s="13" t="n">
        <f aca="false">SMALL(Datos!$D$2:$D$1501,A1000)</f>
        <v>162.499892958374</v>
      </c>
      <c r="C1000" s="21" t="n">
        <f aca="false">(Config!$B$11-A1000+1)/Config!$B$11</f>
        <v>0.336666666666667</v>
      </c>
    </row>
    <row r="1001" customFormat="false" ht="15" hidden="false" customHeight="false" outlineLevel="0" collapsed="false">
      <c r="A1001" s="2" t="n">
        <v>997</v>
      </c>
      <c r="B1001" s="13" t="n">
        <f aca="false">SMALL(Datos!$D$2:$D$1501,A1001)</f>
        <v>162.503461012585</v>
      </c>
      <c r="C1001" s="21" t="n">
        <f aca="false">(Config!$B$11-A1001+1)/Config!$B$11</f>
        <v>0.336</v>
      </c>
    </row>
    <row r="1002" customFormat="false" ht="15" hidden="false" customHeight="false" outlineLevel="0" collapsed="false">
      <c r="A1002" s="2" t="n">
        <v>998</v>
      </c>
      <c r="B1002" s="13" t="n">
        <f aca="false">SMALL(Datos!$D$2:$D$1501,A1002)</f>
        <v>162.524869337855</v>
      </c>
      <c r="C1002" s="21" t="n">
        <f aca="false">(Config!$B$11-A1002+1)/Config!$B$11</f>
        <v>0.335333333333333</v>
      </c>
    </row>
    <row r="1003" customFormat="false" ht="15" hidden="false" customHeight="false" outlineLevel="0" collapsed="false">
      <c r="A1003" s="2" t="n">
        <v>999</v>
      </c>
      <c r="B1003" s="13" t="n">
        <f aca="false">SMALL(Datos!$D$2:$D$1501,A1003)</f>
        <v>162.528437392066</v>
      </c>
      <c r="C1003" s="21" t="n">
        <f aca="false">(Config!$B$11-A1003+1)/Config!$B$11</f>
        <v>0.334666666666667</v>
      </c>
    </row>
    <row r="1004" customFormat="false" ht="15" hidden="false" customHeight="false" outlineLevel="0" collapsed="false">
      <c r="A1004" s="2" t="n">
        <v>1000</v>
      </c>
      <c r="B1004" s="13" t="n">
        <f aca="false">SMALL(Datos!$D$2:$D$1501,A1004)</f>
        <v>162.546277663124</v>
      </c>
      <c r="C1004" s="21" t="n">
        <f aca="false">(Config!$B$11-A1004+1)/Config!$B$11</f>
        <v>0.334</v>
      </c>
    </row>
    <row r="1005" customFormat="false" ht="15" hidden="false" customHeight="false" outlineLevel="0" collapsed="false">
      <c r="A1005" s="2" t="n">
        <v>1001</v>
      </c>
      <c r="B1005" s="13" t="n">
        <f aca="false">SMALL(Datos!$D$2:$D$1501,A1005)</f>
        <v>162.567685988394</v>
      </c>
      <c r="C1005" s="21" t="n">
        <f aca="false">(Config!$B$11-A1005+1)/Config!$B$11</f>
        <v>0.333333333333333</v>
      </c>
    </row>
    <row r="1006" customFormat="false" ht="15" hidden="false" customHeight="false" outlineLevel="0" collapsed="false">
      <c r="A1006" s="2" t="n">
        <v>1002</v>
      </c>
      <c r="B1006" s="13" t="n">
        <f aca="false">SMALL(Datos!$D$2:$D$1501,A1006)</f>
        <v>162.578390151029</v>
      </c>
      <c r="C1006" s="21" t="n">
        <f aca="false">(Config!$B$11-A1006+1)/Config!$B$11</f>
        <v>0.332666666666667</v>
      </c>
    </row>
    <row r="1007" customFormat="false" ht="15" hidden="false" customHeight="false" outlineLevel="0" collapsed="false">
      <c r="A1007" s="2" t="n">
        <v>1003</v>
      </c>
      <c r="B1007" s="13" t="n">
        <f aca="false">SMALL(Datos!$D$2:$D$1501,A1007)</f>
        <v>162.585526259452</v>
      </c>
      <c r="C1007" s="21" t="n">
        <f aca="false">(Config!$B$11-A1007+1)/Config!$B$11</f>
        <v>0.332</v>
      </c>
    </row>
    <row r="1008" customFormat="false" ht="15" hidden="false" customHeight="false" outlineLevel="0" collapsed="false">
      <c r="A1008" s="2" t="n">
        <v>1004</v>
      </c>
      <c r="B1008" s="13" t="n">
        <f aca="false">SMALL(Datos!$D$2:$D$1501,A1008)</f>
        <v>162.60336653051</v>
      </c>
      <c r="C1008" s="21" t="n">
        <f aca="false">(Config!$B$11-A1008+1)/Config!$B$11</f>
        <v>0.331333333333333</v>
      </c>
    </row>
    <row r="1009" customFormat="false" ht="15" hidden="false" customHeight="false" outlineLevel="0" collapsed="false">
      <c r="A1009" s="2" t="n">
        <v>1005</v>
      </c>
      <c r="B1009" s="13" t="n">
        <f aca="false">SMALL(Datos!$D$2:$D$1501,A1009)</f>
        <v>162.606934584721</v>
      </c>
      <c r="C1009" s="21" t="n">
        <f aca="false">(Config!$B$11-A1009+1)/Config!$B$11</f>
        <v>0.330666666666667</v>
      </c>
    </row>
    <row r="1010" customFormat="false" ht="15" hidden="false" customHeight="false" outlineLevel="0" collapsed="false">
      <c r="A1010" s="2" t="n">
        <v>1006</v>
      </c>
      <c r="B1010" s="13" t="n">
        <f aca="false">SMALL(Datos!$D$2:$D$1501,A1010)</f>
        <v>162.631910964202</v>
      </c>
      <c r="C1010" s="21" t="n">
        <f aca="false">(Config!$B$11-A1010+1)/Config!$B$11</f>
        <v>0.33</v>
      </c>
    </row>
    <row r="1011" customFormat="false" ht="15" hidden="false" customHeight="false" outlineLevel="0" collapsed="false">
      <c r="A1011" s="2" t="n">
        <v>1007</v>
      </c>
      <c r="B1011" s="13" t="n">
        <f aca="false">SMALL(Datos!$D$2:$D$1501,A1011)</f>
        <v>162.646183181049</v>
      </c>
      <c r="C1011" s="21" t="n">
        <f aca="false">(Config!$B$11-A1011+1)/Config!$B$11</f>
        <v>0.329333333333333</v>
      </c>
    </row>
    <row r="1012" customFormat="false" ht="15" hidden="false" customHeight="false" outlineLevel="0" collapsed="false">
      <c r="A1012" s="2" t="n">
        <v>1008</v>
      </c>
      <c r="B1012" s="13" t="n">
        <f aca="false">SMALL(Datos!$D$2:$D$1501,A1012)</f>
        <v>162.667591506318</v>
      </c>
      <c r="C1012" s="21" t="n">
        <f aca="false">(Config!$B$11-A1012+1)/Config!$B$11</f>
        <v>0.328666666666667</v>
      </c>
    </row>
    <row r="1013" customFormat="false" ht="15" hidden="false" customHeight="false" outlineLevel="0" collapsed="false">
      <c r="A1013" s="2" t="n">
        <v>1009</v>
      </c>
      <c r="B1013" s="13" t="n">
        <f aca="false">SMALL(Datos!$D$2:$D$1501,A1013)</f>
        <v>162.67115956053</v>
      </c>
      <c r="C1013" s="21" t="n">
        <f aca="false">(Config!$B$11-A1013+1)/Config!$B$11</f>
        <v>0.328</v>
      </c>
    </row>
    <row r="1014" customFormat="false" ht="15" hidden="false" customHeight="false" outlineLevel="0" collapsed="false">
      <c r="A1014" s="2" t="n">
        <v>1010</v>
      </c>
      <c r="B1014" s="13" t="n">
        <f aca="false">SMALL(Datos!$D$2:$D$1501,A1014)</f>
        <v>162.6925678858</v>
      </c>
      <c r="C1014" s="21" t="n">
        <f aca="false">(Config!$B$11-A1014+1)/Config!$B$11</f>
        <v>0.327333333333333</v>
      </c>
    </row>
    <row r="1015" customFormat="false" ht="15" hidden="false" customHeight="false" outlineLevel="0" collapsed="false">
      <c r="A1015" s="2" t="n">
        <v>1011</v>
      </c>
      <c r="B1015" s="13" t="n">
        <f aca="false">SMALL(Datos!$D$2:$D$1501,A1015)</f>
        <v>162.699703994223</v>
      </c>
      <c r="C1015" s="21" t="n">
        <f aca="false">(Config!$B$11-A1015+1)/Config!$B$11</f>
        <v>0.326666666666667</v>
      </c>
    </row>
    <row r="1016" customFormat="false" ht="15" hidden="false" customHeight="false" outlineLevel="0" collapsed="false">
      <c r="A1016" s="2" t="n">
        <v>1012</v>
      </c>
      <c r="B1016" s="13" t="n">
        <f aca="false">SMALL(Datos!$D$2:$D$1501,A1016)</f>
        <v>162.703272048434</v>
      </c>
      <c r="C1016" s="21" t="n">
        <f aca="false">(Config!$B$11-A1016+1)/Config!$B$11</f>
        <v>0.326</v>
      </c>
    </row>
    <row r="1017" customFormat="false" ht="15" hidden="false" customHeight="false" outlineLevel="0" collapsed="false">
      <c r="A1017" s="2" t="n">
        <v>1013</v>
      </c>
      <c r="B1017" s="13" t="n">
        <f aca="false">SMALL(Datos!$D$2:$D$1501,A1017)</f>
        <v>162.721112319492</v>
      </c>
      <c r="C1017" s="21" t="n">
        <f aca="false">(Config!$B$11-A1017+1)/Config!$B$11</f>
        <v>0.325333333333333</v>
      </c>
    </row>
    <row r="1018" customFormat="false" ht="15" hidden="false" customHeight="false" outlineLevel="0" collapsed="false">
      <c r="A1018" s="2" t="n">
        <v>1014</v>
      </c>
      <c r="B1018" s="13" t="n">
        <f aca="false">SMALL(Datos!$D$2:$D$1501,A1018)</f>
        <v>162.735384536339</v>
      </c>
      <c r="C1018" s="21" t="n">
        <f aca="false">(Config!$B$11-A1018+1)/Config!$B$11</f>
        <v>0.324666666666667</v>
      </c>
    </row>
    <row r="1019" customFormat="false" ht="15" hidden="false" customHeight="false" outlineLevel="0" collapsed="false">
      <c r="A1019" s="2" t="n">
        <v>1015</v>
      </c>
      <c r="B1019" s="13" t="n">
        <f aca="false">SMALL(Datos!$D$2:$D$1501,A1019)</f>
        <v>162.742520644762</v>
      </c>
      <c r="C1019" s="21" t="n">
        <f aca="false">(Config!$B$11-A1019+1)/Config!$B$11</f>
        <v>0.324</v>
      </c>
    </row>
    <row r="1020" customFormat="false" ht="15" hidden="false" customHeight="false" outlineLevel="0" collapsed="false">
      <c r="A1020" s="2" t="n">
        <v>1016</v>
      </c>
      <c r="B1020" s="13" t="n">
        <f aca="false">SMALL(Datos!$D$2:$D$1501,A1020)</f>
        <v>162.756792861608</v>
      </c>
      <c r="C1020" s="21" t="n">
        <f aca="false">(Config!$B$11-A1020+1)/Config!$B$11</f>
        <v>0.323333333333333</v>
      </c>
    </row>
    <row r="1021" customFormat="false" ht="15" hidden="false" customHeight="false" outlineLevel="0" collapsed="false">
      <c r="A1021" s="2" t="n">
        <v>1017</v>
      </c>
      <c r="B1021" s="13" t="n">
        <f aca="false">SMALL(Datos!$D$2:$D$1501,A1021)</f>
        <v>162.756792861608</v>
      </c>
      <c r="C1021" s="21" t="n">
        <f aca="false">(Config!$B$11-A1021+1)/Config!$B$11</f>
        <v>0.322666666666667</v>
      </c>
    </row>
    <row r="1022" customFormat="false" ht="15" hidden="false" customHeight="false" outlineLevel="0" collapsed="false">
      <c r="A1022" s="2" t="n">
        <v>1018</v>
      </c>
      <c r="B1022" s="13" t="n">
        <f aca="false">SMALL(Datos!$D$2:$D$1501,A1022)</f>
        <v>162.76036091582</v>
      </c>
      <c r="C1022" s="21" t="n">
        <f aca="false">(Config!$B$11-A1022+1)/Config!$B$11</f>
        <v>0.322</v>
      </c>
    </row>
    <row r="1023" customFormat="false" ht="15" hidden="false" customHeight="false" outlineLevel="0" collapsed="false">
      <c r="A1023" s="2" t="n">
        <v>1019</v>
      </c>
      <c r="B1023" s="13" t="n">
        <f aca="false">SMALL(Datos!$D$2:$D$1501,A1023)</f>
        <v>162.792473403724</v>
      </c>
      <c r="C1023" s="21" t="n">
        <f aca="false">(Config!$B$11-A1023+1)/Config!$B$11</f>
        <v>0.321333333333333</v>
      </c>
    </row>
    <row r="1024" customFormat="false" ht="15" hidden="false" customHeight="false" outlineLevel="0" collapsed="false">
      <c r="A1024" s="2" t="n">
        <v>1020</v>
      </c>
      <c r="B1024" s="13" t="n">
        <f aca="false">SMALL(Datos!$D$2:$D$1501,A1024)</f>
        <v>162.792473403724</v>
      </c>
      <c r="C1024" s="21" t="n">
        <f aca="false">(Config!$B$11-A1024+1)/Config!$B$11</f>
        <v>0.320666666666667</v>
      </c>
    </row>
    <row r="1025" customFormat="false" ht="15" hidden="false" customHeight="false" outlineLevel="0" collapsed="false">
      <c r="A1025" s="2" t="n">
        <v>1021</v>
      </c>
      <c r="B1025" s="13" t="n">
        <f aca="false">SMALL(Datos!$D$2:$D$1501,A1025)</f>
        <v>162.810313674782</v>
      </c>
      <c r="C1025" s="21" t="n">
        <f aca="false">(Config!$B$11-A1025+1)/Config!$B$11</f>
        <v>0.32</v>
      </c>
    </row>
    <row r="1026" customFormat="false" ht="15" hidden="false" customHeight="false" outlineLevel="0" collapsed="false">
      <c r="A1026" s="2" t="n">
        <v>1022</v>
      </c>
      <c r="B1026" s="13" t="n">
        <f aca="false">SMALL(Datos!$D$2:$D$1501,A1026)</f>
        <v>162.817449783205</v>
      </c>
      <c r="C1026" s="21" t="n">
        <f aca="false">(Config!$B$11-A1026+1)/Config!$B$11</f>
        <v>0.319333333333333</v>
      </c>
    </row>
    <row r="1027" customFormat="false" ht="15" hidden="false" customHeight="false" outlineLevel="0" collapsed="false">
      <c r="A1027" s="2" t="n">
        <v>1023</v>
      </c>
      <c r="B1027" s="13" t="n">
        <f aca="false">SMALL(Datos!$D$2:$D$1501,A1027)</f>
        <v>162.821017837417</v>
      </c>
      <c r="C1027" s="21" t="n">
        <f aca="false">(Config!$B$11-A1027+1)/Config!$B$11</f>
        <v>0.318666666666667</v>
      </c>
    </row>
    <row r="1028" customFormat="false" ht="15" hidden="false" customHeight="false" outlineLevel="0" collapsed="false">
      <c r="A1028" s="2" t="n">
        <v>1024</v>
      </c>
      <c r="B1028" s="13" t="n">
        <f aca="false">SMALL(Datos!$D$2:$D$1501,A1028)</f>
        <v>162.835290054263</v>
      </c>
      <c r="C1028" s="21" t="n">
        <f aca="false">(Config!$B$11-A1028+1)/Config!$B$11</f>
        <v>0.318</v>
      </c>
    </row>
    <row r="1029" customFormat="false" ht="15" hidden="false" customHeight="false" outlineLevel="0" collapsed="false">
      <c r="A1029" s="2" t="n">
        <v>1025</v>
      </c>
      <c r="B1029" s="13" t="n">
        <f aca="false">SMALL(Datos!$D$2:$D$1501,A1029)</f>
        <v>162.835290054263</v>
      </c>
      <c r="C1029" s="21" t="n">
        <f aca="false">(Config!$B$11-A1029+1)/Config!$B$11</f>
        <v>0.317333333333333</v>
      </c>
    </row>
    <row r="1030" customFormat="false" ht="15" hidden="false" customHeight="false" outlineLevel="0" collapsed="false">
      <c r="A1030" s="2" t="n">
        <v>1026</v>
      </c>
      <c r="B1030" s="13" t="n">
        <f aca="false">SMALL(Datos!$D$2:$D$1501,A1030)</f>
        <v>162.849562271109</v>
      </c>
      <c r="C1030" s="21" t="n">
        <f aca="false">(Config!$B$11-A1030+1)/Config!$B$11</f>
        <v>0.316666666666667</v>
      </c>
    </row>
    <row r="1031" customFormat="false" ht="15" hidden="false" customHeight="false" outlineLevel="0" collapsed="false">
      <c r="A1031" s="2" t="n">
        <v>1027</v>
      </c>
      <c r="B1031" s="13" t="n">
        <f aca="false">SMALL(Datos!$D$2:$D$1501,A1031)</f>
        <v>162.853130325321</v>
      </c>
      <c r="C1031" s="21" t="n">
        <f aca="false">(Config!$B$11-A1031+1)/Config!$B$11</f>
        <v>0.316</v>
      </c>
    </row>
    <row r="1032" customFormat="false" ht="15" hidden="false" customHeight="false" outlineLevel="0" collapsed="false">
      <c r="A1032" s="2" t="n">
        <v>1028</v>
      </c>
      <c r="B1032" s="13" t="n">
        <f aca="false">SMALL(Datos!$D$2:$D$1501,A1032)</f>
        <v>162.870970596379</v>
      </c>
      <c r="C1032" s="21" t="n">
        <f aca="false">(Config!$B$11-A1032+1)/Config!$B$11</f>
        <v>0.315333333333333</v>
      </c>
    </row>
    <row r="1033" customFormat="false" ht="15" hidden="false" customHeight="false" outlineLevel="0" collapsed="false">
      <c r="A1033" s="2" t="n">
        <v>1029</v>
      </c>
      <c r="B1033" s="13" t="n">
        <f aca="false">SMALL(Datos!$D$2:$D$1501,A1033)</f>
        <v>162.874538650591</v>
      </c>
      <c r="C1033" s="21" t="n">
        <f aca="false">(Config!$B$11-A1033+1)/Config!$B$11</f>
        <v>0.314666666666667</v>
      </c>
    </row>
    <row r="1034" customFormat="false" ht="15" hidden="false" customHeight="false" outlineLevel="0" collapsed="false">
      <c r="A1034" s="2" t="n">
        <v>1030</v>
      </c>
      <c r="B1034" s="13" t="n">
        <f aca="false">SMALL(Datos!$D$2:$D$1501,A1034)</f>
        <v>162.885242813225</v>
      </c>
      <c r="C1034" s="21" t="n">
        <f aca="false">(Config!$B$11-A1034+1)/Config!$B$11</f>
        <v>0.314</v>
      </c>
    </row>
    <row r="1035" customFormat="false" ht="15" hidden="false" customHeight="false" outlineLevel="0" collapsed="false">
      <c r="A1035" s="2" t="n">
        <v>1031</v>
      </c>
      <c r="B1035" s="13" t="n">
        <f aca="false">SMALL(Datos!$D$2:$D$1501,A1035)</f>
        <v>162.892378921648</v>
      </c>
      <c r="C1035" s="21" t="n">
        <f aca="false">(Config!$B$11-A1035+1)/Config!$B$11</f>
        <v>0.313333333333333</v>
      </c>
    </row>
    <row r="1036" customFormat="false" ht="15" hidden="false" customHeight="false" outlineLevel="0" collapsed="false">
      <c r="A1036" s="2" t="n">
        <v>1032</v>
      </c>
      <c r="B1036" s="13" t="n">
        <f aca="false">SMALL(Datos!$D$2:$D$1501,A1036)</f>
        <v>162.913787246918</v>
      </c>
      <c r="C1036" s="21" t="n">
        <f aca="false">(Config!$B$11-A1036+1)/Config!$B$11</f>
        <v>0.312666666666667</v>
      </c>
    </row>
    <row r="1037" customFormat="false" ht="15" hidden="false" customHeight="false" outlineLevel="0" collapsed="false">
      <c r="A1037" s="2" t="n">
        <v>1033</v>
      </c>
      <c r="B1037" s="13" t="n">
        <f aca="false">SMALL(Datos!$D$2:$D$1501,A1037)</f>
        <v>162.938763626399</v>
      </c>
      <c r="C1037" s="21" t="n">
        <f aca="false">(Config!$B$11-A1037+1)/Config!$B$11</f>
        <v>0.312</v>
      </c>
    </row>
    <row r="1038" customFormat="false" ht="15" hidden="false" customHeight="false" outlineLevel="0" collapsed="false">
      <c r="A1038" s="2" t="n">
        <v>1034</v>
      </c>
      <c r="B1038" s="13" t="n">
        <f aca="false">SMALL(Datos!$D$2:$D$1501,A1038)</f>
        <v>162.956603897457</v>
      </c>
      <c r="C1038" s="21" t="n">
        <f aca="false">(Config!$B$11-A1038+1)/Config!$B$11</f>
        <v>0.311333333333333</v>
      </c>
    </row>
    <row r="1039" customFormat="false" ht="15" hidden="false" customHeight="false" outlineLevel="0" collapsed="false">
      <c r="A1039" s="2" t="n">
        <v>1035</v>
      </c>
      <c r="B1039" s="13" t="n">
        <f aca="false">SMALL(Datos!$D$2:$D$1501,A1039)</f>
        <v>162.960171951669</v>
      </c>
      <c r="C1039" s="21" t="n">
        <f aca="false">(Config!$B$11-A1039+1)/Config!$B$11</f>
        <v>0.310666666666667</v>
      </c>
    </row>
    <row r="1040" customFormat="false" ht="15" hidden="false" customHeight="false" outlineLevel="0" collapsed="false">
      <c r="A1040" s="2" t="n">
        <v>1036</v>
      </c>
      <c r="B1040" s="13" t="n">
        <f aca="false">SMALL(Datos!$D$2:$D$1501,A1040)</f>
        <v>162.967308060092</v>
      </c>
      <c r="C1040" s="21" t="n">
        <f aca="false">(Config!$B$11-A1040+1)/Config!$B$11</f>
        <v>0.31</v>
      </c>
    </row>
    <row r="1041" customFormat="false" ht="15" hidden="false" customHeight="false" outlineLevel="0" collapsed="false">
      <c r="A1041" s="2" t="n">
        <v>1037</v>
      </c>
      <c r="B1041" s="13" t="n">
        <f aca="false">SMALL(Datos!$D$2:$D$1501,A1041)</f>
        <v>162.978012222727</v>
      </c>
      <c r="C1041" s="21" t="n">
        <f aca="false">(Config!$B$11-A1041+1)/Config!$B$11</f>
        <v>0.309333333333333</v>
      </c>
    </row>
    <row r="1042" customFormat="false" ht="15" hidden="false" customHeight="false" outlineLevel="0" collapsed="false">
      <c r="A1042" s="2" t="n">
        <v>1038</v>
      </c>
      <c r="B1042" s="13" t="n">
        <f aca="false">SMALL(Datos!$D$2:$D$1501,A1042)</f>
        <v>162.978012222727</v>
      </c>
      <c r="C1042" s="21" t="n">
        <f aca="false">(Config!$B$11-A1042+1)/Config!$B$11</f>
        <v>0.308666666666667</v>
      </c>
    </row>
    <row r="1043" customFormat="false" ht="15" hidden="false" customHeight="false" outlineLevel="0" collapsed="false">
      <c r="A1043" s="2" t="n">
        <v>1039</v>
      </c>
      <c r="B1043" s="13" t="n">
        <f aca="false">SMALL(Datos!$D$2:$D$1501,A1043)</f>
        <v>162.98514833115</v>
      </c>
      <c r="C1043" s="21" t="n">
        <f aca="false">(Config!$B$11-A1043+1)/Config!$B$11</f>
        <v>0.308</v>
      </c>
    </row>
    <row r="1044" customFormat="false" ht="15" hidden="false" customHeight="false" outlineLevel="0" collapsed="false">
      <c r="A1044" s="2" t="n">
        <v>1040</v>
      </c>
      <c r="B1044" s="13" t="n">
        <f aca="false">SMALL(Datos!$D$2:$D$1501,A1044)</f>
        <v>162.988716385361</v>
      </c>
      <c r="C1044" s="21" t="n">
        <f aca="false">(Config!$B$11-A1044+1)/Config!$B$11</f>
        <v>0.307333333333333</v>
      </c>
    </row>
    <row r="1045" customFormat="false" ht="15" hidden="false" customHeight="false" outlineLevel="0" collapsed="false">
      <c r="A1045" s="2" t="n">
        <v>1041</v>
      </c>
      <c r="B1045" s="13" t="n">
        <f aca="false">SMALL(Datos!$D$2:$D$1501,A1045)</f>
        <v>162.995852493785</v>
      </c>
      <c r="C1045" s="21" t="n">
        <f aca="false">(Config!$B$11-A1045+1)/Config!$B$11</f>
        <v>0.306666666666667</v>
      </c>
    </row>
    <row r="1046" customFormat="false" ht="15" hidden="false" customHeight="false" outlineLevel="0" collapsed="false">
      <c r="A1046" s="2" t="n">
        <v>1042</v>
      </c>
      <c r="B1046" s="13" t="n">
        <f aca="false">SMALL(Datos!$D$2:$D$1501,A1046)</f>
        <v>163.024396927477</v>
      </c>
      <c r="C1046" s="21" t="n">
        <f aca="false">(Config!$B$11-A1046+1)/Config!$B$11</f>
        <v>0.306</v>
      </c>
    </row>
    <row r="1047" customFormat="false" ht="15" hidden="false" customHeight="false" outlineLevel="0" collapsed="false">
      <c r="A1047" s="2" t="n">
        <v>1043</v>
      </c>
      <c r="B1047" s="13" t="n">
        <f aca="false">SMALL(Datos!$D$2:$D$1501,A1047)</f>
        <v>163.027964981689</v>
      </c>
      <c r="C1047" s="21" t="n">
        <f aca="false">(Config!$B$11-A1047+1)/Config!$B$11</f>
        <v>0.305333333333333</v>
      </c>
    </row>
    <row r="1048" customFormat="false" ht="15" hidden="false" customHeight="false" outlineLevel="0" collapsed="false">
      <c r="A1048" s="2" t="n">
        <v>1044</v>
      </c>
      <c r="B1048" s="13" t="n">
        <f aca="false">SMALL(Datos!$D$2:$D$1501,A1048)</f>
        <v>163.0315330359</v>
      </c>
      <c r="C1048" s="21" t="n">
        <f aca="false">(Config!$B$11-A1048+1)/Config!$B$11</f>
        <v>0.304666666666667</v>
      </c>
    </row>
    <row r="1049" customFormat="false" ht="15" hidden="false" customHeight="false" outlineLevel="0" collapsed="false">
      <c r="A1049" s="2" t="n">
        <v>1045</v>
      </c>
      <c r="B1049" s="13" t="n">
        <f aca="false">SMALL(Datos!$D$2:$D$1501,A1049)</f>
        <v>163.0315330359</v>
      </c>
      <c r="C1049" s="21" t="n">
        <f aca="false">(Config!$B$11-A1049+1)/Config!$B$11</f>
        <v>0.304</v>
      </c>
    </row>
    <row r="1050" customFormat="false" ht="15" hidden="false" customHeight="false" outlineLevel="0" collapsed="false">
      <c r="A1050" s="2" t="n">
        <v>1046</v>
      </c>
      <c r="B1050" s="13" t="n">
        <f aca="false">SMALL(Datos!$D$2:$D$1501,A1050)</f>
        <v>163.035101090112</v>
      </c>
      <c r="C1050" s="21" t="n">
        <f aca="false">(Config!$B$11-A1050+1)/Config!$B$11</f>
        <v>0.303333333333333</v>
      </c>
    </row>
    <row r="1051" customFormat="false" ht="15" hidden="false" customHeight="false" outlineLevel="0" collapsed="false">
      <c r="A1051" s="2" t="n">
        <v>1047</v>
      </c>
      <c r="B1051" s="13" t="n">
        <f aca="false">SMALL(Datos!$D$2:$D$1501,A1051)</f>
        <v>163.035101090112</v>
      </c>
      <c r="C1051" s="21" t="n">
        <f aca="false">(Config!$B$11-A1051+1)/Config!$B$11</f>
        <v>0.302666666666667</v>
      </c>
    </row>
    <row r="1052" customFormat="false" ht="15" hidden="false" customHeight="false" outlineLevel="0" collapsed="false">
      <c r="A1052" s="2" t="n">
        <v>1048</v>
      </c>
      <c r="B1052" s="13" t="n">
        <f aca="false">SMALL(Datos!$D$2:$D$1501,A1052)</f>
        <v>163.049373306958</v>
      </c>
      <c r="C1052" s="21" t="n">
        <f aca="false">(Config!$B$11-A1052+1)/Config!$B$11</f>
        <v>0.302</v>
      </c>
    </row>
    <row r="1053" customFormat="false" ht="15" hidden="false" customHeight="false" outlineLevel="0" collapsed="false">
      <c r="A1053" s="2" t="n">
        <v>1049</v>
      </c>
      <c r="B1053" s="13" t="n">
        <f aca="false">SMALL(Datos!$D$2:$D$1501,A1053)</f>
        <v>163.05294136117</v>
      </c>
      <c r="C1053" s="21" t="n">
        <f aca="false">(Config!$B$11-A1053+1)/Config!$B$11</f>
        <v>0.301333333333333</v>
      </c>
    </row>
    <row r="1054" customFormat="false" ht="15" hidden="false" customHeight="false" outlineLevel="0" collapsed="false">
      <c r="A1054" s="2" t="n">
        <v>1050</v>
      </c>
      <c r="B1054" s="13" t="n">
        <f aca="false">SMALL(Datos!$D$2:$D$1501,A1054)</f>
        <v>163.056509415382</v>
      </c>
      <c r="C1054" s="21" t="n">
        <f aca="false">(Config!$B$11-A1054+1)/Config!$B$11</f>
        <v>0.300666666666667</v>
      </c>
    </row>
    <row r="1055" customFormat="false" ht="15" hidden="false" customHeight="false" outlineLevel="0" collapsed="false">
      <c r="A1055" s="2" t="n">
        <v>1051</v>
      </c>
      <c r="B1055" s="13" t="n">
        <f aca="false">SMALL(Datos!$D$2:$D$1501,A1055)</f>
        <v>163.077917740651</v>
      </c>
      <c r="C1055" s="21" t="n">
        <f aca="false">(Config!$B$11-A1055+1)/Config!$B$11</f>
        <v>0.3</v>
      </c>
    </row>
    <row r="1056" customFormat="false" ht="15" hidden="false" customHeight="false" outlineLevel="0" collapsed="false">
      <c r="A1056" s="2" t="n">
        <v>1052</v>
      </c>
      <c r="B1056" s="13" t="n">
        <f aca="false">SMALL(Datos!$D$2:$D$1501,A1056)</f>
        <v>163.113598282767</v>
      </c>
      <c r="C1056" s="21" t="n">
        <f aca="false">(Config!$B$11-A1056+1)/Config!$B$11</f>
        <v>0.299333333333333</v>
      </c>
    </row>
    <row r="1057" customFormat="false" ht="15" hidden="false" customHeight="false" outlineLevel="0" collapsed="false">
      <c r="A1057" s="2" t="n">
        <v>1053</v>
      </c>
      <c r="B1057" s="13" t="n">
        <f aca="false">SMALL(Datos!$D$2:$D$1501,A1057)</f>
        <v>163.117166336979</v>
      </c>
      <c r="C1057" s="21" t="n">
        <f aca="false">(Config!$B$11-A1057+1)/Config!$B$11</f>
        <v>0.298666666666667</v>
      </c>
    </row>
    <row r="1058" customFormat="false" ht="15" hidden="false" customHeight="false" outlineLevel="0" collapsed="false">
      <c r="A1058" s="2" t="n">
        <v>1054</v>
      </c>
      <c r="B1058" s="13" t="n">
        <f aca="false">SMALL(Datos!$D$2:$D$1501,A1058)</f>
        <v>163.117166336979</v>
      </c>
      <c r="C1058" s="21" t="n">
        <f aca="false">(Config!$B$11-A1058+1)/Config!$B$11</f>
        <v>0.298</v>
      </c>
    </row>
    <row r="1059" customFormat="false" ht="15" hidden="false" customHeight="false" outlineLevel="0" collapsed="false">
      <c r="A1059" s="2" t="n">
        <v>1055</v>
      </c>
      <c r="B1059" s="13" t="n">
        <f aca="false">SMALL(Datos!$D$2:$D$1501,A1059)</f>
        <v>163.152846879094</v>
      </c>
      <c r="C1059" s="21" t="n">
        <f aca="false">(Config!$B$11-A1059+1)/Config!$B$11</f>
        <v>0.297333333333333</v>
      </c>
    </row>
    <row r="1060" customFormat="false" ht="15" hidden="false" customHeight="false" outlineLevel="0" collapsed="false">
      <c r="A1060" s="2" t="n">
        <v>1056</v>
      </c>
      <c r="B1060" s="13" t="n">
        <f aca="false">SMALL(Datos!$D$2:$D$1501,A1060)</f>
        <v>163.152846879094</v>
      </c>
      <c r="C1060" s="21" t="n">
        <f aca="false">(Config!$B$11-A1060+1)/Config!$B$11</f>
        <v>0.296666666666667</v>
      </c>
    </row>
    <row r="1061" customFormat="false" ht="15" hidden="false" customHeight="false" outlineLevel="0" collapsed="false">
      <c r="A1061" s="2" t="n">
        <v>1057</v>
      </c>
      <c r="B1061" s="13" t="n">
        <f aca="false">SMALL(Datos!$D$2:$D$1501,A1061)</f>
        <v>163.163551041729</v>
      </c>
      <c r="C1061" s="21" t="n">
        <f aca="false">(Config!$B$11-A1061+1)/Config!$B$11</f>
        <v>0.296</v>
      </c>
    </row>
    <row r="1062" customFormat="false" ht="15" hidden="false" customHeight="false" outlineLevel="0" collapsed="false">
      <c r="A1062" s="2" t="n">
        <v>1058</v>
      </c>
      <c r="B1062" s="13" t="n">
        <f aca="false">SMALL(Datos!$D$2:$D$1501,A1062)</f>
        <v>163.184959366999</v>
      </c>
      <c r="C1062" s="21" t="n">
        <f aca="false">(Config!$B$11-A1062+1)/Config!$B$11</f>
        <v>0.295333333333333</v>
      </c>
    </row>
    <row r="1063" customFormat="false" ht="15" hidden="false" customHeight="false" outlineLevel="0" collapsed="false">
      <c r="A1063" s="2" t="n">
        <v>1059</v>
      </c>
      <c r="B1063" s="13" t="n">
        <f aca="false">SMALL(Datos!$D$2:$D$1501,A1063)</f>
        <v>163.192095475422</v>
      </c>
      <c r="C1063" s="21" t="n">
        <f aca="false">(Config!$B$11-A1063+1)/Config!$B$11</f>
        <v>0.294666666666667</v>
      </c>
    </row>
    <row r="1064" customFormat="false" ht="15" hidden="false" customHeight="false" outlineLevel="0" collapsed="false">
      <c r="A1064" s="2" t="n">
        <v>1060</v>
      </c>
      <c r="B1064" s="13" t="n">
        <f aca="false">SMALL(Datos!$D$2:$D$1501,A1064)</f>
        <v>163.195663529633</v>
      </c>
      <c r="C1064" s="21" t="n">
        <f aca="false">(Config!$B$11-A1064+1)/Config!$B$11</f>
        <v>0.294</v>
      </c>
    </row>
    <row r="1065" customFormat="false" ht="15" hidden="false" customHeight="false" outlineLevel="0" collapsed="false">
      <c r="A1065" s="2" t="n">
        <v>1061</v>
      </c>
      <c r="B1065" s="13" t="n">
        <f aca="false">SMALL(Datos!$D$2:$D$1501,A1065)</f>
        <v>163.199231583845</v>
      </c>
      <c r="C1065" s="21" t="n">
        <f aca="false">(Config!$B$11-A1065+1)/Config!$B$11</f>
        <v>0.293333333333333</v>
      </c>
    </row>
    <row r="1066" customFormat="false" ht="15" hidden="false" customHeight="false" outlineLevel="0" collapsed="false">
      <c r="A1066" s="2" t="n">
        <v>1062</v>
      </c>
      <c r="B1066" s="13" t="n">
        <f aca="false">SMALL(Datos!$D$2:$D$1501,A1066)</f>
        <v>163.206367692268</v>
      </c>
      <c r="C1066" s="21" t="n">
        <f aca="false">(Config!$B$11-A1066+1)/Config!$B$11</f>
        <v>0.292666666666667</v>
      </c>
    </row>
    <row r="1067" customFormat="false" ht="15" hidden="false" customHeight="false" outlineLevel="0" collapsed="false">
      <c r="A1067" s="2" t="n">
        <v>1063</v>
      </c>
      <c r="B1067" s="13" t="n">
        <f aca="false">SMALL(Datos!$D$2:$D$1501,A1067)</f>
        <v>163.213503800691</v>
      </c>
      <c r="C1067" s="21" t="n">
        <f aca="false">(Config!$B$11-A1067+1)/Config!$B$11</f>
        <v>0.292</v>
      </c>
    </row>
    <row r="1068" customFormat="false" ht="15" hidden="false" customHeight="false" outlineLevel="0" collapsed="false">
      <c r="A1068" s="2" t="n">
        <v>1064</v>
      </c>
      <c r="B1068" s="13" t="n">
        <f aca="false">SMALL(Datos!$D$2:$D$1501,A1068)</f>
        <v>163.227776017538</v>
      </c>
      <c r="C1068" s="21" t="n">
        <f aca="false">(Config!$B$11-A1068+1)/Config!$B$11</f>
        <v>0.291333333333333</v>
      </c>
    </row>
    <row r="1069" customFormat="false" ht="15" hidden="false" customHeight="false" outlineLevel="0" collapsed="false">
      <c r="A1069" s="2" t="n">
        <v>1065</v>
      </c>
      <c r="B1069" s="13" t="n">
        <f aca="false">SMALL(Datos!$D$2:$D$1501,A1069)</f>
        <v>163.231344071749</v>
      </c>
      <c r="C1069" s="21" t="n">
        <f aca="false">(Config!$B$11-A1069+1)/Config!$B$11</f>
        <v>0.290666666666667</v>
      </c>
    </row>
    <row r="1070" customFormat="false" ht="15" hidden="false" customHeight="false" outlineLevel="0" collapsed="false">
      <c r="A1070" s="2" t="n">
        <v>1066</v>
      </c>
      <c r="B1070" s="13" t="n">
        <f aca="false">SMALL(Datos!$D$2:$D$1501,A1070)</f>
        <v>163.252752397019</v>
      </c>
      <c r="C1070" s="21" t="n">
        <f aca="false">(Config!$B$11-A1070+1)/Config!$B$11</f>
        <v>0.29</v>
      </c>
    </row>
    <row r="1071" customFormat="false" ht="15" hidden="false" customHeight="false" outlineLevel="0" collapsed="false">
      <c r="A1071" s="2" t="n">
        <v>1067</v>
      </c>
      <c r="B1071" s="13" t="n">
        <f aca="false">SMALL(Datos!$D$2:$D$1501,A1071)</f>
        <v>163.263456559654</v>
      </c>
      <c r="C1071" s="21" t="n">
        <f aca="false">(Config!$B$11-A1071+1)/Config!$B$11</f>
        <v>0.289333333333333</v>
      </c>
    </row>
    <row r="1072" customFormat="false" ht="15" hidden="false" customHeight="false" outlineLevel="0" collapsed="false">
      <c r="A1072" s="2" t="n">
        <v>1068</v>
      </c>
      <c r="B1072" s="13" t="n">
        <f aca="false">SMALL(Datos!$D$2:$D$1501,A1072)</f>
        <v>163.284864884923</v>
      </c>
      <c r="C1072" s="21" t="n">
        <f aca="false">(Config!$B$11-A1072+1)/Config!$B$11</f>
        <v>0.288666666666667</v>
      </c>
    </row>
    <row r="1073" customFormat="false" ht="15" hidden="false" customHeight="false" outlineLevel="0" collapsed="false">
      <c r="A1073" s="2" t="n">
        <v>1069</v>
      </c>
      <c r="B1073" s="13" t="n">
        <f aca="false">SMALL(Datos!$D$2:$D$1501,A1073)</f>
        <v>163.288432939135</v>
      </c>
      <c r="C1073" s="21" t="n">
        <f aca="false">(Config!$B$11-A1073+1)/Config!$B$11</f>
        <v>0.288</v>
      </c>
    </row>
    <row r="1074" customFormat="false" ht="15" hidden="false" customHeight="false" outlineLevel="0" collapsed="false">
      <c r="A1074" s="2" t="n">
        <v>1070</v>
      </c>
      <c r="B1074" s="13" t="n">
        <f aca="false">SMALL(Datos!$D$2:$D$1501,A1074)</f>
        <v>163.302705155981</v>
      </c>
      <c r="C1074" s="21" t="n">
        <f aca="false">(Config!$B$11-A1074+1)/Config!$B$11</f>
        <v>0.287333333333333</v>
      </c>
    </row>
    <row r="1075" customFormat="false" ht="15" hidden="false" customHeight="false" outlineLevel="0" collapsed="false">
      <c r="A1075" s="2" t="n">
        <v>1071</v>
      </c>
      <c r="B1075" s="13" t="n">
        <f aca="false">SMALL(Datos!$D$2:$D$1501,A1075)</f>
        <v>163.302705155981</v>
      </c>
      <c r="C1075" s="21" t="n">
        <f aca="false">(Config!$B$11-A1075+1)/Config!$B$11</f>
        <v>0.286666666666667</v>
      </c>
    </row>
    <row r="1076" customFormat="false" ht="15" hidden="false" customHeight="false" outlineLevel="0" collapsed="false">
      <c r="A1076" s="2" t="n">
        <v>1072</v>
      </c>
      <c r="B1076" s="13" t="n">
        <f aca="false">SMALL(Datos!$D$2:$D$1501,A1076)</f>
        <v>163.302705155981</v>
      </c>
      <c r="C1076" s="21" t="n">
        <f aca="false">(Config!$B$11-A1076+1)/Config!$B$11</f>
        <v>0.286</v>
      </c>
    </row>
    <row r="1077" customFormat="false" ht="15" hidden="false" customHeight="false" outlineLevel="0" collapsed="false">
      <c r="A1077" s="2" t="n">
        <v>1073</v>
      </c>
      <c r="B1077" s="13" t="n">
        <f aca="false">SMALL(Datos!$D$2:$D$1501,A1077)</f>
        <v>163.309841264404</v>
      </c>
      <c r="C1077" s="21" t="n">
        <f aca="false">(Config!$B$11-A1077+1)/Config!$B$11</f>
        <v>0.285333333333333</v>
      </c>
    </row>
    <row r="1078" customFormat="false" ht="15" hidden="false" customHeight="false" outlineLevel="0" collapsed="false">
      <c r="A1078" s="2" t="n">
        <v>1074</v>
      </c>
      <c r="B1078" s="13" t="n">
        <f aca="false">SMALL(Datos!$D$2:$D$1501,A1078)</f>
        <v>163.324113481251</v>
      </c>
      <c r="C1078" s="21" t="n">
        <f aca="false">(Config!$B$11-A1078+1)/Config!$B$11</f>
        <v>0.284666666666667</v>
      </c>
    </row>
    <row r="1079" customFormat="false" ht="15" hidden="false" customHeight="false" outlineLevel="0" collapsed="false">
      <c r="A1079" s="2" t="n">
        <v>1075</v>
      </c>
      <c r="B1079" s="13" t="n">
        <f aca="false">SMALL(Datos!$D$2:$D$1501,A1079)</f>
        <v>163.324113481251</v>
      </c>
      <c r="C1079" s="21" t="n">
        <f aca="false">(Config!$B$11-A1079+1)/Config!$B$11</f>
        <v>0.284</v>
      </c>
    </row>
    <row r="1080" customFormat="false" ht="15" hidden="false" customHeight="false" outlineLevel="0" collapsed="false">
      <c r="A1080" s="2" t="n">
        <v>1076</v>
      </c>
      <c r="B1080" s="13" t="n">
        <f aca="false">SMALL(Datos!$D$2:$D$1501,A1080)</f>
        <v>163.338385698097</v>
      </c>
      <c r="C1080" s="21" t="n">
        <f aca="false">(Config!$B$11-A1080+1)/Config!$B$11</f>
        <v>0.283333333333333</v>
      </c>
    </row>
    <row r="1081" customFormat="false" ht="15" hidden="false" customHeight="false" outlineLevel="0" collapsed="false">
      <c r="A1081" s="2" t="n">
        <v>1077</v>
      </c>
      <c r="B1081" s="13" t="n">
        <f aca="false">SMALL(Datos!$D$2:$D$1501,A1081)</f>
        <v>163.338385698097</v>
      </c>
      <c r="C1081" s="21" t="n">
        <f aca="false">(Config!$B$11-A1081+1)/Config!$B$11</f>
        <v>0.282666666666667</v>
      </c>
    </row>
    <row r="1082" customFormat="false" ht="15" hidden="false" customHeight="false" outlineLevel="0" collapsed="false">
      <c r="A1082" s="2" t="n">
        <v>1078</v>
      </c>
      <c r="B1082" s="13" t="n">
        <f aca="false">SMALL(Datos!$D$2:$D$1501,A1082)</f>
        <v>163.349089860732</v>
      </c>
      <c r="C1082" s="21" t="n">
        <f aca="false">(Config!$B$11-A1082+1)/Config!$B$11</f>
        <v>0.282</v>
      </c>
    </row>
    <row r="1083" customFormat="false" ht="15" hidden="false" customHeight="false" outlineLevel="0" collapsed="false">
      <c r="A1083" s="2" t="n">
        <v>1079</v>
      </c>
      <c r="B1083" s="13" t="n">
        <f aca="false">SMALL(Datos!$D$2:$D$1501,A1083)</f>
        <v>163.352657914943</v>
      </c>
      <c r="C1083" s="21" t="n">
        <f aca="false">(Config!$B$11-A1083+1)/Config!$B$11</f>
        <v>0.281333333333333</v>
      </c>
    </row>
    <row r="1084" customFormat="false" ht="15" hidden="false" customHeight="false" outlineLevel="0" collapsed="false">
      <c r="A1084" s="2" t="n">
        <v>1080</v>
      </c>
      <c r="B1084" s="13" t="n">
        <f aca="false">SMALL(Datos!$D$2:$D$1501,A1084)</f>
        <v>163.359794023367</v>
      </c>
      <c r="C1084" s="21" t="n">
        <f aca="false">(Config!$B$11-A1084+1)/Config!$B$11</f>
        <v>0.280666666666667</v>
      </c>
    </row>
    <row r="1085" customFormat="false" ht="15" hidden="false" customHeight="false" outlineLevel="0" collapsed="false">
      <c r="A1085" s="2" t="n">
        <v>1081</v>
      </c>
      <c r="B1085" s="13" t="n">
        <f aca="false">SMALL(Datos!$D$2:$D$1501,A1085)</f>
        <v>163.359794023367</v>
      </c>
      <c r="C1085" s="21" t="n">
        <f aca="false">(Config!$B$11-A1085+1)/Config!$B$11</f>
        <v>0.28</v>
      </c>
    </row>
    <row r="1086" customFormat="false" ht="15" hidden="false" customHeight="false" outlineLevel="0" collapsed="false">
      <c r="A1086" s="2" t="n">
        <v>1082</v>
      </c>
      <c r="B1086" s="13" t="n">
        <f aca="false">SMALL(Datos!$D$2:$D$1501,A1086)</f>
        <v>163.399042619694</v>
      </c>
      <c r="C1086" s="21" t="n">
        <f aca="false">(Config!$B$11-A1086+1)/Config!$B$11</f>
        <v>0.279333333333333</v>
      </c>
    </row>
    <row r="1087" customFormat="false" ht="15" hidden="false" customHeight="false" outlineLevel="0" collapsed="false">
      <c r="A1087" s="2" t="n">
        <v>1083</v>
      </c>
      <c r="B1087" s="13" t="n">
        <f aca="false">SMALL(Datos!$D$2:$D$1501,A1087)</f>
        <v>163.420450944964</v>
      </c>
      <c r="C1087" s="21" t="n">
        <f aca="false">(Config!$B$11-A1087+1)/Config!$B$11</f>
        <v>0.278666666666667</v>
      </c>
    </row>
    <row r="1088" customFormat="false" ht="15" hidden="false" customHeight="false" outlineLevel="0" collapsed="false">
      <c r="A1088" s="2" t="n">
        <v>1084</v>
      </c>
      <c r="B1088" s="13" t="n">
        <f aca="false">SMALL(Datos!$D$2:$D$1501,A1088)</f>
        <v>163.427587053387</v>
      </c>
      <c r="C1088" s="21" t="n">
        <f aca="false">(Config!$B$11-A1088+1)/Config!$B$11</f>
        <v>0.278</v>
      </c>
    </row>
    <row r="1089" customFormat="false" ht="15" hidden="false" customHeight="false" outlineLevel="0" collapsed="false">
      <c r="A1089" s="2" t="n">
        <v>1085</v>
      </c>
      <c r="B1089" s="13" t="n">
        <f aca="false">SMALL(Datos!$D$2:$D$1501,A1089)</f>
        <v>163.431155107598</v>
      </c>
      <c r="C1089" s="21" t="n">
        <f aca="false">(Config!$B$11-A1089+1)/Config!$B$11</f>
        <v>0.277333333333333</v>
      </c>
    </row>
    <row r="1090" customFormat="false" ht="15" hidden="false" customHeight="false" outlineLevel="0" collapsed="false">
      <c r="A1090" s="2" t="n">
        <v>1086</v>
      </c>
      <c r="B1090" s="13" t="n">
        <f aca="false">SMALL(Datos!$D$2:$D$1501,A1090)</f>
        <v>163.445427324445</v>
      </c>
      <c r="C1090" s="21" t="n">
        <f aca="false">(Config!$B$11-A1090+1)/Config!$B$11</f>
        <v>0.276666666666667</v>
      </c>
    </row>
    <row r="1091" customFormat="false" ht="15" hidden="false" customHeight="false" outlineLevel="0" collapsed="false">
      <c r="A1091" s="2" t="n">
        <v>1087</v>
      </c>
      <c r="B1091" s="13" t="n">
        <f aca="false">SMALL(Datos!$D$2:$D$1501,A1091)</f>
        <v>163.470403703926</v>
      </c>
      <c r="C1091" s="21" t="n">
        <f aca="false">(Config!$B$11-A1091+1)/Config!$B$11</f>
        <v>0.276</v>
      </c>
    </row>
    <row r="1092" customFormat="false" ht="15" hidden="false" customHeight="false" outlineLevel="0" collapsed="false">
      <c r="A1092" s="2" t="n">
        <v>1088</v>
      </c>
      <c r="B1092" s="13" t="n">
        <f aca="false">SMALL(Datos!$D$2:$D$1501,A1092)</f>
        <v>163.473971758137</v>
      </c>
      <c r="C1092" s="21" t="n">
        <f aca="false">(Config!$B$11-A1092+1)/Config!$B$11</f>
        <v>0.275333333333333</v>
      </c>
    </row>
    <row r="1093" customFormat="false" ht="15" hidden="false" customHeight="false" outlineLevel="0" collapsed="false">
      <c r="A1093" s="2" t="n">
        <v>1089</v>
      </c>
      <c r="B1093" s="13" t="n">
        <f aca="false">SMALL(Datos!$D$2:$D$1501,A1093)</f>
        <v>163.473971758137</v>
      </c>
      <c r="C1093" s="21" t="n">
        <f aca="false">(Config!$B$11-A1093+1)/Config!$B$11</f>
        <v>0.274666666666667</v>
      </c>
    </row>
    <row r="1094" customFormat="false" ht="15" hidden="false" customHeight="false" outlineLevel="0" collapsed="false">
      <c r="A1094" s="2" t="n">
        <v>1090</v>
      </c>
      <c r="B1094" s="13" t="n">
        <f aca="false">SMALL(Datos!$D$2:$D$1501,A1094)</f>
        <v>163.477539812349</v>
      </c>
      <c r="C1094" s="21" t="n">
        <f aca="false">(Config!$B$11-A1094+1)/Config!$B$11</f>
        <v>0.274</v>
      </c>
    </row>
    <row r="1095" customFormat="false" ht="15" hidden="false" customHeight="false" outlineLevel="0" collapsed="false">
      <c r="A1095" s="2" t="n">
        <v>1091</v>
      </c>
      <c r="B1095" s="13" t="n">
        <f aca="false">SMALL(Datos!$D$2:$D$1501,A1095)</f>
        <v>163.491812029195</v>
      </c>
      <c r="C1095" s="21" t="n">
        <f aca="false">(Config!$B$11-A1095+1)/Config!$B$11</f>
        <v>0.273333333333333</v>
      </c>
    </row>
    <row r="1096" customFormat="false" ht="15" hidden="false" customHeight="false" outlineLevel="0" collapsed="false">
      <c r="A1096" s="2" t="n">
        <v>1092</v>
      </c>
      <c r="B1096" s="13" t="n">
        <f aca="false">SMALL(Datos!$D$2:$D$1501,A1096)</f>
        <v>163.527492571311</v>
      </c>
      <c r="C1096" s="21" t="n">
        <f aca="false">(Config!$B$11-A1096+1)/Config!$B$11</f>
        <v>0.272666666666667</v>
      </c>
    </row>
    <row r="1097" customFormat="false" ht="15" hidden="false" customHeight="false" outlineLevel="0" collapsed="false">
      <c r="A1097" s="2" t="n">
        <v>1093</v>
      </c>
      <c r="B1097" s="13" t="n">
        <f aca="false">SMALL(Datos!$D$2:$D$1501,A1097)</f>
        <v>163.531060625523</v>
      </c>
      <c r="C1097" s="21" t="n">
        <f aca="false">(Config!$B$11-A1097+1)/Config!$B$11</f>
        <v>0.272</v>
      </c>
    </row>
    <row r="1098" customFormat="false" ht="15" hidden="false" customHeight="false" outlineLevel="0" collapsed="false">
      <c r="A1098" s="2" t="n">
        <v>1094</v>
      </c>
      <c r="B1098" s="13" t="n">
        <f aca="false">SMALL(Datos!$D$2:$D$1501,A1098)</f>
        <v>163.545332842369</v>
      </c>
      <c r="C1098" s="21" t="n">
        <f aca="false">(Config!$B$11-A1098+1)/Config!$B$11</f>
        <v>0.271333333333333</v>
      </c>
    </row>
    <row r="1099" customFormat="false" ht="15" hidden="false" customHeight="false" outlineLevel="0" collapsed="false">
      <c r="A1099" s="2" t="n">
        <v>1095</v>
      </c>
      <c r="B1099" s="13" t="n">
        <f aca="false">SMALL(Datos!$D$2:$D$1501,A1099)</f>
        <v>163.556037005004</v>
      </c>
      <c r="C1099" s="21" t="n">
        <f aca="false">(Config!$B$11-A1099+1)/Config!$B$11</f>
        <v>0.270666666666667</v>
      </c>
    </row>
    <row r="1100" customFormat="false" ht="15" hidden="false" customHeight="false" outlineLevel="0" collapsed="false">
      <c r="A1100" s="2" t="n">
        <v>1096</v>
      </c>
      <c r="B1100" s="13" t="n">
        <f aca="false">SMALL(Datos!$D$2:$D$1501,A1100)</f>
        <v>163.57030922185</v>
      </c>
      <c r="C1100" s="21" t="n">
        <f aca="false">(Config!$B$11-A1100+1)/Config!$B$11</f>
        <v>0.27</v>
      </c>
    </row>
    <row r="1101" customFormat="false" ht="15" hidden="false" customHeight="false" outlineLevel="0" collapsed="false">
      <c r="A1101" s="2" t="n">
        <v>1097</v>
      </c>
      <c r="B1101" s="13" t="n">
        <f aca="false">SMALL(Datos!$D$2:$D$1501,A1101)</f>
        <v>163.584581438697</v>
      </c>
      <c r="C1101" s="21" t="n">
        <f aca="false">(Config!$B$11-A1101+1)/Config!$B$11</f>
        <v>0.269333333333333</v>
      </c>
    </row>
    <row r="1102" customFormat="false" ht="15" hidden="false" customHeight="false" outlineLevel="0" collapsed="false">
      <c r="A1102" s="2" t="n">
        <v>1098</v>
      </c>
      <c r="B1102" s="13" t="n">
        <f aca="false">SMALL(Datos!$D$2:$D$1501,A1102)</f>
        <v>163.584581438697</v>
      </c>
      <c r="C1102" s="21" t="n">
        <f aca="false">(Config!$B$11-A1102+1)/Config!$B$11</f>
        <v>0.268666666666667</v>
      </c>
    </row>
    <row r="1103" customFormat="false" ht="15" hidden="false" customHeight="false" outlineLevel="0" collapsed="false">
      <c r="A1103" s="2" t="n">
        <v>1099</v>
      </c>
      <c r="B1103" s="13" t="n">
        <f aca="false">SMALL(Datos!$D$2:$D$1501,A1103)</f>
        <v>163.605989763966</v>
      </c>
      <c r="C1103" s="21" t="n">
        <f aca="false">(Config!$B$11-A1103+1)/Config!$B$11</f>
        <v>0.268</v>
      </c>
    </row>
    <row r="1104" customFormat="false" ht="15" hidden="false" customHeight="false" outlineLevel="0" collapsed="false">
      <c r="A1104" s="2" t="n">
        <v>1100</v>
      </c>
      <c r="B1104" s="13" t="n">
        <f aca="false">SMALL(Datos!$D$2:$D$1501,A1104)</f>
        <v>163.609557818178</v>
      </c>
      <c r="C1104" s="21" t="n">
        <f aca="false">(Config!$B$11-A1104+1)/Config!$B$11</f>
        <v>0.267333333333333</v>
      </c>
    </row>
    <row r="1105" customFormat="false" ht="15" hidden="false" customHeight="false" outlineLevel="0" collapsed="false">
      <c r="A1105" s="2" t="n">
        <v>1101</v>
      </c>
      <c r="B1105" s="13" t="n">
        <f aca="false">SMALL(Datos!$D$2:$D$1501,A1105)</f>
        <v>163.616693926601</v>
      </c>
      <c r="C1105" s="21" t="n">
        <f aca="false">(Config!$B$11-A1105+1)/Config!$B$11</f>
        <v>0.266666666666667</v>
      </c>
    </row>
    <row r="1106" customFormat="false" ht="15" hidden="false" customHeight="false" outlineLevel="0" collapsed="false">
      <c r="A1106" s="2" t="n">
        <v>1102</v>
      </c>
      <c r="B1106" s="13" t="n">
        <f aca="false">SMALL(Datos!$D$2:$D$1501,A1106)</f>
        <v>163.630966143447</v>
      </c>
      <c r="C1106" s="21" t="n">
        <f aca="false">(Config!$B$11-A1106+1)/Config!$B$11</f>
        <v>0.266</v>
      </c>
    </row>
    <row r="1107" customFormat="false" ht="15" hidden="false" customHeight="false" outlineLevel="0" collapsed="false">
      <c r="A1107" s="2" t="n">
        <v>1103</v>
      </c>
      <c r="B1107" s="13" t="n">
        <f aca="false">SMALL(Datos!$D$2:$D$1501,A1107)</f>
        <v>163.630966143447</v>
      </c>
      <c r="C1107" s="21" t="n">
        <f aca="false">(Config!$B$11-A1107+1)/Config!$B$11</f>
        <v>0.265333333333333</v>
      </c>
    </row>
    <row r="1108" customFormat="false" ht="15" hidden="false" customHeight="false" outlineLevel="0" collapsed="false">
      <c r="A1108" s="2" t="n">
        <v>1104</v>
      </c>
      <c r="B1108" s="13" t="n">
        <f aca="false">SMALL(Datos!$D$2:$D$1501,A1108)</f>
        <v>163.641670306082</v>
      </c>
      <c r="C1108" s="21" t="n">
        <f aca="false">(Config!$B$11-A1108+1)/Config!$B$11</f>
        <v>0.264666666666667</v>
      </c>
    </row>
    <row r="1109" customFormat="false" ht="15" hidden="false" customHeight="false" outlineLevel="0" collapsed="false">
      <c r="A1109" s="2" t="n">
        <v>1105</v>
      </c>
      <c r="B1109" s="13" t="n">
        <f aca="false">SMALL(Datos!$D$2:$D$1501,A1109)</f>
        <v>163.645238360294</v>
      </c>
      <c r="C1109" s="21" t="n">
        <f aca="false">(Config!$B$11-A1109+1)/Config!$B$11</f>
        <v>0.264</v>
      </c>
    </row>
    <row r="1110" customFormat="false" ht="15" hidden="false" customHeight="false" outlineLevel="0" collapsed="false">
      <c r="A1110" s="2" t="n">
        <v>1106</v>
      </c>
      <c r="B1110" s="13" t="n">
        <f aca="false">SMALL(Datos!$D$2:$D$1501,A1110)</f>
        <v>163.670214739775</v>
      </c>
      <c r="C1110" s="21" t="n">
        <f aca="false">(Config!$B$11-A1110+1)/Config!$B$11</f>
        <v>0.263333333333333</v>
      </c>
    </row>
    <row r="1111" customFormat="false" ht="15" hidden="false" customHeight="false" outlineLevel="0" collapsed="false">
      <c r="A1111" s="2" t="n">
        <v>1107</v>
      </c>
      <c r="B1111" s="13" t="n">
        <f aca="false">SMALL(Datos!$D$2:$D$1501,A1111)</f>
        <v>163.673782793986</v>
      </c>
      <c r="C1111" s="21" t="n">
        <f aca="false">(Config!$B$11-A1111+1)/Config!$B$11</f>
        <v>0.262666666666667</v>
      </c>
    </row>
    <row r="1112" customFormat="false" ht="15" hidden="false" customHeight="false" outlineLevel="0" collapsed="false">
      <c r="A1112" s="2" t="n">
        <v>1108</v>
      </c>
      <c r="B1112" s="13" t="n">
        <f aca="false">SMALL(Datos!$D$2:$D$1501,A1112)</f>
        <v>163.680918902409</v>
      </c>
      <c r="C1112" s="21" t="n">
        <f aca="false">(Config!$B$11-A1112+1)/Config!$B$11</f>
        <v>0.262</v>
      </c>
    </row>
    <row r="1113" customFormat="false" ht="15" hidden="false" customHeight="false" outlineLevel="0" collapsed="false">
      <c r="A1113" s="2" t="n">
        <v>1109</v>
      </c>
      <c r="B1113" s="13" t="n">
        <f aca="false">SMALL(Datos!$D$2:$D$1501,A1113)</f>
        <v>163.709463336102</v>
      </c>
      <c r="C1113" s="21" t="n">
        <f aca="false">(Config!$B$11-A1113+1)/Config!$B$11</f>
        <v>0.261333333333333</v>
      </c>
    </row>
    <row r="1114" customFormat="false" ht="15" hidden="false" customHeight="false" outlineLevel="0" collapsed="false">
      <c r="A1114" s="2" t="n">
        <v>1110</v>
      </c>
      <c r="B1114" s="13" t="n">
        <f aca="false">SMALL(Datos!$D$2:$D$1501,A1114)</f>
        <v>163.713031390314</v>
      </c>
      <c r="C1114" s="21" t="n">
        <f aca="false">(Config!$B$11-A1114+1)/Config!$B$11</f>
        <v>0.260666666666667</v>
      </c>
    </row>
    <row r="1115" customFormat="false" ht="15" hidden="false" customHeight="false" outlineLevel="0" collapsed="false">
      <c r="A1115" s="2" t="n">
        <v>1111</v>
      </c>
      <c r="B1115" s="13" t="n">
        <f aca="false">SMALL(Datos!$D$2:$D$1501,A1115)</f>
        <v>163.738007769795</v>
      </c>
      <c r="C1115" s="21" t="n">
        <f aca="false">(Config!$B$11-A1115+1)/Config!$B$11</f>
        <v>0.26</v>
      </c>
    </row>
    <row r="1116" customFormat="false" ht="15" hidden="false" customHeight="false" outlineLevel="0" collapsed="false">
      <c r="A1116" s="2" t="n">
        <v>1112</v>
      </c>
      <c r="B1116" s="13" t="n">
        <f aca="false">SMALL(Datos!$D$2:$D$1501,A1116)</f>
        <v>163.738007769795</v>
      </c>
      <c r="C1116" s="21" t="n">
        <f aca="false">(Config!$B$11-A1116+1)/Config!$B$11</f>
        <v>0.259333333333333</v>
      </c>
    </row>
    <row r="1117" customFormat="false" ht="15" hidden="false" customHeight="false" outlineLevel="0" collapsed="false">
      <c r="A1117" s="2" t="n">
        <v>1113</v>
      </c>
      <c r="B1117" s="13" t="n">
        <f aca="false">SMALL(Datos!$D$2:$D$1501,A1117)</f>
        <v>163.784392474546</v>
      </c>
      <c r="C1117" s="21" t="n">
        <f aca="false">(Config!$B$11-A1117+1)/Config!$B$11</f>
        <v>0.258666666666667</v>
      </c>
    </row>
    <row r="1118" customFormat="false" ht="15" hidden="false" customHeight="false" outlineLevel="0" collapsed="false">
      <c r="A1118" s="2" t="n">
        <v>1114</v>
      </c>
      <c r="B1118" s="13" t="n">
        <f aca="false">SMALL(Datos!$D$2:$D$1501,A1118)</f>
        <v>163.791528582969</v>
      </c>
      <c r="C1118" s="21" t="n">
        <f aca="false">(Config!$B$11-A1118+1)/Config!$B$11</f>
        <v>0.258</v>
      </c>
    </row>
    <row r="1119" customFormat="false" ht="15" hidden="false" customHeight="false" outlineLevel="0" collapsed="false">
      <c r="A1119" s="2" t="n">
        <v>1115</v>
      </c>
      <c r="B1119" s="13" t="n">
        <f aca="false">SMALL(Datos!$D$2:$D$1501,A1119)</f>
        <v>163.79509663718</v>
      </c>
      <c r="C1119" s="21" t="n">
        <f aca="false">(Config!$B$11-A1119+1)/Config!$B$11</f>
        <v>0.257333333333333</v>
      </c>
    </row>
    <row r="1120" customFormat="false" ht="15" hidden="false" customHeight="false" outlineLevel="0" collapsed="false">
      <c r="A1120" s="2" t="n">
        <v>1116</v>
      </c>
      <c r="B1120" s="13" t="n">
        <f aca="false">SMALL(Datos!$D$2:$D$1501,A1120)</f>
        <v>163.79509663718</v>
      </c>
      <c r="C1120" s="21" t="n">
        <f aca="false">(Config!$B$11-A1120+1)/Config!$B$11</f>
        <v>0.256666666666667</v>
      </c>
    </row>
    <row r="1121" customFormat="false" ht="15" hidden="false" customHeight="false" outlineLevel="0" collapsed="false">
      <c r="A1121" s="2" t="n">
        <v>1117</v>
      </c>
      <c r="B1121" s="13" t="n">
        <f aca="false">SMALL(Datos!$D$2:$D$1501,A1121)</f>
        <v>163.79509663718</v>
      </c>
      <c r="C1121" s="21" t="n">
        <f aca="false">(Config!$B$11-A1121+1)/Config!$B$11</f>
        <v>0.256</v>
      </c>
    </row>
    <row r="1122" customFormat="false" ht="15" hidden="false" customHeight="false" outlineLevel="0" collapsed="false">
      <c r="A1122" s="2" t="n">
        <v>1118</v>
      </c>
      <c r="B1122" s="13" t="n">
        <f aca="false">SMALL(Datos!$D$2:$D$1501,A1122)</f>
        <v>163.812936908238</v>
      </c>
      <c r="C1122" s="21" t="n">
        <f aca="false">(Config!$B$11-A1122+1)/Config!$B$11</f>
        <v>0.255333333333333</v>
      </c>
    </row>
    <row r="1123" customFormat="false" ht="15" hidden="false" customHeight="false" outlineLevel="0" collapsed="false">
      <c r="A1123" s="2" t="n">
        <v>1119</v>
      </c>
      <c r="B1123" s="13" t="n">
        <f aca="false">SMALL(Datos!$D$2:$D$1501,A1123)</f>
        <v>163.81650496245</v>
      </c>
      <c r="C1123" s="21" t="n">
        <f aca="false">(Config!$B$11-A1123+1)/Config!$B$11</f>
        <v>0.254666666666667</v>
      </c>
    </row>
    <row r="1124" customFormat="false" ht="15" hidden="false" customHeight="false" outlineLevel="0" collapsed="false">
      <c r="A1124" s="2" t="n">
        <v>1120</v>
      </c>
      <c r="B1124" s="13" t="n">
        <f aca="false">SMALL(Datos!$D$2:$D$1501,A1124)</f>
        <v>163.827209125085</v>
      </c>
      <c r="C1124" s="21" t="n">
        <f aca="false">(Config!$B$11-A1124+1)/Config!$B$11</f>
        <v>0.254</v>
      </c>
    </row>
    <row r="1125" customFormat="false" ht="15" hidden="false" customHeight="false" outlineLevel="0" collapsed="false">
      <c r="A1125" s="2" t="n">
        <v>1121</v>
      </c>
      <c r="B1125" s="13" t="n">
        <f aca="false">SMALL(Datos!$D$2:$D$1501,A1125)</f>
        <v>163.845049396143</v>
      </c>
      <c r="C1125" s="21" t="n">
        <f aca="false">(Config!$B$11-A1125+1)/Config!$B$11</f>
        <v>0.253333333333333</v>
      </c>
    </row>
    <row r="1126" customFormat="false" ht="15" hidden="false" customHeight="false" outlineLevel="0" collapsed="false">
      <c r="A1126" s="2" t="n">
        <v>1122</v>
      </c>
      <c r="B1126" s="13" t="n">
        <f aca="false">SMALL(Datos!$D$2:$D$1501,A1126)</f>
        <v>163.845049396143</v>
      </c>
      <c r="C1126" s="21" t="n">
        <f aca="false">(Config!$B$11-A1126+1)/Config!$B$11</f>
        <v>0.252666666666667</v>
      </c>
    </row>
    <row r="1127" customFormat="false" ht="15" hidden="false" customHeight="false" outlineLevel="0" collapsed="false">
      <c r="A1127" s="2" t="n">
        <v>1123</v>
      </c>
      <c r="B1127" s="13" t="n">
        <f aca="false">SMALL(Datos!$D$2:$D$1501,A1127)</f>
        <v>163.855753558777</v>
      </c>
      <c r="C1127" s="21" t="n">
        <f aca="false">(Config!$B$11-A1127+1)/Config!$B$11</f>
        <v>0.252</v>
      </c>
    </row>
    <row r="1128" customFormat="false" ht="15" hidden="false" customHeight="false" outlineLevel="0" collapsed="false">
      <c r="A1128" s="2" t="n">
        <v>1124</v>
      </c>
      <c r="B1128" s="13" t="n">
        <f aca="false">SMALL(Datos!$D$2:$D$1501,A1128)</f>
        <v>163.859321612989</v>
      </c>
      <c r="C1128" s="21" t="n">
        <f aca="false">(Config!$B$11-A1128+1)/Config!$B$11</f>
        <v>0.251333333333333</v>
      </c>
    </row>
    <row r="1129" customFormat="false" ht="15" hidden="false" customHeight="false" outlineLevel="0" collapsed="false">
      <c r="A1129" s="2" t="n">
        <v>1125</v>
      </c>
      <c r="B1129" s="13" t="n">
        <f aca="false">SMALL(Datos!$D$2:$D$1501,A1129)</f>
        <v>163.877161884047</v>
      </c>
      <c r="C1129" s="21" t="n">
        <f aca="false">(Config!$B$11-A1129+1)/Config!$B$11</f>
        <v>0.250666666666667</v>
      </c>
    </row>
    <row r="1130" customFormat="false" ht="15" hidden="false" customHeight="false" outlineLevel="0" collapsed="false">
      <c r="A1130" s="2" t="n">
        <v>1126</v>
      </c>
      <c r="B1130" s="13" t="n">
        <f aca="false">SMALL(Datos!$D$2:$D$1501,A1130)</f>
        <v>163.887866046682</v>
      </c>
      <c r="C1130" s="21" t="n">
        <f aca="false">(Config!$B$11-A1130+1)/Config!$B$11</f>
        <v>0.25</v>
      </c>
    </row>
    <row r="1131" customFormat="false" ht="15" hidden="false" customHeight="false" outlineLevel="0" collapsed="false">
      <c r="A1131" s="2" t="n">
        <v>1127</v>
      </c>
      <c r="B1131" s="13" t="n">
        <f aca="false">SMALL(Datos!$D$2:$D$1501,A1131)</f>
        <v>163.90570631774</v>
      </c>
      <c r="C1131" s="21" t="n">
        <f aca="false">(Config!$B$11-A1131+1)/Config!$B$11</f>
        <v>0.249333333333333</v>
      </c>
    </row>
    <row r="1132" customFormat="false" ht="15" hidden="false" customHeight="false" outlineLevel="0" collapsed="false">
      <c r="A1132" s="2" t="n">
        <v>1128</v>
      </c>
      <c r="B1132" s="13" t="n">
        <f aca="false">SMALL(Datos!$D$2:$D$1501,A1132)</f>
        <v>163.909274371951</v>
      </c>
      <c r="C1132" s="21" t="n">
        <f aca="false">(Config!$B$11-A1132+1)/Config!$B$11</f>
        <v>0.248666666666667</v>
      </c>
    </row>
    <row r="1133" customFormat="false" ht="15" hidden="false" customHeight="false" outlineLevel="0" collapsed="false">
      <c r="A1133" s="2" t="n">
        <v>1129</v>
      </c>
      <c r="B1133" s="13" t="n">
        <f aca="false">SMALL(Datos!$D$2:$D$1501,A1133)</f>
        <v>163.909274371951</v>
      </c>
      <c r="C1133" s="21" t="n">
        <f aca="false">(Config!$B$11-A1133+1)/Config!$B$11</f>
        <v>0.248</v>
      </c>
    </row>
    <row r="1134" customFormat="false" ht="15" hidden="false" customHeight="false" outlineLevel="0" collapsed="false">
      <c r="A1134" s="2" t="n">
        <v>1130</v>
      </c>
      <c r="B1134" s="13" t="n">
        <f aca="false">SMALL(Datos!$D$2:$D$1501,A1134)</f>
        <v>163.930682697221</v>
      </c>
      <c r="C1134" s="21" t="n">
        <f aca="false">(Config!$B$11-A1134+1)/Config!$B$11</f>
        <v>0.247333333333333</v>
      </c>
    </row>
    <row r="1135" customFormat="false" ht="15" hidden="false" customHeight="false" outlineLevel="0" collapsed="false">
      <c r="A1135" s="2" t="n">
        <v>1131</v>
      </c>
      <c r="B1135" s="13" t="n">
        <f aca="false">SMALL(Datos!$D$2:$D$1501,A1135)</f>
        <v>163.944954914067</v>
      </c>
      <c r="C1135" s="21" t="n">
        <f aca="false">(Config!$B$11-A1135+1)/Config!$B$11</f>
        <v>0.246666666666667</v>
      </c>
    </row>
    <row r="1136" customFormat="false" ht="15" hidden="false" customHeight="false" outlineLevel="0" collapsed="false">
      <c r="A1136" s="2" t="n">
        <v>1132</v>
      </c>
      <c r="B1136" s="13" t="n">
        <f aca="false">SMALL(Datos!$D$2:$D$1501,A1136)</f>
        <v>163.95209102249</v>
      </c>
      <c r="C1136" s="21" t="n">
        <f aca="false">(Config!$B$11-A1136+1)/Config!$B$11</f>
        <v>0.246</v>
      </c>
    </row>
    <row r="1137" customFormat="false" ht="15" hidden="false" customHeight="false" outlineLevel="0" collapsed="false">
      <c r="A1137" s="2" t="n">
        <v>1133</v>
      </c>
      <c r="B1137" s="13" t="n">
        <f aca="false">SMALL(Datos!$D$2:$D$1501,A1137)</f>
        <v>163.969931293548</v>
      </c>
      <c r="C1137" s="21" t="n">
        <f aca="false">(Config!$B$11-A1137+1)/Config!$B$11</f>
        <v>0.245333333333333</v>
      </c>
    </row>
    <row r="1138" customFormat="false" ht="15" hidden="false" customHeight="false" outlineLevel="0" collapsed="false">
      <c r="A1138" s="2" t="n">
        <v>1134</v>
      </c>
      <c r="B1138" s="13" t="n">
        <f aca="false">SMALL(Datos!$D$2:$D$1501,A1138)</f>
        <v>163.991339618818</v>
      </c>
      <c r="C1138" s="21" t="n">
        <f aca="false">(Config!$B$11-A1138+1)/Config!$B$11</f>
        <v>0.244666666666667</v>
      </c>
    </row>
    <row r="1139" customFormat="false" ht="15" hidden="false" customHeight="false" outlineLevel="0" collapsed="false">
      <c r="A1139" s="2" t="n">
        <v>1135</v>
      </c>
      <c r="B1139" s="13" t="n">
        <f aca="false">SMALL(Datos!$D$2:$D$1501,A1139)</f>
        <v>164.055564594626</v>
      </c>
      <c r="C1139" s="21" t="n">
        <f aca="false">(Config!$B$11-A1139+1)/Config!$B$11</f>
        <v>0.244</v>
      </c>
    </row>
    <row r="1140" customFormat="false" ht="15" hidden="false" customHeight="false" outlineLevel="0" collapsed="false">
      <c r="A1140" s="2" t="n">
        <v>1136</v>
      </c>
      <c r="B1140" s="13" t="n">
        <f aca="false">SMALL(Datos!$D$2:$D$1501,A1140)</f>
        <v>164.069836811473</v>
      </c>
      <c r="C1140" s="21" t="n">
        <f aca="false">(Config!$B$11-A1140+1)/Config!$B$11</f>
        <v>0.243333333333333</v>
      </c>
    </row>
    <row r="1141" customFormat="false" ht="15" hidden="false" customHeight="false" outlineLevel="0" collapsed="false">
      <c r="A1141" s="2" t="n">
        <v>1137</v>
      </c>
      <c r="B1141" s="13" t="n">
        <f aca="false">SMALL(Datos!$D$2:$D$1501,A1141)</f>
        <v>164.076972919896</v>
      </c>
      <c r="C1141" s="21" t="n">
        <f aca="false">(Config!$B$11-A1141+1)/Config!$B$11</f>
        <v>0.242666666666667</v>
      </c>
    </row>
    <row r="1142" customFormat="false" ht="15" hidden="false" customHeight="false" outlineLevel="0" collapsed="false">
      <c r="A1142" s="2" t="n">
        <v>1138</v>
      </c>
      <c r="B1142" s="13" t="n">
        <f aca="false">SMALL(Datos!$D$2:$D$1501,A1142)</f>
        <v>164.076972919896</v>
      </c>
      <c r="C1142" s="21" t="n">
        <f aca="false">(Config!$B$11-A1142+1)/Config!$B$11</f>
        <v>0.242</v>
      </c>
    </row>
    <row r="1143" customFormat="false" ht="15" hidden="false" customHeight="false" outlineLevel="0" collapsed="false">
      <c r="A1143" s="2" t="n">
        <v>1139</v>
      </c>
      <c r="B1143" s="13" t="n">
        <f aca="false">SMALL(Datos!$D$2:$D$1501,A1143)</f>
        <v>164.087677082531</v>
      </c>
      <c r="C1143" s="21" t="n">
        <f aca="false">(Config!$B$11-A1143+1)/Config!$B$11</f>
        <v>0.241333333333333</v>
      </c>
    </row>
    <row r="1144" customFormat="false" ht="15" hidden="false" customHeight="false" outlineLevel="0" collapsed="false">
      <c r="A1144" s="2" t="n">
        <v>1140</v>
      </c>
      <c r="B1144" s="13" t="n">
        <f aca="false">SMALL(Datos!$D$2:$D$1501,A1144)</f>
        <v>164.091245136742</v>
      </c>
      <c r="C1144" s="21" t="n">
        <f aca="false">(Config!$B$11-A1144+1)/Config!$B$11</f>
        <v>0.240666666666667</v>
      </c>
    </row>
    <row r="1145" customFormat="false" ht="15" hidden="false" customHeight="false" outlineLevel="0" collapsed="false">
      <c r="A1145" s="2" t="n">
        <v>1141</v>
      </c>
      <c r="B1145" s="13" t="n">
        <f aca="false">SMALL(Datos!$D$2:$D$1501,A1145)</f>
        <v>164.101949299377</v>
      </c>
      <c r="C1145" s="21" t="n">
        <f aca="false">(Config!$B$11-A1145+1)/Config!$B$11</f>
        <v>0.24</v>
      </c>
    </row>
    <row r="1146" customFormat="false" ht="15" hidden="false" customHeight="false" outlineLevel="0" collapsed="false">
      <c r="A1146" s="2" t="n">
        <v>1142</v>
      </c>
      <c r="B1146" s="13" t="n">
        <f aca="false">SMALL(Datos!$D$2:$D$1501,A1146)</f>
        <v>164.105517353589</v>
      </c>
      <c r="C1146" s="21" t="n">
        <f aca="false">(Config!$B$11-A1146+1)/Config!$B$11</f>
        <v>0.239333333333333</v>
      </c>
    </row>
    <row r="1147" customFormat="false" ht="15" hidden="false" customHeight="false" outlineLevel="0" collapsed="false">
      <c r="A1147" s="2" t="n">
        <v>1143</v>
      </c>
      <c r="B1147" s="13" t="n">
        <f aca="false">SMALL(Datos!$D$2:$D$1501,A1147)</f>
        <v>164.123357624646</v>
      </c>
      <c r="C1147" s="21" t="n">
        <f aca="false">(Config!$B$11-A1147+1)/Config!$B$11</f>
        <v>0.238666666666667</v>
      </c>
    </row>
    <row r="1148" customFormat="false" ht="15" hidden="false" customHeight="false" outlineLevel="0" collapsed="false">
      <c r="A1148" s="2" t="n">
        <v>1144</v>
      </c>
      <c r="B1148" s="13" t="n">
        <f aca="false">SMALL(Datos!$D$2:$D$1501,A1148)</f>
        <v>164.123357624646</v>
      </c>
      <c r="C1148" s="21" t="n">
        <f aca="false">(Config!$B$11-A1148+1)/Config!$B$11</f>
        <v>0.238</v>
      </c>
    </row>
    <row r="1149" customFormat="false" ht="15" hidden="false" customHeight="false" outlineLevel="0" collapsed="false">
      <c r="A1149" s="2" t="n">
        <v>1145</v>
      </c>
      <c r="B1149" s="13" t="n">
        <f aca="false">SMALL(Datos!$D$2:$D$1501,A1149)</f>
        <v>164.137629841493</v>
      </c>
      <c r="C1149" s="21" t="n">
        <f aca="false">(Config!$B$11-A1149+1)/Config!$B$11</f>
        <v>0.237333333333333</v>
      </c>
    </row>
    <row r="1150" customFormat="false" ht="15" hidden="false" customHeight="false" outlineLevel="0" collapsed="false">
      <c r="A1150" s="2" t="n">
        <v>1146</v>
      </c>
      <c r="B1150" s="13" t="n">
        <f aca="false">SMALL(Datos!$D$2:$D$1501,A1150)</f>
        <v>164.162606220974</v>
      </c>
      <c r="C1150" s="21" t="n">
        <f aca="false">(Config!$B$11-A1150+1)/Config!$B$11</f>
        <v>0.236666666666667</v>
      </c>
    </row>
    <row r="1151" customFormat="false" ht="15" hidden="false" customHeight="false" outlineLevel="0" collapsed="false">
      <c r="A1151" s="2" t="n">
        <v>1147</v>
      </c>
      <c r="B1151" s="13" t="n">
        <f aca="false">SMALL(Datos!$D$2:$D$1501,A1151)</f>
        <v>164.184014546243</v>
      </c>
      <c r="C1151" s="21" t="n">
        <f aca="false">(Config!$B$11-A1151+1)/Config!$B$11</f>
        <v>0.236</v>
      </c>
    </row>
    <row r="1152" customFormat="false" ht="15" hidden="false" customHeight="false" outlineLevel="0" collapsed="false">
      <c r="A1152" s="2" t="n">
        <v>1148</v>
      </c>
      <c r="B1152" s="13" t="n">
        <f aca="false">SMALL(Datos!$D$2:$D$1501,A1152)</f>
        <v>164.223263142571</v>
      </c>
      <c r="C1152" s="21" t="n">
        <f aca="false">(Config!$B$11-A1152+1)/Config!$B$11</f>
        <v>0.235333333333333</v>
      </c>
    </row>
    <row r="1153" customFormat="false" ht="15" hidden="false" customHeight="false" outlineLevel="0" collapsed="false">
      <c r="A1153" s="2" t="n">
        <v>1149</v>
      </c>
      <c r="B1153" s="13" t="n">
        <f aca="false">SMALL(Datos!$D$2:$D$1501,A1153)</f>
        <v>164.237535359417</v>
      </c>
      <c r="C1153" s="21" t="n">
        <f aca="false">(Config!$B$11-A1153+1)/Config!$B$11</f>
        <v>0.234666666666667</v>
      </c>
    </row>
    <row r="1154" customFormat="false" ht="15" hidden="false" customHeight="false" outlineLevel="0" collapsed="false">
      <c r="A1154" s="2" t="n">
        <v>1150</v>
      </c>
      <c r="B1154" s="13" t="n">
        <f aca="false">SMALL(Datos!$D$2:$D$1501,A1154)</f>
        <v>164.273215901533</v>
      </c>
      <c r="C1154" s="21" t="n">
        <f aca="false">(Config!$B$11-A1154+1)/Config!$B$11</f>
        <v>0.234</v>
      </c>
    </row>
    <row r="1155" customFormat="false" ht="15" hidden="false" customHeight="false" outlineLevel="0" collapsed="false">
      <c r="A1155" s="2" t="n">
        <v>1151</v>
      </c>
      <c r="B1155" s="13" t="n">
        <f aca="false">SMALL(Datos!$D$2:$D$1501,A1155)</f>
        <v>164.298192281014</v>
      </c>
      <c r="C1155" s="21" t="n">
        <f aca="false">(Config!$B$11-A1155+1)/Config!$B$11</f>
        <v>0.233333333333333</v>
      </c>
    </row>
    <row r="1156" customFormat="false" ht="15" hidden="false" customHeight="false" outlineLevel="0" collapsed="false">
      <c r="A1156" s="2" t="n">
        <v>1152</v>
      </c>
      <c r="B1156" s="13" t="n">
        <f aca="false">SMALL(Datos!$D$2:$D$1501,A1156)</f>
        <v>164.33387282313</v>
      </c>
      <c r="C1156" s="21" t="n">
        <f aca="false">(Config!$B$11-A1156+1)/Config!$B$11</f>
        <v>0.232666666666667</v>
      </c>
    </row>
    <row r="1157" customFormat="false" ht="15" hidden="false" customHeight="false" outlineLevel="0" collapsed="false">
      <c r="A1157" s="2" t="n">
        <v>1153</v>
      </c>
      <c r="B1157" s="13" t="n">
        <f aca="false">SMALL(Datos!$D$2:$D$1501,A1157)</f>
        <v>164.337440877342</v>
      </c>
      <c r="C1157" s="21" t="n">
        <f aca="false">(Config!$B$11-A1157+1)/Config!$B$11</f>
        <v>0.232</v>
      </c>
    </row>
    <row r="1158" customFormat="false" ht="15" hidden="false" customHeight="false" outlineLevel="0" collapsed="false">
      <c r="A1158" s="2" t="n">
        <v>1154</v>
      </c>
      <c r="B1158" s="13" t="n">
        <f aca="false">SMALL(Datos!$D$2:$D$1501,A1158)</f>
        <v>164.344576985765</v>
      </c>
      <c r="C1158" s="21" t="n">
        <f aca="false">(Config!$B$11-A1158+1)/Config!$B$11</f>
        <v>0.231333333333333</v>
      </c>
    </row>
    <row r="1159" customFormat="false" ht="15" hidden="false" customHeight="false" outlineLevel="0" collapsed="false">
      <c r="A1159" s="2" t="n">
        <v>1155</v>
      </c>
      <c r="B1159" s="13" t="n">
        <f aca="false">SMALL(Datos!$D$2:$D$1501,A1159)</f>
        <v>164.351713094188</v>
      </c>
      <c r="C1159" s="21" t="n">
        <f aca="false">(Config!$B$11-A1159+1)/Config!$B$11</f>
        <v>0.230666666666667</v>
      </c>
    </row>
    <row r="1160" customFormat="false" ht="15" hidden="false" customHeight="false" outlineLevel="0" collapsed="false">
      <c r="A1160" s="2" t="n">
        <v>1156</v>
      </c>
      <c r="B1160" s="13" t="n">
        <f aca="false">SMALL(Datos!$D$2:$D$1501,A1160)</f>
        <v>164.362417256823</v>
      </c>
      <c r="C1160" s="21" t="n">
        <f aca="false">(Config!$B$11-A1160+1)/Config!$B$11</f>
        <v>0.23</v>
      </c>
    </row>
    <row r="1161" customFormat="false" ht="15" hidden="false" customHeight="false" outlineLevel="0" collapsed="false">
      <c r="A1161" s="2" t="n">
        <v>1157</v>
      </c>
      <c r="B1161" s="13" t="n">
        <f aca="false">SMALL(Datos!$D$2:$D$1501,A1161)</f>
        <v>164.373121419458</v>
      </c>
      <c r="C1161" s="21" t="n">
        <f aca="false">(Config!$B$11-A1161+1)/Config!$B$11</f>
        <v>0.229333333333333</v>
      </c>
    </row>
    <row r="1162" customFormat="false" ht="15" hidden="false" customHeight="false" outlineLevel="0" collapsed="false">
      <c r="A1162" s="2" t="n">
        <v>1158</v>
      </c>
      <c r="B1162" s="13" t="n">
        <f aca="false">SMALL(Datos!$D$2:$D$1501,A1162)</f>
        <v>164.380257527881</v>
      </c>
      <c r="C1162" s="21" t="n">
        <f aca="false">(Config!$B$11-A1162+1)/Config!$B$11</f>
        <v>0.228666666666667</v>
      </c>
    </row>
    <row r="1163" customFormat="false" ht="15" hidden="false" customHeight="false" outlineLevel="0" collapsed="false">
      <c r="A1163" s="2" t="n">
        <v>1159</v>
      </c>
      <c r="B1163" s="13" t="n">
        <f aca="false">SMALL(Datos!$D$2:$D$1501,A1163)</f>
        <v>164.383825582092</v>
      </c>
      <c r="C1163" s="21" t="n">
        <f aca="false">(Config!$B$11-A1163+1)/Config!$B$11</f>
        <v>0.228</v>
      </c>
    </row>
    <row r="1164" customFormat="false" ht="15" hidden="false" customHeight="false" outlineLevel="0" collapsed="false">
      <c r="A1164" s="2" t="n">
        <v>1160</v>
      </c>
      <c r="B1164" s="13" t="n">
        <f aca="false">SMALL(Datos!$D$2:$D$1501,A1164)</f>
        <v>164.387393636304</v>
      </c>
      <c r="C1164" s="21" t="n">
        <f aca="false">(Config!$B$11-A1164+1)/Config!$B$11</f>
        <v>0.227333333333333</v>
      </c>
    </row>
    <row r="1165" customFormat="false" ht="15" hidden="false" customHeight="false" outlineLevel="0" collapsed="false">
      <c r="A1165" s="2" t="n">
        <v>1161</v>
      </c>
      <c r="B1165" s="13" t="n">
        <f aca="false">SMALL(Datos!$D$2:$D$1501,A1165)</f>
        <v>164.415938069997</v>
      </c>
      <c r="C1165" s="21" t="n">
        <f aca="false">(Config!$B$11-A1165+1)/Config!$B$11</f>
        <v>0.226666666666667</v>
      </c>
    </row>
    <row r="1166" customFormat="false" ht="15" hidden="false" customHeight="false" outlineLevel="0" collapsed="false">
      <c r="A1166" s="2" t="n">
        <v>1162</v>
      </c>
      <c r="B1166" s="13" t="n">
        <f aca="false">SMALL(Datos!$D$2:$D$1501,A1166)</f>
        <v>164.419506124208</v>
      </c>
      <c r="C1166" s="21" t="n">
        <f aca="false">(Config!$B$11-A1166+1)/Config!$B$11</f>
        <v>0.226</v>
      </c>
    </row>
    <row r="1167" customFormat="false" ht="15" hidden="false" customHeight="false" outlineLevel="0" collapsed="false">
      <c r="A1167" s="2" t="n">
        <v>1163</v>
      </c>
      <c r="B1167" s="13" t="n">
        <f aca="false">SMALL(Datos!$D$2:$D$1501,A1167)</f>
        <v>164.440914449478</v>
      </c>
      <c r="C1167" s="21" t="n">
        <f aca="false">(Config!$B$11-A1167+1)/Config!$B$11</f>
        <v>0.225333333333333</v>
      </c>
    </row>
    <row r="1168" customFormat="false" ht="15" hidden="false" customHeight="false" outlineLevel="0" collapsed="false">
      <c r="A1168" s="2" t="n">
        <v>1164</v>
      </c>
      <c r="B1168" s="13" t="n">
        <f aca="false">SMALL(Datos!$D$2:$D$1501,A1168)</f>
        <v>164.465890828959</v>
      </c>
      <c r="C1168" s="21" t="n">
        <f aca="false">(Config!$B$11-A1168+1)/Config!$B$11</f>
        <v>0.224666666666667</v>
      </c>
    </row>
    <row r="1169" customFormat="false" ht="15" hidden="false" customHeight="false" outlineLevel="0" collapsed="false">
      <c r="A1169" s="2" t="n">
        <v>1165</v>
      </c>
      <c r="B1169" s="13" t="n">
        <f aca="false">SMALL(Datos!$D$2:$D$1501,A1169)</f>
        <v>164.465890828959</v>
      </c>
      <c r="C1169" s="21" t="n">
        <f aca="false">(Config!$B$11-A1169+1)/Config!$B$11</f>
        <v>0.224</v>
      </c>
    </row>
    <row r="1170" customFormat="false" ht="15" hidden="false" customHeight="false" outlineLevel="0" collapsed="false">
      <c r="A1170" s="2" t="n">
        <v>1166</v>
      </c>
      <c r="B1170" s="13" t="n">
        <f aca="false">SMALL(Datos!$D$2:$D$1501,A1170)</f>
        <v>164.483731100017</v>
      </c>
      <c r="C1170" s="21" t="n">
        <f aca="false">(Config!$B$11-A1170+1)/Config!$B$11</f>
        <v>0.223333333333333</v>
      </c>
    </row>
    <row r="1171" customFormat="false" ht="15" hidden="false" customHeight="false" outlineLevel="0" collapsed="false">
      <c r="A1171" s="2" t="n">
        <v>1167</v>
      </c>
      <c r="B1171" s="13" t="n">
        <f aca="false">SMALL(Datos!$D$2:$D$1501,A1171)</f>
        <v>164.49086720844</v>
      </c>
      <c r="C1171" s="21" t="n">
        <f aca="false">(Config!$B$11-A1171+1)/Config!$B$11</f>
        <v>0.222666666666667</v>
      </c>
    </row>
    <row r="1172" customFormat="false" ht="15" hidden="false" customHeight="false" outlineLevel="0" collapsed="false">
      <c r="A1172" s="2" t="n">
        <v>1168</v>
      </c>
      <c r="B1172" s="13" t="n">
        <f aca="false">SMALL(Datos!$D$2:$D$1501,A1172)</f>
        <v>164.505139425286</v>
      </c>
      <c r="C1172" s="21" t="n">
        <f aca="false">(Config!$B$11-A1172+1)/Config!$B$11</f>
        <v>0.222</v>
      </c>
    </row>
    <row r="1173" customFormat="false" ht="15" hidden="false" customHeight="false" outlineLevel="0" collapsed="false">
      <c r="A1173" s="2" t="n">
        <v>1169</v>
      </c>
      <c r="B1173" s="13" t="n">
        <f aca="false">SMALL(Datos!$D$2:$D$1501,A1173)</f>
        <v>164.522979696344</v>
      </c>
      <c r="C1173" s="21" t="n">
        <f aca="false">(Config!$B$11-A1173+1)/Config!$B$11</f>
        <v>0.221333333333333</v>
      </c>
    </row>
    <row r="1174" customFormat="false" ht="15" hidden="false" customHeight="false" outlineLevel="0" collapsed="false">
      <c r="A1174" s="2" t="n">
        <v>1170</v>
      </c>
      <c r="B1174" s="13" t="n">
        <f aca="false">SMALL(Datos!$D$2:$D$1501,A1174)</f>
        <v>164.537251913191</v>
      </c>
      <c r="C1174" s="21" t="n">
        <f aca="false">(Config!$B$11-A1174+1)/Config!$B$11</f>
        <v>0.220666666666667</v>
      </c>
    </row>
    <row r="1175" customFormat="false" ht="15" hidden="false" customHeight="false" outlineLevel="0" collapsed="false">
      <c r="A1175" s="2" t="n">
        <v>1171</v>
      </c>
      <c r="B1175" s="13" t="n">
        <f aca="false">SMALL(Datos!$D$2:$D$1501,A1175)</f>
        <v>164.537251913191</v>
      </c>
      <c r="C1175" s="21" t="n">
        <f aca="false">(Config!$B$11-A1175+1)/Config!$B$11</f>
        <v>0.22</v>
      </c>
    </row>
    <row r="1176" customFormat="false" ht="15" hidden="false" customHeight="false" outlineLevel="0" collapsed="false">
      <c r="A1176" s="2" t="n">
        <v>1172</v>
      </c>
      <c r="B1176" s="13" t="n">
        <f aca="false">SMALL(Datos!$D$2:$D$1501,A1176)</f>
        <v>164.594340780576</v>
      </c>
      <c r="C1176" s="21" t="n">
        <f aca="false">(Config!$B$11-A1176+1)/Config!$B$11</f>
        <v>0.219333333333333</v>
      </c>
    </row>
    <row r="1177" customFormat="false" ht="15" hidden="false" customHeight="false" outlineLevel="0" collapsed="false">
      <c r="A1177" s="2" t="n">
        <v>1173</v>
      </c>
      <c r="B1177" s="13" t="n">
        <f aca="false">SMALL(Datos!$D$2:$D$1501,A1177)</f>
        <v>164.605044943211</v>
      </c>
      <c r="C1177" s="21" t="n">
        <f aca="false">(Config!$B$11-A1177+1)/Config!$B$11</f>
        <v>0.218666666666667</v>
      </c>
    </row>
    <row r="1178" customFormat="false" ht="15" hidden="false" customHeight="false" outlineLevel="0" collapsed="false">
      <c r="A1178" s="2" t="n">
        <v>1174</v>
      </c>
      <c r="B1178" s="13" t="n">
        <f aca="false">SMALL(Datos!$D$2:$D$1501,A1178)</f>
        <v>164.622885214269</v>
      </c>
      <c r="C1178" s="21" t="n">
        <f aca="false">(Config!$B$11-A1178+1)/Config!$B$11</f>
        <v>0.218</v>
      </c>
    </row>
    <row r="1179" customFormat="false" ht="15" hidden="false" customHeight="false" outlineLevel="0" collapsed="false">
      <c r="A1179" s="2" t="n">
        <v>1175</v>
      </c>
      <c r="B1179" s="13" t="n">
        <f aca="false">SMALL(Datos!$D$2:$D$1501,A1179)</f>
        <v>164.633589376904</v>
      </c>
      <c r="C1179" s="21" t="n">
        <f aca="false">(Config!$B$11-A1179+1)/Config!$B$11</f>
        <v>0.217333333333333</v>
      </c>
    </row>
    <row r="1180" customFormat="false" ht="15" hidden="false" customHeight="false" outlineLevel="0" collapsed="false">
      <c r="A1180" s="2" t="n">
        <v>1176</v>
      </c>
      <c r="B1180" s="13" t="n">
        <f aca="false">SMALL(Datos!$D$2:$D$1501,A1180)</f>
        <v>164.676406027443</v>
      </c>
      <c r="C1180" s="21" t="n">
        <f aca="false">(Config!$B$11-A1180+1)/Config!$B$11</f>
        <v>0.216666666666667</v>
      </c>
    </row>
    <row r="1181" customFormat="false" ht="15" hidden="false" customHeight="false" outlineLevel="0" collapsed="false">
      <c r="A1181" s="2" t="n">
        <v>1177</v>
      </c>
      <c r="B1181" s="13" t="n">
        <f aca="false">SMALL(Datos!$D$2:$D$1501,A1181)</f>
        <v>164.690678244289</v>
      </c>
      <c r="C1181" s="21" t="n">
        <f aca="false">(Config!$B$11-A1181+1)/Config!$B$11</f>
        <v>0.216</v>
      </c>
    </row>
    <row r="1182" customFormat="false" ht="15" hidden="false" customHeight="false" outlineLevel="0" collapsed="false">
      <c r="A1182" s="2" t="n">
        <v>1178</v>
      </c>
      <c r="B1182" s="13" t="n">
        <f aca="false">SMALL(Datos!$D$2:$D$1501,A1182)</f>
        <v>164.733494894828</v>
      </c>
      <c r="C1182" s="21" t="n">
        <f aca="false">(Config!$B$11-A1182+1)/Config!$B$11</f>
        <v>0.215333333333333</v>
      </c>
    </row>
    <row r="1183" customFormat="false" ht="15" hidden="false" customHeight="false" outlineLevel="0" collapsed="false">
      <c r="A1183" s="2" t="n">
        <v>1179</v>
      </c>
      <c r="B1183" s="13" t="n">
        <f aca="false">SMALL(Datos!$D$2:$D$1501,A1183)</f>
        <v>164.73706294904</v>
      </c>
      <c r="C1183" s="21" t="n">
        <f aca="false">(Config!$B$11-A1183+1)/Config!$B$11</f>
        <v>0.214666666666667</v>
      </c>
    </row>
    <row r="1184" customFormat="false" ht="15" hidden="false" customHeight="false" outlineLevel="0" collapsed="false">
      <c r="A1184" s="2" t="n">
        <v>1180</v>
      </c>
      <c r="B1184" s="13" t="n">
        <f aca="false">SMALL(Datos!$D$2:$D$1501,A1184)</f>
        <v>164.740631003251</v>
      </c>
      <c r="C1184" s="21" t="n">
        <f aca="false">(Config!$B$11-A1184+1)/Config!$B$11</f>
        <v>0.214</v>
      </c>
    </row>
    <row r="1185" customFormat="false" ht="15" hidden="false" customHeight="false" outlineLevel="0" collapsed="false">
      <c r="A1185" s="2" t="n">
        <v>1181</v>
      </c>
      <c r="B1185" s="13" t="n">
        <f aca="false">SMALL(Datos!$D$2:$D$1501,A1185)</f>
        <v>164.747767111674</v>
      </c>
      <c r="C1185" s="21" t="n">
        <f aca="false">(Config!$B$11-A1185+1)/Config!$B$11</f>
        <v>0.213333333333333</v>
      </c>
    </row>
    <row r="1186" customFormat="false" ht="15" hidden="false" customHeight="false" outlineLevel="0" collapsed="false">
      <c r="A1186" s="2" t="n">
        <v>1182</v>
      </c>
      <c r="B1186" s="13" t="n">
        <f aca="false">SMALL(Datos!$D$2:$D$1501,A1186)</f>
        <v>164.790583762214</v>
      </c>
      <c r="C1186" s="21" t="n">
        <f aca="false">(Config!$B$11-A1186+1)/Config!$B$11</f>
        <v>0.212666666666667</v>
      </c>
    </row>
    <row r="1187" customFormat="false" ht="15" hidden="false" customHeight="false" outlineLevel="0" collapsed="false">
      <c r="A1187" s="2" t="n">
        <v>1183</v>
      </c>
      <c r="B1187" s="13" t="n">
        <f aca="false">SMALL(Datos!$D$2:$D$1501,A1187)</f>
        <v>164.794151816425</v>
      </c>
      <c r="C1187" s="21" t="n">
        <f aca="false">(Config!$B$11-A1187+1)/Config!$B$11</f>
        <v>0.212</v>
      </c>
    </row>
    <row r="1188" customFormat="false" ht="15" hidden="false" customHeight="false" outlineLevel="0" collapsed="false">
      <c r="A1188" s="2" t="n">
        <v>1184</v>
      </c>
      <c r="B1188" s="13" t="n">
        <f aca="false">SMALL(Datos!$D$2:$D$1501,A1188)</f>
        <v>164.797719870637</v>
      </c>
      <c r="C1188" s="21" t="n">
        <f aca="false">(Config!$B$11-A1188+1)/Config!$B$11</f>
        <v>0.211333333333333</v>
      </c>
    </row>
    <row r="1189" customFormat="false" ht="15" hidden="false" customHeight="false" outlineLevel="0" collapsed="false">
      <c r="A1189" s="2" t="n">
        <v>1185</v>
      </c>
      <c r="B1189" s="13" t="n">
        <f aca="false">SMALL(Datos!$D$2:$D$1501,A1189)</f>
        <v>164.808424033271</v>
      </c>
      <c r="C1189" s="21" t="n">
        <f aca="false">(Config!$B$11-A1189+1)/Config!$B$11</f>
        <v>0.210666666666667</v>
      </c>
    </row>
    <row r="1190" customFormat="false" ht="15" hidden="false" customHeight="false" outlineLevel="0" collapsed="false">
      <c r="A1190" s="2" t="n">
        <v>1186</v>
      </c>
      <c r="B1190" s="13" t="n">
        <f aca="false">SMALL(Datos!$D$2:$D$1501,A1190)</f>
        <v>164.819128195906</v>
      </c>
      <c r="C1190" s="21" t="n">
        <f aca="false">(Config!$B$11-A1190+1)/Config!$B$11</f>
        <v>0.21</v>
      </c>
    </row>
    <row r="1191" customFormat="false" ht="15" hidden="false" customHeight="false" outlineLevel="0" collapsed="false">
      <c r="A1191" s="2" t="n">
        <v>1187</v>
      </c>
      <c r="B1191" s="13" t="n">
        <f aca="false">SMALL(Datos!$D$2:$D$1501,A1191)</f>
        <v>164.844104575387</v>
      </c>
      <c r="C1191" s="21" t="n">
        <f aca="false">(Config!$B$11-A1191+1)/Config!$B$11</f>
        <v>0.209333333333333</v>
      </c>
    </row>
    <row r="1192" customFormat="false" ht="15" hidden="false" customHeight="false" outlineLevel="0" collapsed="false">
      <c r="A1192" s="2" t="n">
        <v>1188</v>
      </c>
      <c r="B1192" s="13" t="n">
        <f aca="false">SMALL(Datos!$D$2:$D$1501,A1192)</f>
        <v>164.847672629599</v>
      </c>
      <c r="C1192" s="21" t="n">
        <f aca="false">(Config!$B$11-A1192+1)/Config!$B$11</f>
        <v>0.208666666666667</v>
      </c>
    </row>
    <row r="1193" customFormat="false" ht="15" hidden="false" customHeight="false" outlineLevel="0" collapsed="false">
      <c r="A1193" s="2" t="n">
        <v>1189</v>
      </c>
      <c r="B1193" s="13" t="n">
        <f aca="false">SMALL(Datos!$D$2:$D$1501,A1193)</f>
        <v>164.851240683811</v>
      </c>
      <c r="C1193" s="21" t="n">
        <f aca="false">(Config!$B$11-A1193+1)/Config!$B$11</f>
        <v>0.208</v>
      </c>
    </row>
    <row r="1194" customFormat="false" ht="15" hidden="false" customHeight="false" outlineLevel="0" collapsed="false">
      <c r="A1194" s="2" t="n">
        <v>1190</v>
      </c>
      <c r="B1194" s="13" t="n">
        <f aca="false">SMALL(Datos!$D$2:$D$1501,A1194)</f>
        <v>164.876217063292</v>
      </c>
      <c r="C1194" s="21" t="n">
        <f aca="false">(Config!$B$11-A1194+1)/Config!$B$11</f>
        <v>0.207333333333333</v>
      </c>
    </row>
    <row r="1195" customFormat="false" ht="15" hidden="false" customHeight="false" outlineLevel="0" collapsed="false">
      <c r="A1195" s="2" t="n">
        <v>1191</v>
      </c>
      <c r="B1195" s="13" t="n">
        <f aca="false">SMALL(Datos!$D$2:$D$1501,A1195)</f>
        <v>164.876217063292</v>
      </c>
      <c r="C1195" s="21" t="n">
        <f aca="false">(Config!$B$11-A1195+1)/Config!$B$11</f>
        <v>0.206666666666667</v>
      </c>
    </row>
    <row r="1196" customFormat="false" ht="15" hidden="false" customHeight="false" outlineLevel="0" collapsed="false">
      <c r="A1196" s="2" t="n">
        <v>1192</v>
      </c>
      <c r="B1196" s="13" t="n">
        <f aca="false">SMALL(Datos!$D$2:$D$1501,A1196)</f>
        <v>164.89405733435</v>
      </c>
      <c r="C1196" s="21" t="n">
        <f aca="false">(Config!$B$11-A1196+1)/Config!$B$11</f>
        <v>0.206</v>
      </c>
    </row>
    <row r="1197" customFormat="false" ht="15" hidden="false" customHeight="false" outlineLevel="0" collapsed="false">
      <c r="A1197" s="2" t="n">
        <v>1193</v>
      </c>
      <c r="B1197" s="13" t="n">
        <f aca="false">SMALL(Datos!$D$2:$D$1501,A1197)</f>
        <v>164.897625388561</v>
      </c>
      <c r="C1197" s="21" t="n">
        <f aca="false">(Config!$B$11-A1197+1)/Config!$B$11</f>
        <v>0.205333333333333</v>
      </c>
    </row>
    <row r="1198" customFormat="false" ht="15" hidden="false" customHeight="false" outlineLevel="0" collapsed="false">
      <c r="A1198" s="2" t="n">
        <v>1194</v>
      </c>
      <c r="B1198" s="13" t="n">
        <f aca="false">SMALL(Datos!$D$2:$D$1501,A1198)</f>
        <v>164.901193442773</v>
      </c>
      <c r="C1198" s="21" t="n">
        <f aca="false">(Config!$B$11-A1198+1)/Config!$B$11</f>
        <v>0.204666666666667</v>
      </c>
    </row>
    <row r="1199" customFormat="false" ht="15" hidden="false" customHeight="false" outlineLevel="0" collapsed="false">
      <c r="A1199" s="2" t="n">
        <v>1195</v>
      </c>
      <c r="B1199" s="13" t="n">
        <f aca="false">SMALL(Datos!$D$2:$D$1501,A1199)</f>
        <v>164.919033713831</v>
      </c>
      <c r="C1199" s="21" t="n">
        <f aca="false">(Config!$B$11-A1199+1)/Config!$B$11</f>
        <v>0.204</v>
      </c>
    </row>
    <row r="1200" customFormat="false" ht="15" hidden="false" customHeight="false" outlineLevel="0" collapsed="false">
      <c r="A1200" s="2" t="n">
        <v>1196</v>
      </c>
      <c r="B1200" s="13" t="n">
        <f aca="false">SMALL(Datos!$D$2:$D$1501,A1200)</f>
        <v>164.965418418581</v>
      </c>
      <c r="C1200" s="21" t="n">
        <f aca="false">(Config!$B$11-A1200+1)/Config!$B$11</f>
        <v>0.203333333333333</v>
      </c>
    </row>
    <row r="1201" customFormat="false" ht="15" hidden="false" customHeight="false" outlineLevel="0" collapsed="false">
      <c r="A1201" s="2" t="n">
        <v>1197</v>
      </c>
      <c r="B1201" s="13" t="n">
        <f aca="false">SMALL(Datos!$D$2:$D$1501,A1201)</f>
        <v>164.983258689639</v>
      </c>
      <c r="C1201" s="21" t="n">
        <f aca="false">(Config!$B$11-A1201+1)/Config!$B$11</f>
        <v>0.202666666666667</v>
      </c>
    </row>
    <row r="1202" customFormat="false" ht="15" hidden="false" customHeight="false" outlineLevel="0" collapsed="false">
      <c r="A1202" s="2" t="n">
        <v>1198</v>
      </c>
      <c r="B1202" s="13" t="n">
        <f aca="false">SMALL(Datos!$D$2:$D$1501,A1202)</f>
        <v>164.990394798062</v>
      </c>
      <c r="C1202" s="21" t="n">
        <f aca="false">(Config!$B$11-A1202+1)/Config!$B$11</f>
        <v>0.202</v>
      </c>
    </row>
    <row r="1203" customFormat="false" ht="15" hidden="false" customHeight="false" outlineLevel="0" collapsed="false">
      <c r="A1203" s="2" t="n">
        <v>1199</v>
      </c>
      <c r="B1203" s="13" t="n">
        <f aca="false">SMALL(Datos!$D$2:$D$1501,A1203)</f>
        <v>165.001098960697</v>
      </c>
      <c r="C1203" s="21" t="n">
        <f aca="false">(Config!$B$11-A1203+1)/Config!$B$11</f>
        <v>0.201333333333333</v>
      </c>
    </row>
    <row r="1204" customFormat="false" ht="15" hidden="false" customHeight="false" outlineLevel="0" collapsed="false">
      <c r="A1204" s="2" t="n">
        <v>1200</v>
      </c>
      <c r="B1204" s="13" t="n">
        <f aca="false">SMALL(Datos!$D$2:$D$1501,A1204)</f>
        <v>165.015371177544</v>
      </c>
      <c r="C1204" s="21" t="n">
        <f aca="false">(Config!$B$11-A1204+1)/Config!$B$11</f>
        <v>0.200666666666667</v>
      </c>
    </row>
    <row r="1205" customFormat="false" ht="15" hidden="false" customHeight="false" outlineLevel="0" collapsed="false">
      <c r="A1205" s="2" t="n">
        <v>1201</v>
      </c>
      <c r="B1205" s="13" t="n">
        <f aca="false">SMALL(Datos!$D$2:$D$1501,A1205)</f>
        <v>165.018939231755</v>
      </c>
      <c r="C1205" s="21" t="n">
        <f aca="false">(Config!$B$11-A1205+1)/Config!$B$11</f>
        <v>0.2</v>
      </c>
    </row>
    <row r="1206" customFormat="false" ht="15" hidden="false" customHeight="false" outlineLevel="0" collapsed="false">
      <c r="A1206" s="2" t="n">
        <v>1202</v>
      </c>
      <c r="B1206" s="13" t="n">
        <f aca="false">SMALL(Datos!$D$2:$D$1501,A1206)</f>
        <v>165.022507285967</v>
      </c>
      <c r="C1206" s="21" t="n">
        <f aca="false">(Config!$B$11-A1206+1)/Config!$B$11</f>
        <v>0.199333333333333</v>
      </c>
    </row>
    <row r="1207" customFormat="false" ht="15" hidden="false" customHeight="false" outlineLevel="0" collapsed="false">
      <c r="A1207" s="2" t="n">
        <v>1203</v>
      </c>
      <c r="B1207" s="13" t="n">
        <f aca="false">SMALL(Datos!$D$2:$D$1501,A1207)</f>
        <v>165.036779502813</v>
      </c>
      <c r="C1207" s="21" t="n">
        <f aca="false">(Config!$B$11-A1207+1)/Config!$B$11</f>
        <v>0.198666666666667</v>
      </c>
    </row>
    <row r="1208" customFormat="false" ht="15" hidden="false" customHeight="false" outlineLevel="0" collapsed="false">
      <c r="A1208" s="2" t="n">
        <v>1204</v>
      </c>
      <c r="B1208" s="13" t="n">
        <f aca="false">SMALL(Datos!$D$2:$D$1501,A1208)</f>
        <v>165.043915611236</v>
      </c>
      <c r="C1208" s="21" t="n">
        <f aca="false">(Config!$B$11-A1208+1)/Config!$B$11</f>
        <v>0.198</v>
      </c>
    </row>
    <row r="1209" customFormat="false" ht="15" hidden="false" customHeight="false" outlineLevel="0" collapsed="false">
      <c r="A1209" s="2" t="n">
        <v>1205</v>
      </c>
      <c r="B1209" s="13" t="n">
        <f aca="false">SMALL(Datos!$D$2:$D$1501,A1209)</f>
        <v>165.054619773871</v>
      </c>
      <c r="C1209" s="21" t="n">
        <f aca="false">(Config!$B$11-A1209+1)/Config!$B$11</f>
        <v>0.197333333333333</v>
      </c>
    </row>
    <row r="1210" customFormat="false" ht="15" hidden="false" customHeight="false" outlineLevel="0" collapsed="false">
      <c r="A1210" s="2" t="n">
        <v>1206</v>
      </c>
      <c r="B1210" s="13" t="n">
        <f aca="false">SMALL(Datos!$D$2:$D$1501,A1210)</f>
        <v>165.076028099141</v>
      </c>
      <c r="C1210" s="21" t="n">
        <f aca="false">(Config!$B$11-A1210+1)/Config!$B$11</f>
        <v>0.196666666666667</v>
      </c>
    </row>
    <row r="1211" customFormat="false" ht="15" hidden="false" customHeight="false" outlineLevel="0" collapsed="false">
      <c r="A1211" s="2" t="n">
        <v>1207</v>
      </c>
      <c r="B1211" s="13" t="n">
        <f aca="false">SMALL(Datos!$D$2:$D$1501,A1211)</f>
        <v>165.076028099141</v>
      </c>
      <c r="C1211" s="21" t="n">
        <f aca="false">(Config!$B$11-A1211+1)/Config!$B$11</f>
        <v>0.196</v>
      </c>
    </row>
    <row r="1212" customFormat="false" ht="15" hidden="false" customHeight="false" outlineLevel="0" collapsed="false">
      <c r="A1212" s="2" t="n">
        <v>1208</v>
      </c>
      <c r="B1212" s="13" t="n">
        <f aca="false">SMALL(Datos!$D$2:$D$1501,A1212)</f>
        <v>165.083164207564</v>
      </c>
      <c r="C1212" s="21" t="n">
        <f aca="false">(Config!$B$11-A1212+1)/Config!$B$11</f>
        <v>0.195333333333333</v>
      </c>
    </row>
    <row r="1213" customFormat="false" ht="15" hidden="false" customHeight="false" outlineLevel="0" collapsed="false">
      <c r="A1213" s="2" t="n">
        <v>1209</v>
      </c>
      <c r="B1213" s="13" t="n">
        <f aca="false">SMALL(Datos!$D$2:$D$1501,A1213)</f>
        <v>165.111708641256</v>
      </c>
      <c r="C1213" s="21" t="n">
        <f aca="false">(Config!$B$11-A1213+1)/Config!$B$11</f>
        <v>0.194666666666667</v>
      </c>
    </row>
    <row r="1214" customFormat="false" ht="15" hidden="false" customHeight="false" outlineLevel="0" collapsed="false">
      <c r="A1214" s="2" t="n">
        <v>1210</v>
      </c>
      <c r="B1214" s="13" t="n">
        <f aca="false">SMALL(Datos!$D$2:$D$1501,A1214)</f>
        <v>165.129548912314</v>
      </c>
      <c r="C1214" s="21" t="n">
        <f aca="false">(Config!$B$11-A1214+1)/Config!$B$11</f>
        <v>0.194</v>
      </c>
    </row>
    <row r="1215" customFormat="false" ht="15" hidden="false" customHeight="false" outlineLevel="0" collapsed="false">
      <c r="A1215" s="2" t="n">
        <v>1211</v>
      </c>
      <c r="B1215" s="13" t="n">
        <f aca="false">SMALL(Datos!$D$2:$D$1501,A1215)</f>
        <v>165.147389183372</v>
      </c>
      <c r="C1215" s="21" t="n">
        <f aca="false">(Config!$B$11-A1215+1)/Config!$B$11</f>
        <v>0.193333333333333</v>
      </c>
    </row>
    <row r="1216" customFormat="false" ht="15" hidden="false" customHeight="false" outlineLevel="0" collapsed="false">
      <c r="A1216" s="2" t="n">
        <v>1212</v>
      </c>
      <c r="B1216" s="13" t="n">
        <f aca="false">SMALL(Datos!$D$2:$D$1501,A1216)</f>
        <v>165.154525291796</v>
      </c>
      <c r="C1216" s="21" t="n">
        <f aca="false">(Config!$B$11-A1216+1)/Config!$B$11</f>
        <v>0.192666666666667</v>
      </c>
    </row>
    <row r="1217" customFormat="false" ht="15" hidden="false" customHeight="false" outlineLevel="0" collapsed="false">
      <c r="A1217" s="2" t="n">
        <v>1213</v>
      </c>
      <c r="B1217" s="13" t="n">
        <f aca="false">SMALL(Datos!$D$2:$D$1501,A1217)</f>
        <v>165.154525291796</v>
      </c>
      <c r="C1217" s="21" t="n">
        <f aca="false">(Config!$B$11-A1217+1)/Config!$B$11</f>
        <v>0.192</v>
      </c>
    </row>
    <row r="1218" customFormat="false" ht="15" hidden="false" customHeight="false" outlineLevel="0" collapsed="false">
      <c r="A1218" s="2" t="n">
        <v>1214</v>
      </c>
      <c r="B1218" s="13" t="n">
        <f aca="false">SMALL(Datos!$D$2:$D$1501,A1218)</f>
        <v>165.172365562853</v>
      </c>
      <c r="C1218" s="21" t="n">
        <f aca="false">(Config!$B$11-A1218+1)/Config!$B$11</f>
        <v>0.191333333333333</v>
      </c>
    </row>
    <row r="1219" customFormat="false" ht="15" hidden="false" customHeight="false" outlineLevel="0" collapsed="false">
      <c r="A1219" s="2" t="n">
        <v>1215</v>
      </c>
      <c r="B1219" s="13" t="n">
        <f aca="false">SMALL(Datos!$D$2:$D$1501,A1219)</f>
        <v>165.179501671277</v>
      </c>
      <c r="C1219" s="21" t="n">
        <f aca="false">(Config!$B$11-A1219+1)/Config!$B$11</f>
        <v>0.190666666666667</v>
      </c>
    </row>
    <row r="1220" customFormat="false" ht="15" hidden="false" customHeight="false" outlineLevel="0" collapsed="false">
      <c r="A1220" s="2" t="n">
        <v>1216</v>
      </c>
      <c r="B1220" s="13" t="n">
        <f aca="false">SMALL(Datos!$D$2:$D$1501,A1220)</f>
        <v>165.229454430239</v>
      </c>
      <c r="C1220" s="21" t="n">
        <f aca="false">(Config!$B$11-A1220+1)/Config!$B$11</f>
        <v>0.19</v>
      </c>
    </row>
    <row r="1221" customFormat="false" ht="15" hidden="false" customHeight="false" outlineLevel="0" collapsed="false">
      <c r="A1221" s="2" t="n">
        <v>1217</v>
      </c>
      <c r="B1221" s="13" t="n">
        <f aca="false">SMALL(Datos!$D$2:$D$1501,A1221)</f>
        <v>165.250862755508</v>
      </c>
      <c r="C1221" s="21" t="n">
        <f aca="false">(Config!$B$11-A1221+1)/Config!$B$11</f>
        <v>0.189333333333333</v>
      </c>
    </row>
    <row r="1222" customFormat="false" ht="15" hidden="false" customHeight="false" outlineLevel="0" collapsed="false">
      <c r="A1222" s="2" t="n">
        <v>1218</v>
      </c>
      <c r="B1222" s="13" t="n">
        <f aca="false">SMALL(Datos!$D$2:$D$1501,A1222)</f>
        <v>165.293679406047</v>
      </c>
      <c r="C1222" s="21" t="n">
        <f aca="false">(Config!$B$11-A1222+1)/Config!$B$11</f>
        <v>0.188666666666667</v>
      </c>
    </row>
    <row r="1223" customFormat="false" ht="15" hidden="false" customHeight="false" outlineLevel="0" collapsed="false">
      <c r="A1223" s="2" t="n">
        <v>1219</v>
      </c>
      <c r="B1223" s="13" t="n">
        <f aca="false">SMALL(Datos!$D$2:$D$1501,A1223)</f>
        <v>165.293679406047</v>
      </c>
      <c r="C1223" s="21" t="n">
        <f aca="false">(Config!$B$11-A1223+1)/Config!$B$11</f>
        <v>0.188</v>
      </c>
    </row>
    <row r="1224" customFormat="false" ht="15" hidden="false" customHeight="false" outlineLevel="0" collapsed="false">
      <c r="A1224" s="2" t="n">
        <v>1220</v>
      </c>
      <c r="B1224" s="13" t="n">
        <f aca="false">SMALL(Datos!$D$2:$D$1501,A1224)</f>
        <v>165.300815514471</v>
      </c>
      <c r="C1224" s="21" t="n">
        <f aca="false">(Config!$B$11-A1224+1)/Config!$B$11</f>
        <v>0.187333333333333</v>
      </c>
    </row>
    <row r="1225" customFormat="false" ht="15" hidden="false" customHeight="false" outlineLevel="0" collapsed="false">
      <c r="A1225" s="2" t="n">
        <v>1221</v>
      </c>
      <c r="B1225" s="13" t="n">
        <f aca="false">SMALL(Datos!$D$2:$D$1501,A1225)</f>
        <v>165.304383568682</v>
      </c>
      <c r="C1225" s="21" t="n">
        <f aca="false">(Config!$B$11-A1225+1)/Config!$B$11</f>
        <v>0.186666666666667</v>
      </c>
    </row>
    <row r="1226" customFormat="false" ht="15" hidden="false" customHeight="false" outlineLevel="0" collapsed="false">
      <c r="A1226" s="2" t="n">
        <v>1222</v>
      </c>
      <c r="B1226" s="13" t="n">
        <f aca="false">SMALL(Datos!$D$2:$D$1501,A1226)</f>
        <v>165.307951622894</v>
      </c>
      <c r="C1226" s="21" t="n">
        <f aca="false">(Config!$B$11-A1226+1)/Config!$B$11</f>
        <v>0.186</v>
      </c>
    </row>
    <row r="1227" customFormat="false" ht="15" hidden="false" customHeight="false" outlineLevel="0" collapsed="false">
      <c r="A1227" s="2" t="n">
        <v>1223</v>
      </c>
      <c r="B1227" s="13" t="n">
        <f aca="false">SMALL(Datos!$D$2:$D$1501,A1227)</f>
        <v>165.307951622894</v>
      </c>
      <c r="C1227" s="21" t="n">
        <f aca="false">(Config!$B$11-A1227+1)/Config!$B$11</f>
        <v>0.185333333333333</v>
      </c>
    </row>
    <row r="1228" customFormat="false" ht="15" hidden="false" customHeight="false" outlineLevel="0" collapsed="false">
      <c r="A1228" s="2" t="n">
        <v>1224</v>
      </c>
      <c r="B1228" s="13" t="n">
        <f aca="false">SMALL(Datos!$D$2:$D$1501,A1228)</f>
        <v>165.311519677105</v>
      </c>
      <c r="C1228" s="21" t="n">
        <f aca="false">(Config!$B$11-A1228+1)/Config!$B$11</f>
        <v>0.184666666666667</v>
      </c>
    </row>
    <row r="1229" customFormat="false" ht="15" hidden="false" customHeight="false" outlineLevel="0" collapsed="false">
      <c r="A1229" s="2" t="n">
        <v>1225</v>
      </c>
      <c r="B1229" s="13" t="n">
        <f aca="false">SMALL(Datos!$D$2:$D$1501,A1229)</f>
        <v>165.315087731317</v>
      </c>
      <c r="C1229" s="21" t="n">
        <f aca="false">(Config!$B$11-A1229+1)/Config!$B$11</f>
        <v>0.184</v>
      </c>
    </row>
    <row r="1230" customFormat="false" ht="15" hidden="false" customHeight="false" outlineLevel="0" collapsed="false">
      <c r="A1230" s="2" t="n">
        <v>1226</v>
      </c>
      <c r="B1230" s="13" t="n">
        <f aca="false">SMALL(Datos!$D$2:$D$1501,A1230)</f>
        <v>165.332928002375</v>
      </c>
      <c r="C1230" s="21" t="n">
        <f aca="false">(Config!$B$11-A1230+1)/Config!$B$11</f>
        <v>0.183333333333333</v>
      </c>
    </row>
    <row r="1231" customFormat="false" ht="15" hidden="false" customHeight="false" outlineLevel="0" collapsed="false">
      <c r="A1231" s="2" t="n">
        <v>1227</v>
      </c>
      <c r="B1231" s="13" t="n">
        <f aca="false">SMALL(Datos!$D$2:$D$1501,A1231)</f>
        <v>165.336496056587</v>
      </c>
      <c r="C1231" s="21" t="n">
        <f aca="false">(Config!$B$11-A1231+1)/Config!$B$11</f>
        <v>0.182666666666667</v>
      </c>
    </row>
    <row r="1232" customFormat="false" ht="15" hidden="false" customHeight="false" outlineLevel="0" collapsed="false">
      <c r="A1232" s="2" t="n">
        <v>1228</v>
      </c>
      <c r="B1232" s="13" t="n">
        <f aca="false">SMALL(Datos!$D$2:$D$1501,A1232)</f>
        <v>165.414993249242</v>
      </c>
      <c r="C1232" s="21" t="n">
        <f aca="false">(Config!$B$11-A1232+1)/Config!$B$11</f>
        <v>0.182</v>
      </c>
    </row>
    <row r="1233" customFormat="false" ht="15" hidden="false" customHeight="false" outlineLevel="0" collapsed="false">
      <c r="A1233" s="2" t="n">
        <v>1229</v>
      </c>
      <c r="B1233" s="13" t="n">
        <f aca="false">SMALL(Datos!$D$2:$D$1501,A1233)</f>
        <v>165.425697411876</v>
      </c>
      <c r="C1233" s="21" t="n">
        <f aca="false">(Config!$B$11-A1233+1)/Config!$B$11</f>
        <v>0.181333333333333</v>
      </c>
    </row>
    <row r="1234" customFormat="false" ht="15" hidden="false" customHeight="false" outlineLevel="0" collapsed="false">
      <c r="A1234" s="2" t="n">
        <v>1230</v>
      </c>
      <c r="B1234" s="13" t="n">
        <f aca="false">SMALL(Datos!$D$2:$D$1501,A1234)</f>
        <v>165.457809899781</v>
      </c>
      <c r="C1234" s="21" t="n">
        <f aca="false">(Config!$B$11-A1234+1)/Config!$B$11</f>
        <v>0.180666666666667</v>
      </c>
    </row>
    <row r="1235" customFormat="false" ht="15" hidden="false" customHeight="false" outlineLevel="0" collapsed="false">
      <c r="A1235" s="2" t="n">
        <v>1231</v>
      </c>
      <c r="B1235" s="13" t="n">
        <f aca="false">SMALL(Datos!$D$2:$D$1501,A1235)</f>
        <v>165.504194604531</v>
      </c>
      <c r="C1235" s="21" t="n">
        <f aca="false">(Config!$B$11-A1235+1)/Config!$B$11</f>
        <v>0.18</v>
      </c>
    </row>
    <row r="1236" customFormat="false" ht="15" hidden="false" customHeight="false" outlineLevel="0" collapsed="false">
      <c r="A1236" s="2" t="n">
        <v>1232</v>
      </c>
      <c r="B1236" s="13" t="n">
        <f aca="false">SMALL(Datos!$D$2:$D$1501,A1236)</f>
        <v>165.504194604531</v>
      </c>
      <c r="C1236" s="21" t="n">
        <f aca="false">(Config!$B$11-A1236+1)/Config!$B$11</f>
        <v>0.179333333333333</v>
      </c>
    </row>
    <row r="1237" customFormat="false" ht="15" hidden="false" customHeight="false" outlineLevel="0" collapsed="false">
      <c r="A1237" s="2" t="n">
        <v>1233</v>
      </c>
      <c r="B1237" s="13" t="n">
        <f aca="false">SMALL(Datos!$D$2:$D$1501,A1237)</f>
        <v>165.525602929801</v>
      </c>
      <c r="C1237" s="21" t="n">
        <f aca="false">(Config!$B$11-A1237+1)/Config!$B$11</f>
        <v>0.178666666666667</v>
      </c>
    </row>
    <row r="1238" customFormat="false" ht="15" hidden="false" customHeight="false" outlineLevel="0" collapsed="false">
      <c r="A1238" s="2" t="n">
        <v>1234</v>
      </c>
      <c r="B1238" s="13" t="n">
        <f aca="false">SMALL(Datos!$D$2:$D$1501,A1238)</f>
        <v>165.539875146647</v>
      </c>
      <c r="C1238" s="21" t="n">
        <f aca="false">(Config!$B$11-A1238+1)/Config!$B$11</f>
        <v>0.178</v>
      </c>
    </row>
    <row r="1239" customFormat="false" ht="15" hidden="false" customHeight="false" outlineLevel="0" collapsed="false">
      <c r="A1239" s="2" t="n">
        <v>1235</v>
      </c>
      <c r="B1239" s="13" t="n">
        <f aca="false">SMALL(Datos!$D$2:$D$1501,A1239)</f>
        <v>165.575555688763</v>
      </c>
      <c r="C1239" s="21" t="n">
        <f aca="false">(Config!$B$11-A1239+1)/Config!$B$11</f>
        <v>0.177333333333333</v>
      </c>
    </row>
    <row r="1240" customFormat="false" ht="15" hidden="false" customHeight="false" outlineLevel="0" collapsed="false">
      <c r="A1240" s="2" t="n">
        <v>1236</v>
      </c>
      <c r="B1240" s="13" t="n">
        <f aca="false">SMALL(Datos!$D$2:$D$1501,A1240)</f>
        <v>165.575555688763</v>
      </c>
      <c r="C1240" s="21" t="n">
        <f aca="false">(Config!$B$11-A1240+1)/Config!$B$11</f>
        <v>0.176666666666667</v>
      </c>
    </row>
    <row r="1241" customFormat="false" ht="15" hidden="false" customHeight="false" outlineLevel="0" collapsed="false">
      <c r="A1241" s="2" t="n">
        <v>1237</v>
      </c>
      <c r="B1241" s="13" t="n">
        <f aca="false">SMALL(Datos!$D$2:$D$1501,A1241)</f>
        <v>165.579123742975</v>
      </c>
      <c r="C1241" s="21" t="n">
        <f aca="false">(Config!$B$11-A1241+1)/Config!$B$11</f>
        <v>0.176</v>
      </c>
    </row>
    <row r="1242" customFormat="false" ht="15" hidden="false" customHeight="false" outlineLevel="0" collapsed="false">
      <c r="A1242" s="2" t="n">
        <v>1238</v>
      </c>
      <c r="B1242" s="13" t="n">
        <f aca="false">SMALL(Datos!$D$2:$D$1501,A1242)</f>
        <v>165.579123742975</v>
      </c>
      <c r="C1242" s="21" t="n">
        <f aca="false">(Config!$B$11-A1242+1)/Config!$B$11</f>
        <v>0.175333333333333</v>
      </c>
    </row>
    <row r="1243" customFormat="false" ht="15" hidden="false" customHeight="false" outlineLevel="0" collapsed="false">
      <c r="A1243" s="2" t="n">
        <v>1239</v>
      </c>
      <c r="B1243" s="13" t="n">
        <f aca="false">SMALL(Datos!$D$2:$D$1501,A1243)</f>
        <v>165.582691797186</v>
      </c>
      <c r="C1243" s="21" t="n">
        <f aca="false">(Config!$B$11-A1243+1)/Config!$B$11</f>
        <v>0.174666666666667</v>
      </c>
    </row>
    <row r="1244" customFormat="false" ht="15" hidden="false" customHeight="false" outlineLevel="0" collapsed="false">
      <c r="A1244" s="2" t="n">
        <v>1240</v>
      </c>
      <c r="B1244" s="13" t="n">
        <f aca="false">SMALL(Datos!$D$2:$D$1501,A1244)</f>
        <v>165.593395959821</v>
      </c>
      <c r="C1244" s="21" t="n">
        <f aca="false">(Config!$B$11-A1244+1)/Config!$B$11</f>
        <v>0.174</v>
      </c>
    </row>
    <row r="1245" customFormat="false" ht="15" hidden="false" customHeight="false" outlineLevel="0" collapsed="false">
      <c r="A1245" s="2" t="n">
        <v>1241</v>
      </c>
      <c r="B1245" s="13" t="n">
        <f aca="false">SMALL(Datos!$D$2:$D$1501,A1245)</f>
        <v>165.611236230879</v>
      </c>
      <c r="C1245" s="21" t="n">
        <f aca="false">(Config!$B$11-A1245+1)/Config!$B$11</f>
        <v>0.173333333333333</v>
      </c>
    </row>
    <row r="1246" customFormat="false" ht="15" hidden="false" customHeight="false" outlineLevel="0" collapsed="false">
      <c r="A1246" s="2" t="n">
        <v>1242</v>
      </c>
      <c r="B1246" s="13" t="n">
        <f aca="false">SMALL(Datos!$D$2:$D$1501,A1246)</f>
        <v>165.618372339302</v>
      </c>
      <c r="C1246" s="21" t="n">
        <f aca="false">(Config!$B$11-A1246+1)/Config!$B$11</f>
        <v>0.172666666666667</v>
      </c>
    </row>
    <row r="1247" customFormat="false" ht="15" hidden="false" customHeight="false" outlineLevel="0" collapsed="false">
      <c r="A1247" s="2" t="n">
        <v>1243</v>
      </c>
      <c r="B1247" s="13" t="n">
        <f aca="false">SMALL(Datos!$D$2:$D$1501,A1247)</f>
        <v>165.632644556148</v>
      </c>
      <c r="C1247" s="21" t="n">
        <f aca="false">(Config!$B$11-A1247+1)/Config!$B$11</f>
        <v>0.172</v>
      </c>
    </row>
    <row r="1248" customFormat="false" ht="15" hidden="false" customHeight="false" outlineLevel="0" collapsed="false">
      <c r="A1248" s="2" t="n">
        <v>1244</v>
      </c>
      <c r="B1248" s="13" t="n">
        <f aca="false">SMALL(Datos!$D$2:$D$1501,A1248)</f>
        <v>165.632644556148</v>
      </c>
      <c r="C1248" s="21" t="n">
        <f aca="false">(Config!$B$11-A1248+1)/Config!$B$11</f>
        <v>0.171333333333333</v>
      </c>
    </row>
    <row r="1249" customFormat="false" ht="15" hidden="false" customHeight="false" outlineLevel="0" collapsed="false">
      <c r="A1249" s="2" t="n">
        <v>1245</v>
      </c>
      <c r="B1249" s="13" t="n">
        <f aca="false">SMALL(Datos!$D$2:$D$1501,A1249)</f>
        <v>165.650484827206</v>
      </c>
      <c r="C1249" s="21" t="n">
        <f aca="false">(Config!$B$11-A1249+1)/Config!$B$11</f>
        <v>0.170666666666667</v>
      </c>
    </row>
    <row r="1250" customFormat="false" ht="15" hidden="false" customHeight="false" outlineLevel="0" collapsed="false">
      <c r="A1250" s="2" t="n">
        <v>1246</v>
      </c>
      <c r="B1250" s="13" t="n">
        <f aca="false">SMALL(Datos!$D$2:$D$1501,A1250)</f>
        <v>165.664757044053</v>
      </c>
      <c r="C1250" s="21" t="n">
        <f aca="false">(Config!$B$11-A1250+1)/Config!$B$11</f>
        <v>0.17</v>
      </c>
    </row>
    <row r="1251" customFormat="false" ht="15" hidden="false" customHeight="false" outlineLevel="0" collapsed="false">
      <c r="A1251" s="2" t="n">
        <v>1247</v>
      </c>
      <c r="B1251" s="13" t="n">
        <f aca="false">SMALL(Datos!$D$2:$D$1501,A1251)</f>
        <v>165.668325098264</v>
      </c>
      <c r="C1251" s="21" t="n">
        <f aca="false">(Config!$B$11-A1251+1)/Config!$B$11</f>
        <v>0.169333333333333</v>
      </c>
    </row>
    <row r="1252" customFormat="false" ht="15" hidden="false" customHeight="false" outlineLevel="0" collapsed="false">
      <c r="A1252" s="2" t="n">
        <v>1248</v>
      </c>
      <c r="B1252" s="13" t="n">
        <f aca="false">SMALL(Datos!$D$2:$D$1501,A1252)</f>
        <v>165.689733423534</v>
      </c>
      <c r="C1252" s="21" t="n">
        <f aca="false">(Config!$B$11-A1252+1)/Config!$B$11</f>
        <v>0.168666666666667</v>
      </c>
    </row>
    <row r="1253" customFormat="false" ht="15" hidden="false" customHeight="false" outlineLevel="0" collapsed="false">
      <c r="A1253" s="2" t="n">
        <v>1249</v>
      </c>
      <c r="B1253" s="13" t="n">
        <f aca="false">SMALL(Datos!$D$2:$D$1501,A1253)</f>
        <v>165.711141748803</v>
      </c>
      <c r="C1253" s="21" t="n">
        <f aca="false">(Config!$B$11-A1253+1)/Config!$B$11</f>
        <v>0.168</v>
      </c>
    </row>
    <row r="1254" customFormat="false" ht="15" hidden="false" customHeight="false" outlineLevel="0" collapsed="false">
      <c r="A1254" s="2" t="n">
        <v>1250</v>
      </c>
      <c r="B1254" s="13" t="n">
        <f aca="false">SMALL(Datos!$D$2:$D$1501,A1254)</f>
        <v>165.711141748803</v>
      </c>
      <c r="C1254" s="21" t="n">
        <f aca="false">(Config!$B$11-A1254+1)/Config!$B$11</f>
        <v>0.167333333333333</v>
      </c>
    </row>
    <row r="1255" customFormat="false" ht="15" hidden="false" customHeight="false" outlineLevel="0" collapsed="false">
      <c r="A1255" s="2" t="n">
        <v>1251</v>
      </c>
      <c r="B1255" s="13" t="n">
        <f aca="false">SMALL(Datos!$D$2:$D$1501,A1255)</f>
        <v>165.714709803015</v>
      </c>
      <c r="C1255" s="21" t="n">
        <f aca="false">(Config!$B$11-A1255+1)/Config!$B$11</f>
        <v>0.166666666666667</v>
      </c>
    </row>
    <row r="1256" customFormat="false" ht="15" hidden="false" customHeight="false" outlineLevel="0" collapsed="false">
      <c r="A1256" s="2" t="n">
        <v>1252</v>
      </c>
      <c r="B1256" s="13" t="n">
        <f aca="false">SMALL(Datos!$D$2:$D$1501,A1256)</f>
        <v>165.718277857227</v>
      </c>
      <c r="C1256" s="21" t="n">
        <f aca="false">(Config!$B$11-A1256+1)/Config!$B$11</f>
        <v>0.166</v>
      </c>
    </row>
    <row r="1257" customFormat="false" ht="15" hidden="false" customHeight="false" outlineLevel="0" collapsed="false">
      <c r="A1257" s="2" t="n">
        <v>1253</v>
      </c>
      <c r="B1257" s="13" t="n">
        <f aca="false">SMALL(Datos!$D$2:$D$1501,A1257)</f>
        <v>165.743254236708</v>
      </c>
      <c r="C1257" s="21" t="n">
        <f aca="false">(Config!$B$11-A1257+1)/Config!$B$11</f>
        <v>0.165333333333333</v>
      </c>
    </row>
    <row r="1258" customFormat="false" ht="15" hidden="false" customHeight="false" outlineLevel="0" collapsed="false">
      <c r="A1258" s="2" t="n">
        <v>1254</v>
      </c>
      <c r="B1258" s="13" t="n">
        <f aca="false">SMALL(Datos!$D$2:$D$1501,A1258)</f>
        <v>165.768230616189</v>
      </c>
      <c r="C1258" s="21" t="n">
        <f aca="false">(Config!$B$11-A1258+1)/Config!$B$11</f>
        <v>0.164666666666667</v>
      </c>
    </row>
    <row r="1259" customFormat="false" ht="15" hidden="false" customHeight="false" outlineLevel="0" collapsed="false">
      <c r="A1259" s="2" t="n">
        <v>1255</v>
      </c>
      <c r="B1259" s="13" t="n">
        <f aca="false">SMALL(Datos!$D$2:$D$1501,A1259)</f>
        <v>165.768230616189</v>
      </c>
      <c r="C1259" s="21" t="n">
        <f aca="false">(Config!$B$11-A1259+1)/Config!$B$11</f>
        <v>0.164</v>
      </c>
    </row>
    <row r="1260" customFormat="false" ht="15" hidden="false" customHeight="false" outlineLevel="0" collapsed="false">
      <c r="A1260" s="2" t="n">
        <v>1256</v>
      </c>
      <c r="B1260" s="13" t="n">
        <f aca="false">SMALL(Datos!$D$2:$D$1501,A1260)</f>
        <v>165.782502833035</v>
      </c>
      <c r="C1260" s="21" t="n">
        <f aca="false">(Config!$B$11-A1260+1)/Config!$B$11</f>
        <v>0.163333333333333</v>
      </c>
    </row>
    <row r="1261" customFormat="false" ht="15" hidden="false" customHeight="false" outlineLevel="0" collapsed="false">
      <c r="A1261" s="2" t="n">
        <v>1257</v>
      </c>
      <c r="B1261" s="13" t="n">
        <f aca="false">SMALL(Datos!$D$2:$D$1501,A1261)</f>
        <v>165.789638941458</v>
      </c>
      <c r="C1261" s="21" t="n">
        <f aca="false">(Config!$B$11-A1261+1)/Config!$B$11</f>
        <v>0.162666666666667</v>
      </c>
    </row>
    <row r="1262" customFormat="false" ht="15" hidden="false" customHeight="false" outlineLevel="0" collapsed="false">
      <c r="A1262" s="2" t="n">
        <v>1258</v>
      </c>
      <c r="B1262" s="13" t="n">
        <f aca="false">SMALL(Datos!$D$2:$D$1501,A1262)</f>
        <v>165.79320699567</v>
      </c>
      <c r="C1262" s="21" t="n">
        <f aca="false">(Config!$B$11-A1262+1)/Config!$B$11</f>
        <v>0.162</v>
      </c>
    </row>
    <row r="1263" customFormat="false" ht="15" hidden="false" customHeight="false" outlineLevel="0" collapsed="false">
      <c r="A1263" s="2" t="n">
        <v>1259</v>
      </c>
      <c r="B1263" s="13" t="n">
        <f aca="false">SMALL(Datos!$D$2:$D$1501,A1263)</f>
        <v>165.796775049881</v>
      </c>
      <c r="C1263" s="21" t="n">
        <f aca="false">(Config!$B$11-A1263+1)/Config!$B$11</f>
        <v>0.161333333333333</v>
      </c>
    </row>
    <row r="1264" customFormat="false" ht="15" hidden="false" customHeight="false" outlineLevel="0" collapsed="false">
      <c r="A1264" s="2" t="n">
        <v>1260</v>
      </c>
      <c r="B1264" s="13" t="n">
        <f aca="false">SMALL(Datos!$D$2:$D$1501,A1264)</f>
        <v>165.821751429363</v>
      </c>
      <c r="C1264" s="21" t="n">
        <f aca="false">(Config!$B$11-A1264+1)/Config!$B$11</f>
        <v>0.160666666666667</v>
      </c>
    </row>
    <row r="1265" customFormat="false" ht="15" hidden="false" customHeight="false" outlineLevel="0" collapsed="false">
      <c r="A1265" s="2" t="n">
        <v>1261</v>
      </c>
      <c r="B1265" s="13" t="n">
        <f aca="false">SMALL(Datos!$D$2:$D$1501,A1265)</f>
        <v>165.843159754632</v>
      </c>
      <c r="C1265" s="21" t="n">
        <f aca="false">(Config!$B$11-A1265+1)/Config!$B$11</f>
        <v>0.16</v>
      </c>
    </row>
    <row r="1266" customFormat="false" ht="15" hidden="false" customHeight="false" outlineLevel="0" collapsed="false">
      <c r="A1266" s="2" t="n">
        <v>1262</v>
      </c>
      <c r="B1266" s="13" t="n">
        <f aca="false">SMALL(Datos!$D$2:$D$1501,A1266)</f>
        <v>165.843159754632</v>
      </c>
      <c r="C1266" s="21" t="n">
        <f aca="false">(Config!$B$11-A1266+1)/Config!$B$11</f>
        <v>0.159333333333333</v>
      </c>
    </row>
    <row r="1267" customFormat="false" ht="15" hidden="false" customHeight="false" outlineLevel="0" collapsed="false">
      <c r="A1267" s="2" t="n">
        <v>1263</v>
      </c>
      <c r="B1267" s="13" t="n">
        <f aca="false">SMALL(Datos!$D$2:$D$1501,A1267)</f>
        <v>165.907384730441</v>
      </c>
      <c r="C1267" s="21" t="n">
        <f aca="false">(Config!$B$11-A1267+1)/Config!$B$11</f>
        <v>0.158666666666667</v>
      </c>
    </row>
    <row r="1268" customFormat="false" ht="15" hidden="false" customHeight="false" outlineLevel="0" collapsed="false">
      <c r="A1268" s="2" t="n">
        <v>1264</v>
      </c>
      <c r="B1268" s="13" t="n">
        <f aca="false">SMALL(Datos!$D$2:$D$1501,A1268)</f>
        <v>165.932361109922</v>
      </c>
      <c r="C1268" s="21" t="n">
        <f aca="false">(Config!$B$11-A1268+1)/Config!$B$11</f>
        <v>0.158</v>
      </c>
    </row>
    <row r="1269" customFormat="false" ht="15" hidden="false" customHeight="false" outlineLevel="0" collapsed="false">
      <c r="A1269" s="2" t="n">
        <v>1265</v>
      </c>
      <c r="B1269" s="13" t="n">
        <f aca="false">SMALL(Datos!$D$2:$D$1501,A1269)</f>
        <v>165.946633326768</v>
      </c>
      <c r="C1269" s="21" t="n">
        <f aca="false">(Config!$B$11-A1269+1)/Config!$B$11</f>
        <v>0.157333333333333</v>
      </c>
    </row>
    <row r="1270" customFormat="false" ht="15" hidden="false" customHeight="false" outlineLevel="0" collapsed="false">
      <c r="A1270" s="2" t="n">
        <v>1266</v>
      </c>
      <c r="B1270" s="13" t="n">
        <f aca="false">SMALL(Datos!$D$2:$D$1501,A1270)</f>
        <v>165.953769435191</v>
      </c>
      <c r="C1270" s="21" t="n">
        <f aca="false">(Config!$B$11-A1270+1)/Config!$B$11</f>
        <v>0.156666666666667</v>
      </c>
    </row>
    <row r="1271" customFormat="false" ht="15" hidden="false" customHeight="false" outlineLevel="0" collapsed="false">
      <c r="A1271" s="2" t="n">
        <v>1267</v>
      </c>
      <c r="B1271" s="13" t="n">
        <f aca="false">SMALL(Datos!$D$2:$D$1501,A1271)</f>
        <v>165.971609706249</v>
      </c>
      <c r="C1271" s="21" t="n">
        <f aca="false">(Config!$B$11-A1271+1)/Config!$B$11</f>
        <v>0.156</v>
      </c>
    </row>
    <row r="1272" customFormat="false" ht="15" hidden="false" customHeight="false" outlineLevel="0" collapsed="false">
      <c r="A1272" s="2" t="n">
        <v>1268</v>
      </c>
      <c r="B1272" s="13" t="n">
        <f aca="false">SMALL(Datos!$D$2:$D$1501,A1272)</f>
        <v>165.982313868884</v>
      </c>
      <c r="C1272" s="21" t="n">
        <f aca="false">(Config!$B$11-A1272+1)/Config!$B$11</f>
        <v>0.155333333333333</v>
      </c>
    </row>
    <row r="1273" customFormat="false" ht="15" hidden="false" customHeight="false" outlineLevel="0" collapsed="false">
      <c r="A1273" s="2" t="n">
        <v>1269</v>
      </c>
      <c r="B1273" s="13" t="n">
        <f aca="false">SMALL(Datos!$D$2:$D$1501,A1273)</f>
        <v>166.017994411</v>
      </c>
      <c r="C1273" s="21" t="n">
        <f aca="false">(Config!$B$11-A1273+1)/Config!$B$11</f>
        <v>0.154666666666667</v>
      </c>
    </row>
    <row r="1274" customFormat="false" ht="15" hidden="false" customHeight="false" outlineLevel="0" collapsed="false">
      <c r="A1274" s="2" t="n">
        <v>1270</v>
      </c>
      <c r="B1274" s="13" t="n">
        <f aca="false">SMALL(Datos!$D$2:$D$1501,A1274)</f>
        <v>166.028698573635</v>
      </c>
      <c r="C1274" s="21" t="n">
        <f aca="false">(Config!$B$11-A1274+1)/Config!$B$11</f>
        <v>0.154</v>
      </c>
    </row>
    <row r="1275" customFormat="false" ht="15" hidden="false" customHeight="false" outlineLevel="0" collapsed="false">
      <c r="A1275" s="2" t="n">
        <v>1271</v>
      </c>
      <c r="B1275" s="13" t="n">
        <f aca="false">SMALL(Datos!$D$2:$D$1501,A1275)</f>
        <v>166.039402736269</v>
      </c>
      <c r="C1275" s="21" t="n">
        <f aca="false">(Config!$B$11-A1275+1)/Config!$B$11</f>
        <v>0.153333333333333</v>
      </c>
    </row>
    <row r="1276" customFormat="false" ht="15" hidden="false" customHeight="false" outlineLevel="0" collapsed="false">
      <c r="A1276" s="2" t="n">
        <v>1272</v>
      </c>
      <c r="B1276" s="13" t="n">
        <f aca="false">SMALL(Datos!$D$2:$D$1501,A1276)</f>
        <v>166.089355495232</v>
      </c>
      <c r="C1276" s="21" t="n">
        <f aca="false">(Config!$B$11-A1276+1)/Config!$B$11</f>
        <v>0.152666666666667</v>
      </c>
    </row>
    <row r="1277" customFormat="false" ht="15" hidden="false" customHeight="false" outlineLevel="0" collapsed="false">
      <c r="A1277" s="2" t="n">
        <v>1273</v>
      </c>
      <c r="B1277" s="13" t="n">
        <f aca="false">SMALL(Datos!$D$2:$D$1501,A1277)</f>
        <v>166.117899928924</v>
      </c>
      <c r="C1277" s="21" t="n">
        <f aca="false">(Config!$B$11-A1277+1)/Config!$B$11</f>
        <v>0.152</v>
      </c>
    </row>
    <row r="1278" customFormat="false" ht="15" hidden="false" customHeight="false" outlineLevel="0" collapsed="false">
      <c r="A1278" s="2" t="n">
        <v>1274</v>
      </c>
      <c r="B1278" s="13" t="n">
        <f aca="false">SMALL(Datos!$D$2:$D$1501,A1278)</f>
        <v>166.128604091559</v>
      </c>
      <c r="C1278" s="21" t="n">
        <f aca="false">(Config!$B$11-A1278+1)/Config!$B$11</f>
        <v>0.151333333333333</v>
      </c>
    </row>
    <row r="1279" customFormat="false" ht="15" hidden="false" customHeight="false" outlineLevel="0" collapsed="false">
      <c r="A1279" s="2" t="n">
        <v>1275</v>
      </c>
      <c r="B1279" s="13" t="n">
        <f aca="false">SMALL(Datos!$D$2:$D$1501,A1279)</f>
        <v>166.142876308406</v>
      </c>
      <c r="C1279" s="21" t="n">
        <f aca="false">(Config!$B$11-A1279+1)/Config!$B$11</f>
        <v>0.150666666666667</v>
      </c>
    </row>
    <row r="1280" customFormat="false" ht="15" hidden="false" customHeight="false" outlineLevel="0" collapsed="false">
      <c r="A1280" s="2" t="n">
        <v>1276</v>
      </c>
      <c r="B1280" s="13" t="n">
        <f aca="false">SMALL(Datos!$D$2:$D$1501,A1280)</f>
        <v>166.203533230003</v>
      </c>
      <c r="C1280" s="21" t="n">
        <f aca="false">(Config!$B$11-A1280+1)/Config!$B$11</f>
        <v>0.15</v>
      </c>
    </row>
    <row r="1281" customFormat="false" ht="15" hidden="false" customHeight="false" outlineLevel="0" collapsed="false">
      <c r="A1281" s="2" t="n">
        <v>1277</v>
      </c>
      <c r="B1281" s="13" t="n">
        <f aca="false">SMALL(Datos!$D$2:$D$1501,A1281)</f>
        <v>166.203533230003</v>
      </c>
      <c r="C1281" s="21" t="n">
        <f aca="false">(Config!$B$11-A1281+1)/Config!$B$11</f>
        <v>0.149333333333333</v>
      </c>
    </row>
    <row r="1282" customFormat="false" ht="15" hidden="false" customHeight="false" outlineLevel="0" collapsed="false">
      <c r="A1282" s="2" t="n">
        <v>1278</v>
      </c>
      <c r="B1282" s="13" t="n">
        <f aca="false">SMALL(Datos!$D$2:$D$1501,A1282)</f>
        <v>166.217805446849</v>
      </c>
      <c r="C1282" s="21" t="n">
        <f aca="false">(Config!$B$11-A1282+1)/Config!$B$11</f>
        <v>0.148666666666667</v>
      </c>
    </row>
    <row r="1283" customFormat="false" ht="15" hidden="false" customHeight="false" outlineLevel="0" collapsed="false">
      <c r="A1283" s="2" t="n">
        <v>1279</v>
      </c>
      <c r="B1283" s="13" t="n">
        <f aca="false">SMALL(Datos!$D$2:$D$1501,A1283)</f>
        <v>166.235645717907</v>
      </c>
      <c r="C1283" s="21" t="n">
        <f aca="false">(Config!$B$11-A1283+1)/Config!$B$11</f>
        <v>0.148</v>
      </c>
    </row>
    <row r="1284" customFormat="false" ht="15" hidden="false" customHeight="false" outlineLevel="0" collapsed="false">
      <c r="A1284" s="2" t="n">
        <v>1280</v>
      </c>
      <c r="B1284" s="13" t="n">
        <f aca="false">SMALL(Datos!$D$2:$D$1501,A1284)</f>
        <v>166.246349880542</v>
      </c>
      <c r="C1284" s="21" t="n">
        <f aca="false">(Config!$B$11-A1284+1)/Config!$B$11</f>
        <v>0.147333333333333</v>
      </c>
    </row>
    <row r="1285" customFormat="false" ht="15" hidden="false" customHeight="false" outlineLevel="0" collapsed="false">
      <c r="A1285" s="2" t="n">
        <v>1281</v>
      </c>
      <c r="B1285" s="13" t="n">
        <f aca="false">SMALL(Datos!$D$2:$D$1501,A1285)</f>
        <v>166.278462368446</v>
      </c>
      <c r="C1285" s="21" t="n">
        <f aca="false">(Config!$B$11-A1285+1)/Config!$B$11</f>
        <v>0.146666666666667</v>
      </c>
    </row>
    <row r="1286" customFormat="false" ht="15" hidden="false" customHeight="false" outlineLevel="0" collapsed="false">
      <c r="A1286" s="2" t="n">
        <v>1282</v>
      </c>
      <c r="B1286" s="13" t="n">
        <f aca="false">SMALL(Datos!$D$2:$D$1501,A1286)</f>
        <v>166.289166531081</v>
      </c>
      <c r="C1286" s="21" t="n">
        <f aca="false">(Config!$B$11-A1286+1)/Config!$B$11</f>
        <v>0.146</v>
      </c>
    </row>
    <row r="1287" customFormat="false" ht="15" hidden="false" customHeight="false" outlineLevel="0" collapsed="false">
      <c r="A1287" s="2" t="n">
        <v>1283</v>
      </c>
      <c r="B1287" s="13" t="n">
        <f aca="false">SMALL(Datos!$D$2:$D$1501,A1287)</f>
        <v>166.296302639504</v>
      </c>
      <c r="C1287" s="21" t="n">
        <f aca="false">(Config!$B$11-A1287+1)/Config!$B$11</f>
        <v>0.145333333333333</v>
      </c>
    </row>
    <row r="1288" customFormat="false" ht="15" hidden="false" customHeight="false" outlineLevel="0" collapsed="false">
      <c r="A1288" s="2" t="n">
        <v>1284</v>
      </c>
      <c r="B1288" s="13" t="n">
        <f aca="false">SMALL(Datos!$D$2:$D$1501,A1288)</f>
        <v>166.37836788637</v>
      </c>
      <c r="C1288" s="21" t="n">
        <f aca="false">(Config!$B$11-A1288+1)/Config!$B$11</f>
        <v>0.144666666666667</v>
      </c>
    </row>
    <row r="1289" customFormat="false" ht="15" hidden="false" customHeight="false" outlineLevel="0" collapsed="false">
      <c r="A1289" s="2" t="n">
        <v>1285</v>
      </c>
      <c r="B1289" s="13" t="n">
        <f aca="false">SMALL(Datos!$D$2:$D$1501,A1289)</f>
        <v>166.392640103217</v>
      </c>
      <c r="C1289" s="21" t="n">
        <f aca="false">(Config!$B$11-A1289+1)/Config!$B$11</f>
        <v>0.144</v>
      </c>
    </row>
    <row r="1290" customFormat="false" ht="15" hidden="false" customHeight="false" outlineLevel="0" collapsed="false">
      <c r="A1290" s="2" t="n">
        <v>1286</v>
      </c>
      <c r="B1290" s="13" t="n">
        <f aca="false">SMALL(Datos!$D$2:$D$1501,A1290)</f>
        <v>166.396208157428</v>
      </c>
      <c r="C1290" s="21" t="n">
        <f aca="false">(Config!$B$11-A1290+1)/Config!$B$11</f>
        <v>0.143333333333333</v>
      </c>
    </row>
    <row r="1291" customFormat="false" ht="15" hidden="false" customHeight="false" outlineLevel="0" collapsed="false">
      <c r="A1291" s="2" t="n">
        <v>1287</v>
      </c>
      <c r="B1291" s="13" t="n">
        <f aca="false">SMALL(Datos!$D$2:$D$1501,A1291)</f>
        <v>166.449728970602</v>
      </c>
      <c r="C1291" s="21" t="n">
        <f aca="false">(Config!$B$11-A1291+1)/Config!$B$11</f>
        <v>0.142666666666667</v>
      </c>
    </row>
    <row r="1292" customFormat="false" ht="15" hidden="false" customHeight="false" outlineLevel="0" collapsed="false">
      <c r="A1292" s="2" t="n">
        <v>1288</v>
      </c>
      <c r="B1292" s="13" t="n">
        <f aca="false">SMALL(Datos!$D$2:$D$1501,A1292)</f>
        <v>166.474705350083</v>
      </c>
      <c r="C1292" s="21" t="n">
        <f aca="false">(Config!$B$11-A1292+1)/Config!$B$11</f>
        <v>0.142</v>
      </c>
    </row>
    <row r="1293" customFormat="false" ht="15" hidden="false" customHeight="false" outlineLevel="0" collapsed="false">
      <c r="A1293" s="2" t="n">
        <v>1289</v>
      </c>
      <c r="B1293" s="13" t="n">
        <f aca="false">SMALL(Datos!$D$2:$D$1501,A1293)</f>
        <v>166.481841458506</v>
      </c>
      <c r="C1293" s="21" t="n">
        <f aca="false">(Config!$B$11-A1293+1)/Config!$B$11</f>
        <v>0.141333333333333</v>
      </c>
    </row>
    <row r="1294" customFormat="false" ht="15" hidden="false" customHeight="false" outlineLevel="0" collapsed="false">
      <c r="A1294" s="2" t="n">
        <v>1290</v>
      </c>
      <c r="B1294" s="13" t="n">
        <f aca="false">SMALL(Datos!$D$2:$D$1501,A1294)</f>
        <v>166.528226163257</v>
      </c>
      <c r="C1294" s="21" t="n">
        <f aca="false">(Config!$B$11-A1294+1)/Config!$B$11</f>
        <v>0.140666666666667</v>
      </c>
    </row>
    <row r="1295" customFormat="false" ht="15" hidden="false" customHeight="false" outlineLevel="0" collapsed="false">
      <c r="A1295" s="2" t="n">
        <v>1291</v>
      </c>
      <c r="B1295" s="13" t="n">
        <f aca="false">SMALL(Datos!$D$2:$D$1501,A1295)</f>
        <v>166.538930325892</v>
      </c>
      <c r="C1295" s="21" t="n">
        <f aca="false">(Config!$B$11-A1295+1)/Config!$B$11</f>
        <v>0.14</v>
      </c>
    </row>
    <row r="1296" customFormat="false" ht="15" hidden="false" customHeight="false" outlineLevel="0" collapsed="false">
      <c r="A1296" s="2" t="n">
        <v>1292</v>
      </c>
      <c r="B1296" s="13" t="n">
        <f aca="false">SMALL(Datos!$D$2:$D$1501,A1296)</f>
        <v>166.546066434315</v>
      </c>
      <c r="C1296" s="21" t="n">
        <f aca="false">(Config!$B$11-A1296+1)/Config!$B$11</f>
        <v>0.139333333333333</v>
      </c>
    </row>
    <row r="1297" customFormat="false" ht="15" hidden="false" customHeight="false" outlineLevel="0" collapsed="false">
      <c r="A1297" s="2" t="n">
        <v>1293</v>
      </c>
      <c r="B1297" s="13" t="n">
        <f aca="false">SMALL(Datos!$D$2:$D$1501,A1297)</f>
        <v>166.553202542738</v>
      </c>
      <c r="C1297" s="21" t="n">
        <f aca="false">(Config!$B$11-A1297+1)/Config!$B$11</f>
        <v>0.138666666666667</v>
      </c>
    </row>
    <row r="1298" customFormat="false" ht="15" hidden="false" customHeight="false" outlineLevel="0" collapsed="false">
      <c r="A1298" s="2" t="n">
        <v>1294</v>
      </c>
      <c r="B1298" s="13" t="n">
        <f aca="false">SMALL(Datos!$D$2:$D$1501,A1298)</f>
        <v>166.55677059695</v>
      </c>
      <c r="C1298" s="21" t="n">
        <f aca="false">(Config!$B$11-A1298+1)/Config!$B$11</f>
        <v>0.138</v>
      </c>
    </row>
    <row r="1299" customFormat="false" ht="15" hidden="false" customHeight="false" outlineLevel="0" collapsed="false">
      <c r="A1299" s="2" t="n">
        <v>1295</v>
      </c>
      <c r="B1299" s="13" t="n">
        <f aca="false">SMALL(Datos!$D$2:$D$1501,A1299)</f>
        <v>166.578178922219</v>
      </c>
      <c r="C1299" s="21" t="n">
        <f aca="false">(Config!$B$11-A1299+1)/Config!$B$11</f>
        <v>0.137333333333333</v>
      </c>
    </row>
    <row r="1300" customFormat="false" ht="15" hidden="false" customHeight="false" outlineLevel="0" collapsed="false">
      <c r="A1300" s="2" t="n">
        <v>1296</v>
      </c>
      <c r="B1300" s="13" t="n">
        <f aca="false">SMALL(Datos!$D$2:$D$1501,A1300)</f>
        <v>166.588883084854</v>
      </c>
      <c r="C1300" s="21" t="n">
        <f aca="false">(Config!$B$11-A1300+1)/Config!$B$11</f>
        <v>0.136666666666667</v>
      </c>
    </row>
    <row r="1301" customFormat="false" ht="15" hidden="false" customHeight="false" outlineLevel="0" collapsed="false">
      <c r="A1301" s="2" t="n">
        <v>1297</v>
      </c>
      <c r="B1301" s="13" t="n">
        <f aca="false">SMALL(Datos!$D$2:$D$1501,A1301)</f>
        <v>166.592451139066</v>
      </c>
      <c r="C1301" s="21" t="n">
        <f aca="false">(Config!$B$11-A1301+1)/Config!$B$11</f>
        <v>0.136</v>
      </c>
    </row>
    <row r="1302" customFormat="false" ht="15" hidden="false" customHeight="false" outlineLevel="0" collapsed="false">
      <c r="A1302" s="2" t="n">
        <v>1298</v>
      </c>
      <c r="B1302" s="13" t="n">
        <f aca="false">SMALL(Datos!$D$2:$D$1501,A1302)</f>
        <v>166.606723355912</v>
      </c>
      <c r="C1302" s="21" t="n">
        <f aca="false">(Config!$B$11-A1302+1)/Config!$B$11</f>
        <v>0.135333333333333</v>
      </c>
    </row>
    <row r="1303" customFormat="false" ht="15" hidden="false" customHeight="false" outlineLevel="0" collapsed="false">
      <c r="A1303" s="2" t="n">
        <v>1299</v>
      </c>
      <c r="B1303" s="13" t="n">
        <f aca="false">SMALL(Datos!$D$2:$D$1501,A1303)</f>
        <v>166.613859464335</v>
      </c>
      <c r="C1303" s="21" t="n">
        <f aca="false">(Config!$B$11-A1303+1)/Config!$B$11</f>
        <v>0.134666666666667</v>
      </c>
    </row>
    <row r="1304" customFormat="false" ht="15" hidden="false" customHeight="false" outlineLevel="0" collapsed="false">
      <c r="A1304" s="2" t="n">
        <v>1300</v>
      </c>
      <c r="B1304" s="13" t="n">
        <f aca="false">SMALL(Datos!$D$2:$D$1501,A1304)</f>
        <v>166.613859464335</v>
      </c>
      <c r="C1304" s="21" t="n">
        <f aca="false">(Config!$B$11-A1304+1)/Config!$B$11</f>
        <v>0.134</v>
      </c>
    </row>
    <row r="1305" customFormat="false" ht="15" hidden="false" customHeight="false" outlineLevel="0" collapsed="false">
      <c r="A1305" s="2" t="n">
        <v>1301</v>
      </c>
      <c r="B1305" s="13" t="n">
        <f aca="false">SMALL(Datos!$D$2:$D$1501,A1305)</f>
        <v>166.62456362697</v>
      </c>
      <c r="C1305" s="21" t="n">
        <f aca="false">(Config!$B$11-A1305+1)/Config!$B$11</f>
        <v>0.133333333333333</v>
      </c>
    </row>
    <row r="1306" customFormat="false" ht="15" hidden="false" customHeight="false" outlineLevel="0" collapsed="false">
      <c r="A1306" s="2" t="n">
        <v>1302</v>
      </c>
      <c r="B1306" s="13" t="n">
        <f aca="false">SMALL(Datos!$D$2:$D$1501,A1306)</f>
        <v>166.631699735393</v>
      </c>
      <c r="C1306" s="21" t="n">
        <f aca="false">(Config!$B$11-A1306+1)/Config!$B$11</f>
        <v>0.132666666666667</v>
      </c>
    </row>
    <row r="1307" customFormat="false" ht="15" hidden="false" customHeight="false" outlineLevel="0" collapsed="false">
      <c r="A1307" s="2" t="n">
        <v>1303</v>
      </c>
      <c r="B1307" s="13" t="n">
        <f aca="false">SMALL(Datos!$D$2:$D$1501,A1307)</f>
        <v>166.638835843816</v>
      </c>
      <c r="C1307" s="21" t="n">
        <f aca="false">(Config!$B$11-A1307+1)/Config!$B$11</f>
        <v>0.132</v>
      </c>
    </row>
    <row r="1308" customFormat="false" ht="15" hidden="false" customHeight="false" outlineLevel="0" collapsed="false">
      <c r="A1308" s="2" t="n">
        <v>1304</v>
      </c>
      <c r="B1308" s="13" t="n">
        <f aca="false">SMALL(Datos!$D$2:$D$1501,A1308)</f>
        <v>166.656676114874</v>
      </c>
      <c r="C1308" s="21" t="n">
        <f aca="false">(Config!$B$11-A1308+1)/Config!$B$11</f>
        <v>0.131333333333333</v>
      </c>
    </row>
    <row r="1309" customFormat="false" ht="15" hidden="false" customHeight="false" outlineLevel="0" collapsed="false">
      <c r="A1309" s="2" t="n">
        <v>1305</v>
      </c>
      <c r="B1309" s="13" t="n">
        <f aca="false">SMALL(Datos!$D$2:$D$1501,A1309)</f>
        <v>166.674516385932</v>
      </c>
      <c r="C1309" s="21" t="n">
        <f aca="false">(Config!$B$11-A1309+1)/Config!$B$11</f>
        <v>0.130666666666667</v>
      </c>
    </row>
    <row r="1310" customFormat="false" ht="15" hidden="false" customHeight="false" outlineLevel="0" collapsed="false">
      <c r="A1310" s="2" t="n">
        <v>1306</v>
      </c>
      <c r="B1310" s="13" t="n">
        <f aca="false">SMALL(Datos!$D$2:$D$1501,A1310)</f>
        <v>166.678084440144</v>
      </c>
      <c r="C1310" s="21" t="n">
        <f aca="false">(Config!$B$11-A1310+1)/Config!$B$11</f>
        <v>0.13</v>
      </c>
    </row>
    <row r="1311" customFormat="false" ht="15" hidden="false" customHeight="false" outlineLevel="0" collapsed="false">
      <c r="A1311" s="2" t="n">
        <v>1307</v>
      </c>
      <c r="B1311" s="13" t="n">
        <f aca="false">SMALL(Datos!$D$2:$D$1501,A1311)</f>
        <v>166.695924711202</v>
      </c>
      <c r="C1311" s="21" t="n">
        <f aca="false">(Config!$B$11-A1311+1)/Config!$B$11</f>
        <v>0.129333333333333</v>
      </c>
    </row>
    <row r="1312" customFormat="false" ht="15" hidden="false" customHeight="false" outlineLevel="0" collapsed="false">
      <c r="A1312" s="2" t="n">
        <v>1308</v>
      </c>
      <c r="B1312" s="13" t="n">
        <f aca="false">SMALL(Datos!$D$2:$D$1501,A1312)</f>
        <v>166.710196928048</v>
      </c>
      <c r="C1312" s="21" t="n">
        <f aca="false">(Config!$B$11-A1312+1)/Config!$B$11</f>
        <v>0.128666666666667</v>
      </c>
    </row>
    <row r="1313" customFormat="false" ht="15" hidden="false" customHeight="false" outlineLevel="0" collapsed="false">
      <c r="A1313" s="2" t="n">
        <v>1309</v>
      </c>
      <c r="B1313" s="13" t="n">
        <f aca="false">SMALL(Datos!$D$2:$D$1501,A1313)</f>
        <v>166.71376498226</v>
      </c>
      <c r="C1313" s="21" t="n">
        <f aca="false">(Config!$B$11-A1313+1)/Config!$B$11</f>
        <v>0.128</v>
      </c>
    </row>
    <row r="1314" customFormat="false" ht="15" hidden="false" customHeight="false" outlineLevel="0" collapsed="false">
      <c r="A1314" s="2" t="n">
        <v>1310</v>
      </c>
      <c r="B1314" s="13" t="n">
        <f aca="false">SMALL(Datos!$D$2:$D$1501,A1314)</f>
        <v>166.720901090683</v>
      </c>
      <c r="C1314" s="21" t="n">
        <f aca="false">(Config!$B$11-A1314+1)/Config!$B$11</f>
        <v>0.127333333333333</v>
      </c>
    </row>
    <row r="1315" customFormat="false" ht="15" hidden="false" customHeight="false" outlineLevel="0" collapsed="false">
      <c r="A1315" s="2" t="n">
        <v>1311</v>
      </c>
      <c r="B1315" s="13" t="n">
        <f aca="false">SMALL(Datos!$D$2:$D$1501,A1315)</f>
        <v>166.731605253318</v>
      </c>
      <c r="C1315" s="21" t="n">
        <f aca="false">(Config!$B$11-A1315+1)/Config!$B$11</f>
        <v>0.126666666666667</v>
      </c>
    </row>
    <row r="1316" customFormat="false" ht="15" hidden="false" customHeight="false" outlineLevel="0" collapsed="false">
      <c r="A1316" s="2" t="n">
        <v>1312</v>
      </c>
      <c r="B1316" s="13" t="n">
        <f aca="false">SMALL(Datos!$D$2:$D$1501,A1316)</f>
        <v>166.756581632799</v>
      </c>
      <c r="C1316" s="21" t="n">
        <f aca="false">(Config!$B$11-A1316+1)/Config!$B$11</f>
        <v>0.126</v>
      </c>
    </row>
    <row r="1317" customFormat="false" ht="15" hidden="false" customHeight="false" outlineLevel="0" collapsed="false">
      <c r="A1317" s="2" t="n">
        <v>1313</v>
      </c>
      <c r="B1317" s="13" t="n">
        <f aca="false">SMALL(Datos!$D$2:$D$1501,A1317)</f>
        <v>166.763717741222</v>
      </c>
      <c r="C1317" s="21" t="n">
        <f aca="false">(Config!$B$11-A1317+1)/Config!$B$11</f>
        <v>0.125333333333333</v>
      </c>
    </row>
    <row r="1318" customFormat="false" ht="15" hidden="false" customHeight="false" outlineLevel="0" collapsed="false">
      <c r="A1318" s="2" t="n">
        <v>1314</v>
      </c>
      <c r="B1318" s="13" t="n">
        <f aca="false">SMALL(Datos!$D$2:$D$1501,A1318)</f>
        <v>166.788694120703</v>
      </c>
      <c r="C1318" s="21" t="n">
        <f aca="false">(Config!$B$11-A1318+1)/Config!$B$11</f>
        <v>0.124666666666667</v>
      </c>
    </row>
    <row r="1319" customFormat="false" ht="15" hidden="false" customHeight="false" outlineLevel="0" collapsed="false">
      <c r="A1319" s="2" t="n">
        <v>1315</v>
      </c>
      <c r="B1319" s="13" t="n">
        <f aca="false">SMALL(Datos!$D$2:$D$1501,A1319)</f>
        <v>166.788694120703</v>
      </c>
      <c r="C1319" s="21" t="n">
        <f aca="false">(Config!$B$11-A1319+1)/Config!$B$11</f>
        <v>0.124</v>
      </c>
    </row>
    <row r="1320" customFormat="false" ht="15" hidden="false" customHeight="false" outlineLevel="0" collapsed="false">
      <c r="A1320" s="2" t="n">
        <v>1316</v>
      </c>
      <c r="B1320" s="13" t="n">
        <f aca="false">SMALL(Datos!$D$2:$D$1501,A1320)</f>
        <v>166.806534391761</v>
      </c>
      <c r="C1320" s="21" t="n">
        <f aca="false">(Config!$B$11-A1320+1)/Config!$B$11</f>
        <v>0.123333333333333</v>
      </c>
    </row>
    <row r="1321" customFormat="false" ht="15" hidden="false" customHeight="false" outlineLevel="0" collapsed="false">
      <c r="A1321" s="2" t="n">
        <v>1317</v>
      </c>
      <c r="B1321" s="13" t="n">
        <f aca="false">SMALL(Datos!$D$2:$D$1501,A1321)</f>
        <v>166.860055204935</v>
      </c>
      <c r="C1321" s="21" t="n">
        <f aca="false">(Config!$B$11-A1321+1)/Config!$B$11</f>
        <v>0.122666666666667</v>
      </c>
    </row>
    <row r="1322" customFormat="false" ht="15" hidden="false" customHeight="false" outlineLevel="0" collapsed="false">
      <c r="A1322" s="2" t="n">
        <v>1318</v>
      </c>
      <c r="B1322" s="13" t="n">
        <f aca="false">SMALL(Datos!$D$2:$D$1501,A1322)</f>
        <v>166.860055204935</v>
      </c>
      <c r="C1322" s="21" t="n">
        <f aca="false">(Config!$B$11-A1322+1)/Config!$B$11</f>
        <v>0.122</v>
      </c>
    </row>
    <row r="1323" customFormat="false" ht="15" hidden="false" customHeight="false" outlineLevel="0" collapsed="false">
      <c r="A1323" s="2" t="n">
        <v>1319</v>
      </c>
      <c r="B1323" s="13" t="n">
        <f aca="false">SMALL(Datos!$D$2:$D$1501,A1323)</f>
        <v>166.87075936757</v>
      </c>
      <c r="C1323" s="21" t="n">
        <f aca="false">(Config!$B$11-A1323+1)/Config!$B$11</f>
        <v>0.121333333333333</v>
      </c>
    </row>
    <row r="1324" customFormat="false" ht="15" hidden="false" customHeight="false" outlineLevel="0" collapsed="false">
      <c r="A1324" s="2" t="n">
        <v>1320</v>
      </c>
      <c r="B1324" s="13" t="n">
        <f aca="false">SMALL(Datos!$D$2:$D$1501,A1324)</f>
        <v>166.877895475993</v>
      </c>
      <c r="C1324" s="21" t="n">
        <f aca="false">(Config!$B$11-A1324+1)/Config!$B$11</f>
        <v>0.120666666666667</v>
      </c>
    </row>
    <row r="1325" customFormat="false" ht="15" hidden="false" customHeight="false" outlineLevel="0" collapsed="false">
      <c r="A1325" s="2" t="n">
        <v>1321</v>
      </c>
      <c r="B1325" s="13" t="n">
        <f aca="false">SMALL(Datos!$D$2:$D$1501,A1325)</f>
        <v>166.945688506013</v>
      </c>
      <c r="C1325" s="21" t="n">
        <f aca="false">(Config!$B$11-A1325+1)/Config!$B$11</f>
        <v>0.12</v>
      </c>
    </row>
    <row r="1326" customFormat="false" ht="15" hidden="false" customHeight="false" outlineLevel="0" collapsed="false">
      <c r="A1326" s="2" t="n">
        <v>1322</v>
      </c>
      <c r="B1326" s="13" t="n">
        <f aca="false">SMALL(Datos!$D$2:$D$1501,A1326)</f>
        <v>166.949256560225</v>
      </c>
      <c r="C1326" s="21" t="n">
        <f aca="false">(Config!$B$11-A1326+1)/Config!$B$11</f>
        <v>0.119333333333333</v>
      </c>
    </row>
    <row r="1327" customFormat="false" ht="15" hidden="false" customHeight="false" outlineLevel="0" collapsed="false">
      <c r="A1327" s="2" t="n">
        <v>1323</v>
      </c>
      <c r="B1327" s="13" t="n">
        <f aca="false">SMALL(Datos!$D$2:$D$1501,A1327)</f>
        <v>166.992073210764</v>
      </c>
      <c r="C1327" s="21" t="n">
        <f aca="false">(Config!$B$11-A1327+1)/Config!$B$11</f>
        <v>0.118666666666667</v>
      </c>
    </row>
    <row r="1328" customFormat="false" ht="15" hidden="false" customHeight="false" outlineLevel="0" collapsed="false">
      <c r="A1328" s="2" t="n">
        <v>1324</v>
      </c>
      <c r="B1328" s="13" t="n">
        <f aca="false">SMALL(Datos!$D$2:$D$1501,A1328)</f>
        <v>167.00634542761</v>
      </c>
      <c r="C1328" s="21" t="n">
        <f aca="false">(Config!$B$11-A1328+1)/Config!$B$11</f>
        <v>0.118</v>
      </c>
    </row>
    <row r="1329" customFormat="false" ht="15" hidden="false" customHeight="false" outlineLevel="0" collapsed="false">
      <c r="A1329" s="2" t="n">
        <v>1325</v>
      </c>
      <c r="B1329" s="13" t="n">
        <f aca="false">SMALL(Datos!$D$2:$D$1501,A1329)</f>
        <v>167.017049590245</v>
      </c>
      <c r="C1329" s="21" t="n">
        <f aca="false">(Config!$B$11-A1329+1)/Config!$B$11</f>
        <v>0.117333333333333</v>
      </c>
    </row>
    <row r="1330" customFormat="false" ht="15" hidden="false" customHeight="false" outlineLevel="0" collapsed="false">
      <c r="A1330" s="2" t="n">
        <v>1326</v>
      </c>
      <c r="B1330" s="13" t="n">
        <f aca="false">SMALL(Datos!$D$2:$D$1501,A1330)</f>
        <v>167.020617644456</v>
      </c>
      <c r="C1330" s="21" t="n">
        <f aca="false">(Config!$B$11-A1330+1)/Config!$B$11</f>
        <v>0.116666666666667</v>
      </c>
    </row>
    <row r="1331" customFormat="false" ht="15" hidden="false" customHeight="false" outlineLevel="0" collapsed="false">
      <c r="A1331" s="2" t="n">
        <v>1327</v>
      </c>
      <c r="B1331" s="13" t="n">
        <f aca="false">SMALL(Datos!$D$2:$D$1501,A1331)</f>
        <v>167.042025969726</v>
      </c>
      <c r="C1331" s="21" t="n">
        <f aca="false">(Config!$B$11-A1331+1)/Config!$B$11</f>
        <v>0.116</v>
      </c>
    </row>
    <row r="1332" customFormat="false" ht="15" hidden="false" customHeight="false" outlineLevel="0" collapsed="false">
      <c r="A1332" s="2" t="n">
        <v>1328</v>
      </c>
      <c r="B1332" s="13" t="n">
        <f aca="false">SMALL(Datos!$D$2:$D$1501,A1332)</f>
        <v>167.042025969726</v>
      </c>
      <c r="C1332" s="21" t="n">
        <f aca="false">(Config!$B$11-A1332+1)/Config!$B$11</f>
        <v>0.115333333333333</v>
      </c>
    </row>
    <row r="1333" customFormat="false" ht="15" hidden="false" customHeight="false" outlineLevel="0" collapsed="false">
      <c r="A1333" s="2" t="n">
        <v>1329</v>
      </c>
      <c r="B1333" s="13" t="n">
        <f aca="false">SMALL(Datos!$D$2:$D$1501,A1333)</f>
        <v>167.056298186572</v>
      </c>
      <c r="C1333" s="21" t="n">
        <f aca="false">(Config!$B$11-A1333+1)/Config!$B$11</f>
        <v>0.114666666666667</v>
      </c>
    </row>
    <row r="1334" customFormat="false" ht="15" hidden="false" customHeight="false" outlineLevel="0" collapsed="false">
      <c r="A1334" s="2" t="n">
        <v>1330</v>
      </c>
      <c r="B1334" s="13" t="n">
        <f aca="false">SMALL(Datos!$D$2:$D$1501,A1334)</f>
        <v>167.070570403419</v>
      </c>
      <c r="C1334" s="21" t="n">
        <f aca="false">(Config!$B$11-A1334+1)/Config!$B$11</f>
        <v>0.114</v>
      </c>
    </row>
    <row r="1335" customFormat="false" ht="15" hidden="false" customHeight="false" outlineLevel="0" collapsed="false">
      <c r="A1335" s="2" t="n">
        <v>1331</v>
      </c>
      <c r="B1335" s="13" t="n">
        <f aca="false">SMALL(Datos!$D$2:$D$1501,A1335)</f>
        <v>167.081274566053</v>
      </c>
      <c r="C1335" s="21" t="n">
        <f aca="false">(Config!$B$11-A1335+1)/Config!$B$11</f>
        <v>0.113333333333333</v>
      </c>
    </row>
    <row r="1336" customFormat="false" ht="15" hidden="false" customHeight="false" outlineLevel="0" collapsed="false">
      <c r="A1336" s="2" t="n">
        <v>1332</v>
      </c>
      <c r="B1336" s="13" t="n">
        <f aca="false">SMALL(Datos!$D$2:$D$1501,A1336)</f>
        <v>167.088410674476</v>
      </c>
      <c r="C1336" s="21" t="n">
        <f aca="false">(Config!$B$11-A1336+1)/Config!$B$11</f>
        <v>0.112666666666667</v>
      </c>
    </row>
    <row r="1337" customFormat="false" ht="15" hidden="false" customHeight="false" outlineLevel="0" collapsed="false">
      <c r="A1337" s="2" t="n">
        <v>1333</v>
      </c>
      <c r="B1337" s="13" t="n">
        <f aca="false">SMALL(Datos!$D$2:$D$1501,A1337)</f>
        <v>167.102682891323</v>
      </c>
      <c r="C1337" s="21" t="n">
        <f aca="false">(Config!$B$11-A1337+1)/Config!$B$11</f>
        <v>0.112</v>
      </c>
    </row>
    <row r="1338" customFormat="false" ht="15" hidden="false" customHeight="false" outlineLevel="0" collapsed="false">
      <c r="A1338" s="2" t="n">
        <v>1334</v>
      </c>
      <c r="B1338" s="13" t="n">
        <f aca="false">SMALL(Datos!$D$2:$D$1501,A1338)</f>
        <v>167.116955108169</v>
      </c>
      <c r="C1338" s="21" t="n">
        <f aca="false">(Config!$B$11-A1338+1)/Config!$B$11</f>
        <v>0.111333333333333</v>
      </c>
    </row>
    <row r="1339" customFormat="false" ht="15" hidden="false" customHeight="false" outlineLevel="0" collapsed="false">
      <c r="A1339" s="2" t="n">
        <v>1335</v>
      </c>
      <c r="B1339" s="13" t="n">
        <f aca="false">SMALL(Datos!$D$2:$D$1501,A1339)</f>
        <v>167.120523162381</v>
      </c>
      <c r="C1339" s="21" t="n">
        <f aca="false">(Config!$B$11-A1339+1)/Config!$B$11</f>
        <v>0.110666666666667</v>
      </c>
    </row>
    <row r="1340" customFormat="false" ht="15" hidden="false" customHeight="false" outlineLevel="0" collapsed="false">
      <c r="A1340" s="2" t="n">
        <v>1336</v>
      </c>
      <c r="B1340" s="13" t="n">
        <f aca="false">SMALL(Datos!$D$2:$D$1501,A1340)</f>
        <v>167.124091216592</v>
      </c>
      <c r="C1340" s="21" t="n">
        <f aca="false">(Config!$B$11-A1340+1)/Config!$B$11</f>
        <v>0.11</v>
      </c>
    </row>
    <row r="1341" customFormat="false" ht="15" hidden="false" customHeight="false" outlineLevel="0" collapsed="false">
      <c r="A1341" s="2" t="n">
        <v>1337</v>
      </c>
      <c r="B1341" s="13" t="n">
        <f aca="false">SMALL(Datos!$D$2:$D$1501,A1341)</f>
        <v>167.124091216592</v>
      </c>
      <c r="C1341" s="21" t="n">
        <f aca="false">(Config!$B$11-A1341+1)/Config!$B$11</f>
        <v>0.109333333333333</v>
      </c>
    </row>
    <row r="1342" customFormat="false" ht="15" hidden="false" customHeight="false" outlineLevel="0" collapsed="false">
      <c r="A1342" s="2" t="n">
        <v>1338</v>
      </c>
      <c r="B1342" s="13" t="n">
        <f aca="false">SMALL(Datos!$D$2:$D$1501,A1342)</f>
        <v>167.14193148765</v>
      </c>
      <c r="C1342" s="21" t="n">
        <f aca="false">(Config!$B$11-A1342+1)/Config!$B$11</f>
        <v>0.108666666666667</v>
      </c>
    </row>
    <row r="1343" customFormat="false" ht="15" hidden="false" customHeight="false" outlineLevel="0" collapsed="false">
      <c r="A1343" s="2" t="n">
        <v>1339</v>
      </c>
      <c r="B1343" s="13" t="n">
        <f aca="false">SMALL(Datos!$D$2:$D$1501,A1343)</f>
        <v>167.184748138189</v>
      </c>
      <c r="C1343" s="21" t="n">
        <f aca="false">(Config!$B$11-A1343+1)/Config!$B$11</f>
        <v>0.108</v>
      </c>
    </row>
    <row r="1344" customFormat="false" ht="15" hidden="false" customHeight="false" outlineLevel="0" collapsed="false">
      <c r="A1344" s="2" t="n">
        <v>1340</v>
      </c>
      <c r="B1344" s="13" t="n">
        <f aca="false">SMALL(Datos!$D$2:$D$1501,A1344)</f>
        <v>167.238268951363</v>
      </c>
      <c r="C1344" s="21" t="n">
        <f aca="false">(Config!$B$11-A1344+1)/Config!$B$11</f>
        <v>0.107333333333333</v>
      </c>
    </row>
    <row r="1345" customFormat="false" ht="15" hidden="false" customHeight="false" outlineLevel="0" collapsed="false">
      <c r="A1345" s="2" t="n">
        <v>1341</v>
      </c>
      <c r="B1345" s="13" t="n">
        <f aca="false">SMALL(Datos!$D$2:$D$1501,A1345)</f>
        <v>167.259677276633</v>
      </c>
      <c r="C1345" s="21" t="n">
        <f aca="false">(Config!$B$11-A1345+1)/Config!$B$11</f>
        <v>0.106666666666667</v>
      </c>
    </row>
    <row r="1346" customFormat="false" ht="15" hidden="false" customHeight="false" outlineLevel="0" collapsed="false">
      <c r="A1346" s="2" t="n">
        <v>1342</v>
      </c>
      <c r="B1346" s="13" t="n">
        <f aca="false">SMALL(Datos!$D$2:$D$1501,A1346)</f>
        <v>167.259677276633</v>
      </c>
      <c r="C1346" s="21" t="n">
        <f aca="false">(Config!$B$11-A1346+1)/Config!$B$11</f>
        <v>0.106</v>
      </c>
    </row>
    <row r="1347" customFormat="false" ht="15" hidden="false" customHeight="false" outlineLevel="0" collapsed="false">
      <c r="A1347" s="2" t="n">
        <v>1343</v>
      </c>
      <c r="B1347" s="13" t="n">
        <f aca="false">SMALL(Datos!$D$2:$D$1501,A1347)</f>
        <v>167.281085601902</v>
      </c>
      <c r="C1347" s="21" t="n">
        <f aca="false">(Config!$B$11-A1347+1)/Config!$B$11</f>
        <v>0.105333333333333</v>
      </c>
    </row>
    <row r="1348" customFormat="false" ht="15" hidden="false" customHeight="false" outlineLevel="0" collapsed="false">
      <c r="A1348" s="2" t="n">
        <v>1344</v>
      </c>
      <c r="B1348" s="13" t="n">
        <f aca="false">SMALL(Datos!$D$2:$D$1501,A1348)</f>
        <v>167.284653656114</v>
      </c>
      <c r="C1348" s="21" t="n">
        <f aca="false">(Config!$B$11-A1348+1)/Config!$B$11</f>
        <v>0.104666666666667</v>
      </c>
    </row>
    <row r="1349" customFormat="false" ht="15" hidden="false" customHeight="false" outlineLevel="0" collapsed="false">
      <c r="A1349" s="2" t="n">
        <v>1345</v>
      </c>
      <c r="B1349" s="13" t="n">
        <f aca="false">SMALL(Datos!$D$2:$D$1501,A1349)</f>
        <v>167.284653656114</v>
      </c>
      <c r="C1349" s="21" t="n">
        <f aca="false">(Config!$B$11-A1349+1)/Config!$B$11</f>
        <v>0.104</v>
      </c>
    </row>
    <row r="1350" customFormat="false" ht="15" hidden="false" customHeight="false" outlineLevel="0" collapsed="false">
      <c r="A1350" s="2" t="n">
        <v>1346</v>
      </c>
      <c r="B1350" s="13" t="n">
        <f aca="false">SMALL(Datos!$D$2:$D$1501,A1350)</f>
        <v>167.302493927172</v>
      </c>
      <c r="C1350" s="21" t="n">
        <f aca="false">(Config!$B$11-A1350+1)/Config!$B$11</f>
        <v>0.103333333333333</v>
      </c>
    </row>
    <row r="1351" customFormat="false" ht="15" hidden="false" customHeight="false" outlineLevel="0" collapsed="false">
      <c r="A1351" s="2" t="n">
        <v>1347</v>
      </c>
      <c r="B1351" s="13" t="n">
        <f aca="false">SMALL(Datos!$D$2:$D$1501,A1351)</f>
        <v>167.306061981383</v>
      </c>
      <c r="C1351" s="21" t="n">
        <f aca="false">(Config!$B$11-A1351+1)/Config!$B$11</f>
        <v>0.102666666666667</v>
      </c>
    </row>
    <row r="1352" customFormat="false" ht="15" hidden="false" customHeight="false" outlineLevel="0" collapsed="false">
      <c r="A1352" s="2" t="n">
        <v>1348</v>
      </c>
      <c r="B1352" s="13" t="n">
        <f aca="false">SMALL(Datos!$D$2:$D$1501,A1352)</f>
        <v>167.306061981383</v>
      </c>
      <c r="C1352" s="21" t="n">
        <f aca="false">(Config!$B$11-A1352+1)/Config!$B$11</f>
        <v>0.102</v>
      </c>
    </row>
    <row r="1353" customFormat="false" ht="15" hidden="false" customHeight="false" outlineLevel="0" collapsed="false">
      <c r="A1353" s="2" t="n">
        <v>1349</v>
      </c>
      <c r="B1353" s="13" t="n">
        <f aca="false">SMALL(Datos!$D$2:$D$1501,A1353)</f>
        <v>167.338174469288</v>
      </c>
      <c r="C1353" s="21" t="n">
        <f aca="false">(Config!$B$11-A1353+1)/Config!$B$11</f>
        <v>0.101333333333333</v>
      </c>
    </row>
    <row r="1354" customFormat="false" ht="15" hidden="false" customHeight="false" outlineLevel="0" collapsed="false">
      <c r="A1354" s="2" t="n">
        <v>1350</v>
      </c>
      <c r="B1354" s="13" t="n">
        <f aca="false">SMALL(Datos!$D$2:$D$1501,A1354)</f>
        <v>167.38812722825</v>
      </c>
      <c r="C1354" s="21" t="n">
        <f aca="false">(Config!$B$11-A1354+1)/Config!$B$11</f>
        <v>0.100666666666667</v>
      </c>
    </row>
    <row r="1355" customFormat="false" ht="15" hidden="false" customHeight="false" outlineLevel="0" collapsed="false">
      <c r="A1355" s="2" t="n">
        <v>1351</v>
      </c>
      <c r="B1355" s="13" t="n">
        <f aca="false">SMALL(Datos!$D$2:$D$1501,A1355)</f>
        <v>167.391695282461</v>
      </c>
      <c r="C1355" s="21" t="n">
        <f aca="false">(Config!$B$11-A1355+1)/Config!$B$11</f>
        <v>0.1</v>
      </c>
    </row>
    <row r="1356" customFormat="false" ht="15" hidden="false" customHeight="false" outlineLevel="0" collapsed="false">
      <c r="A1356" s="2" t="n">
        <v>1352</v>
      </c>
      <c r="B1356" s="13" t="n">
        <f aca="false">SMALL(Datos!$D$2:$D$1501,A1356)</f>
        <v>167.402399445096</v>
      </c>
      <c r="C1356" s="21" t="n">
        <f aca="false">(Config!$B$11-A1356+1)/Config!$B$11</f>
        <v>0.0993333333333333</v>
      </c>
    </row>
    <row r="1357" customFormat="false" ht="15" hidden="false" customHeight="false" outlineLevel="0" collapsed="false">
      <c r="A1357" s="2" t="n">
        <v>1353</v>
      </c>
      <c r="B1357" s="13" t="n">
        <f aca="false">SMALL(Datos!$D$2:$D$1501,A1357)</f>
        <v>167.405967499308</v>
      </c>
      <c r="C1357" s="21" t="n">
        <f aca="false">(Config!$B$11-A1357+1)/Config!$B$11</f>
        <v>0.0986666666666667</v>
      </c>
    </row>
    <row r="1358" customFormat="false" ht="15" hidden="false" customHeight="false" outlineLevel="0" collapsed="false">
      <c r="A1358" s="2" t="n">
        <v>1354</v>
      </c>
      <c r="B1358" s="13" t="n">
        <f aca="false">SMALL(Datos!$D$2:$D$1501,A1358)</f>
        <v>167.438079987212</v>
      </c>
      <c r="C1358" s="21" t="n">
        <f aca="false">(Config!$B$11-A1358+1)/Config!$B$11</f>
        <v>0.098</v>
      </c>
    </row>
    <row r="1359" customFormat="false" ht="15" hidden="false" customHeight="false" outlineLevel="0" collapsed="false">
      <c r="A1359" s="2" t="n">
        <v>1355</v>
      </c>
      <c r="B1359" s="13" t="n">
        <f aca="false">SMALL(Datos!$D$2:$D$1501,A1359)</f>
        <v>167.452352204058</v>
      </c>
      <c r="C1359" s="21" t="n">
        <f aca="false">(Config!$B$11-A1359+1)/Config!$B$11</f>
        <v>0.0973333333333333</v>
      </c>
    </row>
    <row r="1360" customFormat="false" ht="15" hidden="false" customHeight="false" outlineLevel="0" collapsed="false">
      <c r="A1360" s="2" t="n">
        <v>1356</v>
      </c>
      <c r="B1360" s="13" t="n">
        <f aca="false">SMALL(Datos!$D$2:$D$1501,A1360)</f>
        <v>167.459488312482</v>
      </c>
      <c r="C1360" s="21" t="n">
        <f aca="false">(Config!$B$11-A1360+1)/Config!$B$11</f>
        <v>0.0966666666666667</v>
      </c>
    </row>
    <row r="1361" customFormat="false" ht="15" hidden="false" customHeight="false" outlineLevel="0" collapsed="false">
      <c r="A1361" s="2" t="n">
        <v>1357</v>
      </c>
      <c r="B1361" s="13" t="n">
        <f aca="false">SMALL(Datos!$D$2:$D$1501,A1361)</f>
        <v>167.484464691963</v>
      </c>
      <c r="C1361" s="21" t="n">
        <f aca="false">(Config!$B$11-A1361+1)/Config!$B$11</f>
        <v>0.096</v>
      </c>
    </row>
    <row r="1362" customFormat="false" ht="15" hidden="false" customHeight="false" outlineLevel="0" collapsed="false">
      <c r="A1362" s="2" t="n">
        <v>1358</v>
      </c>
      <c r="B1362" s="13" t="n">
        <f aca="false">SMALL(Datos!$D$2:$D$1501,A1362)</f>
        <v>167.584370209887</v>
      </c>
      <c r="C1362" s="21" t="n">
        <f aca="false">(Config!$B$11-A1362+1)/Config!$B$11</f>
        <v>0.0953333333333333</v>
      </c>
    </row>
    <row r="1363" customFormat="false" ht="15" hidden="false" customHeight="false" outlineLevel="0" collapsed="false">
      <c r="A1363" s="2" t="n">
        <v>1359</v>
      </c>
      <c r="B1363" s="13" t="n">
        <f aca="false">SMALL(Datos!$D$2:$D$1501,A1363)</f>
        <v>167.630754914638</v>
      </c>
      <c r="C1363" s="21" t="n">
        <f aca="false">(Config!$B$11-A1363+1)/Config!$B$11</f>
        <v>0.0946666666666667</v>
      </c>
    </row>
    <row r="1364" customFormat="false" ht="15" hidden="false" customHeight="false" outlineLevel="0" collapsed="false">
      <c r="A1364" s="2" t="n">
        <v>1360</v>
      </c>
      <c r="B1364" s="13" t="n">
        <f aca="false">SMALL(Datos!$D$2:$D$1501,A1364)</f>
        <v>167.63432296885</v>
      </c>
      <c r="C1364" s="21" t="n">
        <f aca="false">(Config!$B$11-A1364+1)/Config!$B$11</f>
        <v>0.094</v>
      </c>
    </row>
    <row r="1365" customFormat="false" ht="15" hidden="false" customHeight="false" outlineLevel="0" collapsed="false">
      <c r="A1365" s="2" t="n">
        <v>1361</v>
      </c>
      <c r="B1365" s="13" t="n">
        <f aca="false">SMALL(Datos!$D$2:$D$1501,A1365)</f>
        <v>167.637891023061</v>
      </c>
      <c r="C1365" s="21" t="n">
        <f aca="false">(Config!$B$11-A1365+1)/Config!$B$11</f>
        <v>0.0933333333333333</v>
      </c>
    </row>
    <row r="1366" customFormat="false" ht="15" hidden="false" customHeight="false" outlineLevel="0" collapsed="false">
      <c r="A1366" s="2" t="n">
        <v>1362</v>
      </c>
      <c r="B1366" s="13" t="n">
        <f aca="false">SMALL(Datos!$D$2:$D$1501,A1366)</f>
        <v>167.645027131484</v>
      </c>
      <c r="C1366" s="21" t="n">
        <f aca="false">(Config!$B$11-A1366+1)/Config!$B$11</f>
        <v>0.0926666666666667</v>
      </c>
    </row>
    <row r="1367" customFormat="false" ht="15" hidden="false" customHeight="false" outlineLevel="0" collapsed="false">
      <c r="A1367" s="2" t="n">
        <v>1363</v>
      </c>
      <c r="B1367" s="13" t="n">
        <f aca="false">SMALL(Datos!$D$2:$D$1501,A1367)</f>
        <v>167.691411836235</v>
      </c>
      <c r="C1367" s="21" t="n">
        <f aca="false">(Config!$B$11-A1367+1)/Config!$B$11</f>
        <v>0.092</v>
      </c>
    </row>
    <row r="1368" customFormat="false" ht="15" hidden="false" customHeight="false" outlineLevel="0" collapsed="false">
      <c r="A1368" s="2" t="n">
        <v>1364</v>
      </c>
      <c r="B1368" s="13" t="n">
        <f aca="false">SMALL(Datos!$D$2:$D$1501,A1368)</f>
        <v>167.70211599887</v>
      </c>
      <c r="C1368" s="21" t="n">
        <f aca="false">(Config!$B$11-A1368+1)/Config!$B$11</f>
        <v>0.0913333333333333</v>
      </c>
    </row>
    <row r="1369" customFormat="false" ht="15" hidden="false" customHeight="false" outlineLevel="0" collapsed="false">
      <c r="A1369" s="2" t="n">
        <v>1365</v>
      </c>
      <c r="B1369" s="13" t="n">
        <f aca="false">SMALL(Datos!$D$2:$D$1501,A1369)</f>
        <v>167.719956269928</v>
      </c>
      <c r="C1369" s="21" t="n">
        <f aca="false">(Config!$B$11-A1369+1)/Config!$B$11</f>
        <v>0.0906666666666667</v>
      </c>
    </row>
    <row r="1370" customFormat="false" ht="15" hidden="false" customHeight="false" outlineLevel="0" collapsed="false">
      <c r="A1370" s="2" t="n">
        <v>1366</v>
      </c>
      <c r="B1370" s="13" t="n">
        <f aca="false">SMALL(Datos!$D$2:$D$1501,A1370)</f>
        <v>167.727092378351</v>
      </c>
      <c r="C1370" s="21" t="n">
        <f aca="false">(Config!$B$11-A1370+1)/Config!$B$11</f>
        <v>0.09</v>
      </c>
    </row>
    <row r="1371" customFormat="false" ht="15" hidden="false" customHeight="false" outlineLevel="0" collapsed="false">
      <c r="A1371" s="2" t="n">
        <v>1367</v>
      </c>
      <c r="B1371" s="13" t="n">
        <f aca="false">SMALL(Datos!$D$2:$D$1501,A1371)</f>
        <v>167.737796540986</v>
      </c>
      <c r="C1371" s="21" t="n">
        <f aca="false">(Config!$B$11-A1371+1)/Config!$B$11</f>
        <v>0.0893333333333333</v>
      </c>
    </row>
    <row r="1372" customFormat="false" ht="15" hidden="false" customHeight="false" outlineLevel="0" collapsed="false">
      <c r="A1372" s="2" t="n">
        <v>1368</v>
      </c>
      <c r="B1372" s="13" t="n">
        <f aca="false">SMALL(Datos!$D$2:$D$1501,A1372)</f>
        <v>167.741364595197</v>
      </c>
      <c r="C1372" s="21" t="n">
        <f aca="false">(Config!$B$11-A1372+1)/Config!$B$11</f>
        <v>0.0886666666666667</v>
      </c>
    </row>
    <row r="1373" customFormat="false" ht="15" hidden="false" customHeight="false" outlineLevel="0" collapsed="false">
      <c r="A1373" s="2" t="n">
        <v>1369</v>
      </c>
      <c r="B1373" s="13" t="n">
        <f aca="false">SMALL(Datos!$D$2:$D$1501,A1373)</f>
        <v>167.876950655238</v>
      </c>
      <c r="C1373" s="21" t="n">
        <f aca="false">(Config!$B$11-A1373+1)/Config!$B$11</f>
        <v>0.088</v>
      </c>
    </row>
    <row r="1374" customFormat="false" ht="15" hidden="false" customHeight="false" outlineLevel="0" collapsed="false">
      <c r="A1374" s="2" t="n">
        <v>1370</v>
      </c>
      <c r="B1374" s="13" t="n">
        <f aca="false">SMALL(Datos!$D$2:$D$1501,A1374)</f>
        <v>167.880518709449</v>
      </c>
      <c r="C1374" s="21" t="n">
        <f aca="false">(Config!$B$11-A1374+1)/Config!$B$11</f>
        <v>0.0873333333333333</v>
      </c>
    </row>
    <row r="1375" customFormat="false" ht="15" hidden="false" customHeight="false" outlineLevel="0" collapsed="false">
      <c r="A1375" s="2" t="n">
        <v>1371</v>
      </c>
      <c r="B1375" s="13" t="n">
        <f aca="false">SMALL(Datos!$D$2:$D$1501,A1375)</f>
        <v>167.912631197353</v>
      </c>
      <c r="C1375" s="21" t="n">
        <f aca="false">(Config!$B$11-A1375+1)/Config!$B$11</f>
        <v>0.0866666666666667</v>
      </c>
    </row>
    <row r="1376" customFormat="false" ht="15" hidden="false" customHeight="false" outlineLevel="0" collapsed="false">
      <c r="A1376" s="2" t="n">
        <v>1372</v>
      </c>
      <c r="B1376" s="13" t="n">
        <f aca="false">SMALL(Datos!$D$2:$D$1501,A1376)</f>
        <v>167.923335359988</v>
      </c>
      <c r="C1376" s="21" t="n">
        <f aca="false">(Config!$B$11-A1376+1)/Config!$B$11</f>
        <v>0.086</v>
      </c>
    </row>
    <row r="1377" customFormat="false" ht="15" hidden="false" customHeight="false" outlineLevel="0" collapsed="false">
      <c r="A1377" s="2" t="n">
        <v>1373</v>
      </c>
      <c r="B1377" s="13" t="n">
        <f aca="false">SMALL(Datos!$D$2:$D$1501,A1377)</f>
        <v>167.969720064739</v>
      </c>
      <c r="C1377" s="21" t="n">
        <f aca="false">(Config!$B$11-A1377+1)/Config!$B$11</f>
        <v>0.0853333333333333</v>
      </c>
    </row>
    <row r="1378" customFormat="false" ht="15" hidden="false" customHeight="false" outlineLevel="0" collapsed="false">
      <c r="A1378" s="2" t="n">
        <v>1374</v>
      </c>
      <c r="B1378" s="13" t="n">
        <f aca="false">SMALL(Datos!$D$2:$D$1501,A1378)</f>
        <v>167.97328811895</v>
      </c>
      <c r="C1378" s="21" t="n">
        <f aca="false">(Config!$B$11-A1378+1)/Config!$B$11</f>
        <v>0.0846666666666667</v>
      </c>
    </row>
    <row r="1379" customFormat="false" ht="15" hidden="false" customHeight="false" outlineLevel="0" collapsed="false">
      <c r="A1379" s="2" t="n">
        <v>1375</v>
      </c>
      <c r="B1379" s="13" t="n">
        <f aca="false">SMALL(Datos!$D$2:$D$1501,A1379)</f>
        <v>168.023240877913</v>
      </c>
      <c r="C1379" s="21" t="n">
        <f aca="false">(Config!$B$11-A1379+1)/Config!$B$11</f>
        <v>0.084</v>
      </c>
    </row>
    <row r="1380" customFormat="false" ht="15" hidden="false" customHeight="false" outlineLevel="0" collapsed="false">
      <c r="A1380" s="2" t="n">
        <v>1376</v>
      </c>
      <c r="B1380" s="13" t="n">
        <f aca="false">SMALL(Datos!$D$2:$D$1501,A1380)</f>
        <v>168.026808932124</v>
      </c>
      <c r="C1380" s="21" t="n">
        <f aca="false">(Config!$B$11-A1380+1)/Config!$B$11</f>
        <v>0.0833333333333333</v>
      </c>
    </row>
    <row r="1381" customFormat="false" ht="15" hidden="false" customHeight="false" outlineLevel="0" collapsed="false">
      <c r="A1381" s="2" t="n">
        <v>1377</v>
      </c>
      <c r="B1381" s="13" t="n">
        <f aca="false">SMALL(Datos!$D$2:$D$1501,A1381)</f>
        <v>168.041081148971</v>
      </c>
      <c r="C1381" s="21" t="n">
        <f aca="false">(Config!$B$11-A1381+1)/Config!$B$11</f>
        <v>0.0826666666666667</v>
      </c>
    </row>
    <row r="1382" customFormat="false" ht="15" hidden="false" customHeight="false" outlineLevel="0" collapsed="false">
      <c r="A1382" s="2" t="n">
        <v>1378</v>
      </c>
      <c r="B1382" s="13" t="n">
        <f aca="false">SMALL(Datos!$D$2:$D$1501,A1382)</f>
        <v>168.051785311605</v>
      </c>
      <c r="C1382" s="21" t="n">
        <f aca="false">(Config!$B$11-A1382+1)/Config!$B$11</f>
        <v>0.082</v>
      </c>
    </row>
    <row r="1383" customFormat="false" ht="15" hidden="false" customHeight="false" outlineLevel="0" collapsed="false">
      <c r="A1383" s="2" t="n">
        <v>1379</v>
      </c>
      <c r="B1383" s="13" t="n">
        <f aca="false">SMALL(Datos!$D$2:$D$1501,A1383)</f>
        <v>168.119578341626</v>
      </c>
      <c r="C1383" s="21" t="n">
        <f aca="false">(Config!$B$11-A1383+1)/Config!$B$11</f>
        <v>0.0813333333333333</v>
      </c>
    </row>
    <row r="1384" customFormat="false" ht="15" hidden="false" customHeight="false" outlineLevel="0" collapsed="false">
      <c r="A1384" s="2" t="n">
        <v>1380</v>
      </c>
      <c r="B1384" s="13" t="n">
        <f aca="false">SMALL(Datos!$D$2:$D$1501,A1384)</f>
        <v>168.133850558472</v>
      </c>
      <c r="C1384" s="21" t="n">
        <f aca="false">(Config!$B$11-A1384+1)/Config!$B$11</f>
        <v>0.0806666666666667</v>
      </c>
    </row>
    <row r="1385" customFormat="false" ht="15" hidden="false" customHeight="false" outlineLevel="0" collapsed="false">
      <c r="A1385" s="2" t="n">
        <v>1381</v>
      </c>
      <c r="B1385" s="13" t="n">
        <f aca="false">SMALL(Datos!$D$2:$D$1501,A1385)</f>
        <v>168.140986666895</v>
      </c>
      <c r="C1385" s="21" t="n">
        <f aca="false">(Config!$B$11-A1385+1)/Config!$B$11</f>
        <v>0.08</v>
      </c>
    </row>
    <row r="1386" customFormat="false" ht="15" hidden="false" customHeight="false" outlineLevel="0" collapsed="false">
      <c r="A1386" s="2" t="n">
        <v>1382</v>
      </c>
      <c r="B1386" s="13" t="n">
        <f aca="false">SMALL(Datos!$D$2:$D$1501,A1386)</f>
        <v>168.176667209011</v>
      </c>
      <c r="C1386" s="21" t="n">
        <f aca="false">(Config!$B$11-A1386+1)/Config!$B$11</f>
        <v>0.0793333333333333</v>
      </c>
    </row>
    <row r="1387" customFormat="false" ht="15" hidden="false" customHeight="false" outlineLevel="0" collapsed="false">
      <c r="A1387" s="2" t="n">
        <v>1383</v>
      </c>
      <c r="B1387" s="13" t="n">
        <f aca="false">SMALL(Datos!$D$2:$D$1501,A1387)</f>
        <v>168.194507480069</v>
      </c>
      <c r="C1387" s="21" t="n">
        <f aca="false">(Config!$B$11-A1387+1)/Config!$B$11</f>
        <v>0.0786666666666667</v>
      </c>
    </row>
    <row r="1388" customFormat="false" ht="15" hidden="false" customHeight="false" outlineLevel="0" collapsed="false">
      <c r="A1388" s="2" t="n">
        <v>1384</v>
      </c>
      <c r="B1388" s="13" t="n">
        <f aca="false">SMALL(Datos!$D$2:$D$1501,A1388)</f>
        <v>168.223051913762</v>
      </c>
      <c r="C1388" s="21" t="n">
        <f aca="false">(Config!$B$11-A1388+1)/Config!$B$11</f>
        <v>0.078</v>
      </c>
    </row>
    <row r="1389" customFormat="false" ht="15" hidden="false" customHeight="false" outlineLevel="0" collapsed="false">
      <c r="A1389" s="2" t="n">
        <v>1385</v>
      </c>
      <c r="B1389" s="13" t="n">
        <f aca="false">SMALL(Datos!$D$2:$D$1501,A1389)</f>
        <v>168.28727688957</v>
      </c>
      <c r="C1389" s="21" t="n">
        <f aca="false">(Config!$B$11-A1389+1)/Config!$B$11</f>
        <v>0.0773333333333333</v>
      </c>
    </row>
    <row r="1390" customFormat="false" ht="15" hidden="false" customHeight="false" outlineLevel="0" collapsed="false">
      <c r="A1390" s="2" t="n">
        <v>1386</v>
      </c>
      <c r="B1390" s="13" t="n">
        <f aca="false">SMALL(Datos!$D$2:$D$1501,A1390)</f>
        <v>168.351501865379</v>
      </c>
      <c r="C1390" s="21" t="n">
        <f aca="false">(Config!$B$11-A1390+1)/Config!$B$11</f>
        <v>0.0766666666666667</v>
      </c>
    </row>
    <row r="1391" customFormat="false" ht="15" hidden="false" customHeight="false" outlineLevel="0" collapsed="false">
      <c r="A1391" s="2" t="n">
        <v>1387</v>
      </c>
      <c r="B1391" s="13" t="n">
        <f aca="false">SMALL(Datos!$D$2:$D$1501,A1391)</f>
        <v>168.37647824486</v>
      </c>
      <c r="C1391" s="21" t="n">
        <f aca="false">(Config!$B$11-A1391+1)/Config!$B$11</f>
        <v>0.076</v>
      </c>
    </row>
    <row r="1392" customFormat="false" ht="15" hidden="false" customHeight="false" outlineLevel="0" collapsed="false">
      <c r="A1392" s="2" t="n">
        <v>1388</v>
      </c>
      <c r="B1392" s="13" t="n">
        <f aca="false">SMALL(Datos!$D$2:$D$1501,A1392)</f>
        <v>168.437135166457</v>
      </c>
      <c r="C1392" s="21" t="n">
        <f aca="false">(Config!$B$11-A1392+1)/Config!$B$11</f>
        <v>0.0753333333333333</v>
      </c>
    </row>
    <row r="1393" customFormat="false" ht="15" hidden="false" customHeight="false" outlineLevel="0" collapsed="false">
      <c r="A1393" s="2" t="n">
        <v>1389</v>
      </c>
      <c r="B1393" s="13" t="n">
        <f aca="false">SMALL(Datos!$D$2:$D$1501,A1393)</f>
        <v>168.472815708573</v>
      </c>
      <c r="C1393" s="21" t="n">
        <f aca="false">(Config!$B$11-A1393+1)/Config!$B$11</f>
        <v>0.0746666666666667</v>
      </c>
    </row>
    <row r="1394" customFormat="false" ht="15" hidden="false" customHeight="false" outlineLevel="0" collapsed="false">
      <c r="A1394" s="2" t="n">
        <v>1390</v>
      </c>
      <c r="B1394" s="13" t="n">
        <f aca="false">SMALL(Datos!$D$2:$D$1501,A1394)</f>
        <v>168.504928196477</v>
      </c>
      <c r="C1394" s="21" t="n">
        <f aca="false">(Config!$B$11-A1394+1)/Config!$B$11</f>
        <v>0.074</v>
      </c>
    </row>
    <row r="1395" customFormat="false" ht="15" hidden="false" customHeight="false" outlineLevel="0" collapsed="false">
      <c r="A1395" s="2" t="n">
        <v>1391</v>
      </c>
      <c r="B1395" s="13" t="n">
        <f aca="false">SMALL(Datos!$D$2:$D$1501,A1395)</f>
        <v>168.529904575958</v>
      </c>
      <c r="C1395" s="21" t="n">
        <f aca="false">(Config!$B$11-A1395+1)/Config!$B$11</f>
        <v>0.0733333333333333</v>
      </c>
    </row>
    <row r="1396" customFormat="false" ht="15" hidden="false" customHeight="false" outlineLevel="0" collapsed="false">
      <c r="A1396" s="2" t="n">
        <v>1392</v>
      </c>
      <c r="B1396" s="13" t="n">
        <f aca="false">SMALL(Datos!$D$2:$D$1501,A1396)</f>
        <v>168.540608738593</v>
      </c>
      <c r="C1396" s="21" t="n">
        <f aca="false">(Config!$B$11-A1396+1)/Config!$B$11</f>
        <v>0.0726666666666667</v>
      </c>
    </row>
    <row r="1397" customFormat="false" ht="15" hidden="false" customHeight="false" outlineLevel="0" collapsed="false">
      <c r="A1397" s="2" t="n">
        <v>1393</v>
      </c>
      <c r="B1397" s="13" t="n">
        <f aca="false">SMALL(Datos!$D$2:$D$1501,A1397)</f>
        <v>168.547744847016</v>
      </c>
      <c r="C1397" s="21" t="n">
        <f aca="false">(Config!$B$11-A1397+1)/Config!$B$11</f>
        <v>0.072</v>
      </c>
    </row>
    <row r="1398" customFormat="false" ht="15" hidden="false" customHeight="false" outlineLevel="0" collapsed="false">
      <c r="A1398" s="2" t="n">
        <v>1394</v>
      </c>
      <c r="B1398" s="13" t="n">
        <f aca="false">SMALL(Datos!$D$2:$D$1501,A1398)</f>
        <v>168.558449009651</v>
      </c>
      <c r="C1398" s="21" t="n">
        <f aca="false">(Config!$B$11-A1398+1)/Config!$B$11</f>
        <v>0.0713333333333333</v>
      </c>
    </row>
    <row r="1399" customFormat="false" ht="15" hidden="false" customHeight="false" outlineLevel="0" collapsed="false">
      <c r="A1399" s="2" t="n">
        <v>1395</v>
      </c>
      <c r="B1399" s="13" t="n">
        <f aca="false">SMALL(Datos!$D$2:$D$1501,A1399)</f>
        <v>168.636946202306</v>
      </c>
      <c r="C1399" s="21" t="n">
        <f aca="false">(Config!$B$11-A1399+1)/Config!$B$11</f>
        <v>0.0706666666666667</v>
      </c>
    </row>
    <row r="1400" customFormat="false" ht="15" hidden="false" customHeight="false" outlineLevel="0" collapsed="false">
      <c r="A1400" s="2" t="n">
        <v>1396</v>
      </c>
      <c r="B1400" s="13" t="n">
        <f aca="false">SMALL(Datos!$D$2:$D$1501,A1400)</f>
        <v>168.640514256517</v>
      </c>
      <c r="C1400" s="21" t="n">
        <f aca="false">(Config!$B$11-A1400+1)/Config!$B$11</f>
        <v>0.07</v>
      </c>
    </row>
    <row r="1401" customFormat="false" ht="15" hidden="false" customHeight="false" outlineLevel="0" collapsed="false">
      <c r="A1401" s="2" t="n">
        <v>1397</v>
      </c>
      <c r="B1401" s="13" t="n">
        <f aca="false">SMALL(Datos!$D$2:$D$1501,A1401)</f>
        <v>168.654786473364</v>
      </c>
      <c r="C1401" s="21" t="n">
        <f aca="false">(Config!$B$11-A1401+1)/Config!$B$11</f>
        <v>0.0693333333333333</v>
      </c>
    </row>
    <row r="1402" customFormat="false" ht="15" hidden="false" customHeight="false" outlineLevel="0" collapsed="false">
      <c r="A1402" s="2" t="n">
        <v>1398</v>
      </c>
      <c r="B1402" s="13" t="n">
        <f aca="false">SMALL(Datos!$D$2:$D$1501,A1402)</f>
        <v>168.665490635999</v>
      </c>
      <c r="C1402" s="21" t="n">
        <f aca="false">(Config!$B$11-A1402+1)/Config!$B$11</f>
        <v>0.0686666666666667</v>
      </c>
    </row>
    <row r="1403" customFormat="false" ht="15" hidden="false" customHeight="false" outlineLevel="0" collapsed="false">
      <c r="A1403" s="2" t="n">
        <v>1399</v>
      </c>
      <c r="B1403" s="13" t="n">
        <f aca="false">SMALL(Datos!$D$2:$D$1501,A1403)</f>
        <v>168.704739232326</v>
      </c>
      <c r="C1403" s="21" t="n">
        <f aca="false">(Config!$B$11-A1403+1)/Config!$B$11</f>
        <v>0.068</v>
      </c>
    </row>
    <row r="1404" customFormat="false" ht="15" hidden="false" customHeight="false" outlineLevel="0" collapsed="false">
      <c r="A1404" s="2" t="n">
        <v>1400</v>
      </c>
      <c r="B1404" s="13" t="n">
        <f aca="false">SMALL(Datos!$D$2:$D$1501,A1404)</f>
        <v>168.726147557596</v>
      </c>
      <c r="C1404" s="21" t="n">
        <f aca="false">(Config!$B$11-A1404+1)/Config!$B$11</f>
        <v>0.0673333333333333</v>
      </c>
    </row>
    <row r="1405" customFormat="false" ht="15" hidden="false" customHeight="false" outlineLevel="0" collapsed="false">
      <c r="A1405" s="2" t="n">
        <v>1401</v>
      </c>
      <c r="B1405" s="13" t="n">
        <f aca="false">SMALL(Datos!$D$2:$D$1501,A1405)</f>
        <v>168.73685172023</v>
      </c>
      <c r="C1405" s="21" t="n">
        <f aca="false">(Config!$B$11-A1405+1)/Config!$B$11</f>
        <v>0.0666666666666667</v>
      </c>
    </row>
    <row r="1406" customFormat="false" ht="15" hidden="false" customHeight="false" outlineLevel="0" collapsed="false">
      <c r="A1406" s="2" t="n">
        <v>1402</v>
      </c>
      <c r="B1406" s="13" t="n">
        <f aca="false">SMALL(Datos!$D$2:$D$1501,A1406)</f>
        <v>168.73685172023</v>
      </c>
      <c r="C1406" s="21" t="n">
        <f aca="false">(Config!$B$11-A1406+1)/Config!$B$11</f>
        <v>0.066</v>
      </c>
    </row>
    <row r="1407" customFormat="false" ht="15" hidden="false" customHeight="false" outlineLevel="0" collapsed="false">
      <c r="A1407" s="2" t="n">
        <v>1403</v>
      </c>
      <c r="B1407" s="13" t="n">
        <f aca="false">SMALL(Datos!$D$2:$D$1501,A1407)</f>
        <v>168.786804479193</v>
      </c>
      <c r="C1407" s="21" t="n">
        <f aca="false">(Config!$B$11-A1407+1)/Config!$B$11</f>
        <v>0.0653333333333333</v>
      </c>
    </row>
    <row r="1408" customFormat="false" ht="15" hidden="false" customHeight="false" outlineLevel="0" collapsed="false">
      <c r="A1408" s="2" t="n">
        <v>1404</v>
      </c>
      <c r="B1408" s="13" t="n">
        <f aca="false">SMALL(Datos!$D$2:$D$1501,A1408)</f>
        <v>168.793940587616</v>
      </c>
      <c r="C1408" s="21" t="n">
        <f aca="false">(Config!$B$11-A1408+1)/Config!$B$11</f>
        <v>0.0646666666666667</v>
      </c>
    </row>
    <row r="1409" customFormat="false" ht="15" hidden="false" customHeight="false" outlineLevel="0" collapsed="false">
      <c r="A1409" s="2" t="n">
        <v>1405</v>
      </c>
      <c r="B1409" s="13" t="n">
        <f aca="false">SMALL(Datos!$D$2:$D$1501,A1409)</f>
        <v>168.829621129732</v>
      </c>
      <c r="C1409" s="21" t="n">
        <f aca="false">(Config!$B$11-A1409+1)/Config!$B$11</f>
        <v>0.064</v>
      </c>
    </row>
    <row r="1410" customFormat="false" ht="15" hidden="false" customHeight="false" outlineLevel="0" collapsed="false">
      <c r="A1410" s="2" t="n">
        <v>1406</v>
      </c>
      <c r="B1410" s="13" t="n">
        <f aca="false">SMALL(Datos!$D$2:$D$1501,A1410)</f>
        <v>168.833189183943</v>
      </c>
      <c r="C1410" s="21" t="n">
        <f aca="false">(Config!$B$11-A1410+1)/Config!$B$11</f>
        <v>0.0633333333333333</v>
      </c>
    </row>
    <row r="1411" customFormat="false" ht="15" hidden="false" customHeight="false" outlineLevel="0" collapsed="false">
      <c r="A1411" s="2" t="n">
        <v>1407</v>
      </c>
      <c r="B1411" s="13" t="n">
        <f aca="false">SMALL(Datos!$D$2:$D$1501,A1411)</f>
        <v>168.876005834482</v>
      </c>
      <c r="C1411" s="21" t="n">
        <f aca="false">(Config!$B$11-A1411+1)/Config!$B$11</f>
        <v>0.0626666666666667</v>
      </c>
    </row>
    <row r="1412" customFormat="false" ht="15" hidden="false" customHeight="false" outlineLevel="0" collapsed="false">
      <c r="A1412" s="2" t="n">
        <v>1408</v>
      </c>
      <c r="B1412" s="13" t="n">
        <f aca="false">SMALL(Datos!$D$2:$D$1501,A1412)</f>
        <v>168.950934972926</v>
      </c>
      <c r="C1412" s="21" t="n">
        <f aca="false">(Config!$B$11-A1412+1)/Config!$B$11</f>
        <v>0.062</v>
      </c>
    </row>
    <row r="1413" customFormat="false" ht="15" hidden="false" customHeight="false" outlineLevel="0" collapsed="false">
      <c r="A1413" s="2" t="n">
        <v>1409</v>
      </c>
      <c r="B1413" s="13" t="n">
        <f aca="false">SMALL(Datos!$D$2:$D$1501,A1413)</f>
        <v>168.958071081349</v>
      </c>
      <c r="C1413" s="21" t="n">
        <f aca="false">(Config!$B$11-A1413+1)/Config!$B$11</f>
        <v>0.0613333333333333</v>
      </c>
    </row>
    <row r="1414" customFormat="false" ht="15" hidden="false" customHeight="false" outlineLevel="0" collapsed="false">
      <c r="A1414" s="2" t="n">
        <v>1410</v>
      </c>
      <c r="B1414" s="13" t="n">
        <f aca="false">SMALL(Datos!$D$2:$D$1501,A1414)</f>
        <v>168.979479406618</v>
      </c>
      <c r="C1414" s="21" t="n">
        <f aca="false">(Config!$B$11-A1414+1)/Config!$B$11</f>
        <v>0.0606666666666667</v>
      </c>
    </row>
    <row r="1415" customFormat="false" ht="15" hidden="false" customHeight="false" outlineLevel="0" collapsed="false">
      <c r="A1415" s="2" t="n">
        <v>1411</v>
      </c>
      <c r="B1415" s="13" t="n">
        <f aca="false">SMALL(Datos!$D$2:$D$1501,A1415)</f>
        <v>169.000887731888</v>
      </c>
      <c r="C1415" s="21" t="n">
        <f aca="false">(Config!$B$11-A1415+1)/Config!$B$11</f>
        <v>0.06</v>
      </c>
    </row>
    <row r="1416" customFormat="false" ht="15" hidden="false" customHeight="false" outlineLevel="0" collapsed="false">
      <c r="A1416" s="2" t="n">
        <v>1412</v>
      </c>
      <c r="B1416" s="13" t="n">
        <f aca="false">SMALL(Datos!$D$2:$D$1501,A1416)</f>
        <v>169.022296057157</v>
      </c>
      <c r="C1416" s="21" t="n">
        <f aca="false">(Config!$B$11-A1416+1)/Config!$B$11</f>
        <v>0.0593333333333333</v>
      </c>
    </row>
    <row r="1417" customFormat="false" ht="15" hidden="false" customHeight="false" outlineLevel="0" collapsed="false">
      <c r="A1417" s="2" t="n">
        <v>1413</v>
      </c>
      <c r="B1417" s="13" t="n">
        <f aca="false">SMALL(Datos!$D$2:$D$1501,A1417)</f>
        <v>169.065112707696</v>
      </c>
      <c r="C1417" s="21" t="n">
        <f aca="false">(Config!$B$11-A1417+1)/Config!$B$11</f>
        <v>0.0586666666666667</v>
      </c>
    </row>
    <row r="1418" customFormat="false" ht="15" hidden="false" customHeight="false" outlineLevel="0" collapsed="false">
      <c r="A1418" s="2" t="n">
        <v>1414</v>
      </c>
      <c r="B1418" s="13" t="n">
        <f aca="false">SMALL(Datos!$D$2:$D$1501,A1418)</f>
        <v>169.100793249812</v>
      </c>
      <c r="C1418" s="21" t="n">
        <f aca="false">(Config!$B$11-A1418+1)/Config!$B$11</f>
        <v>0.058</v>
      </c>
    </row>
    <row r="1419" customFormat="false" ht="15" hidden="false" customHeight="false" outlineLevel="0" collapsed="false">
      <c r="A1419" s="2" t="n">
        <v>1415</v>
      </c>
      <c r="B1419" s="13" t="n">
        <f aca="false">SMALL(Datos!$D$2:$D$1501,A1419)</f>
        <v>169.11863352087</v>
      </c>
      <c r="C1419" s="21" t="n">
        <f aca="false">(Config!$B$11-A1419+1)/Config!$B$11</f>
        <v>0.0573333333333333</v>
      </c>
    </row>
    <row r="1420" customFormat="false" ht="15" hidden="false" customHeight="false" outlineLevel="0" collapsed="false">
      <c r="A1420" s="2" t="n">
        <v>1416</v>
      </c>
      <c r="B1420" s="13" t="n">
        <f aca="false">SMALL(Datos!$D$2:$D$1501,A1420)</f>
        <v>169.136473791928</v>
      </c>
      <c r="C1420" s="21" t="n">
        <f aca="false">(Config!$B$11-A1420+1)/Config!$B$11</f>
        <v>0.0566666666666667</v>
      </c>
    </row>
    <row r="1421" customFormat="false" ht="15" hidden="false" customHeight="false" outlineLevel="0" collapsed="false">
      <c r="A1421" s="2" t="n">
        <v>1417</v>
      </c>
      <c r="B1421" s="13" t="n">
        <f aca="false">SMALL(Datos!$D$2:$D$1501,A1421)</f>
        <v>169.197130713525</v>
      </c>
      <c r="C1421" s="21" t="n">
        <f aca="false">(Config!$B$11-A1421+1)/Config!$B$11</f>
        <v>0.056</v>
      </c>
    </row>
    <row r="1422" customFormat="false" ht="15" hidden="false" customHeight="false" outlineLevel="0" collapsed="false">
      <c r="A1422" s="2" t="n">
        <v>1418</v>
      </c>
      <c r="B1422" s="13" t="n">
        <f aca="false">SMALL(Datos!$D$2:$D$1501,A1422)</f>
        <v>169.214970984583</v>
      </c>
      <c r="C1422" s="21" t="n">
        <f aca="false">(Config!$B$11-A1422+1)/Config!$B$11</f>
        <v>0.0553333333333333</v>
      </c>
    </row>
    <row r="1423" customFormat="false" ht="15" hidden="false" customHeight="false" outlineLevel="0" collapsed="false">
      <c r="A1423" s="2" t="n">
        <v>1419</v>
      </c>
      <c r="B1423" s="13" t="n">
        <f aca="false">SMALL(Datos!$D$2:$D$1501,A1423)</f>
        <v>169.214970984583</v>
      </c>
      <c r="C1423" s="21" t="n">
        <f aca="false">(Config!$B$11-A1423+1)/Config!$B$11</f>
        <v>0.0546666666666667</v>
      </c>
    </row>
    <row r="1424" customFormat="false" ht="15" hidden="false" customHeight="false" outlineLevel="0" collapsed="false">
      <c r="A1424" s="2" t="n">
        <v>1420</v>
      </c>
      <c r="B1424" s="13" t="n">
        <f aca="false">SMALL(Datos!$D$2:$D$1501,A1424)</f>
        <v>169.222107093006</v>
      </c>
      <c r="C1424" s="21" t="n">
        <f aca="false">(Config!$B$11-A1424+1)/Config!$B$11</f>
        <v>0.054</v>
      </c>
    </row>
    <row r="1425" customFormat="false" ht="15" hidden="false" customHeight="false" outlineLevel="0" collapsed="false">
      <c r="A1425" s="2" t="n">
        <v>1421</v>
      </c>
      <c r="B1425" s="13" t="n">
        <f aca="false">SMALL(Datos!$D$2:$D$1501,A1425)</f>
        <v>169.314876502508</v>
      </c>
      <c r="C1425" s="21" t="n">
        <f aca="false">(Config!$B$11-A1425+1)/Config!$B$11</f>
        <v>0.0533333333333333</v>
      </c>
    </row>
    <row r="1426" customFormat="false" ht="15" hidden="false" customHeight="false" outlineLevel="0" collapsed="false">
      <c r="A1426" s="2" t="n">
        <v>1422</v>
      </c>
      <c r="B1426" s="13" t="n">
        <f aca="false">SMALL(Datos!$D$2:$D$1501,A1426)</f>
        <v>169.329148719354</v>
      </c>
      <c r="C1426" s="21" t="n">
        <f aca="false">(Config!$B$11-A1426+1)/Config!$B$11</f>
        <v>0.0526666666666667</v>
      </c>
    </row>
    <row r="1427" customFormat="false" ht="15" hidden="false" customHeight="false" outlineLevel="0" collapsed="false">
      <c r="A1427" s="2" t="n">
        <v>1423</v>
      </c>
      <c r="B1427" s="13" t="n">
        <f aca="false">SMALL(Datos!$D$2:$D$1501,A1427)</f>
        <v>169.3434209362</v>
      </c>
      <c r="C1427" s="21" t="n">
        <f aca="false">(Config!$B$11-A1427+1)/Config!$B$11</f>
        <v>0.052</v>
      </c>
    </row>
    <row r="1428" customFormat="false" ht="15" hidden="false" customHeight="false" outlineLevel="0" collapsed="false">
      <c r="A1428" s="2" t="n">
        <v>1424</v>
      </c>
      <c r="B1428" s="13" t="n">
        <f aca="false">SMALL(Datos!$D$2:$D$1501,A1428)</f>
        <v>169.371965369893</v>
      </c>
      <c r="C1428" s="21" t="n">
        <f aca="false">(Config!$B$11-A1428+1)/Config!$B$11</f>
        <v>0.0513333333333333</v>
      </c>
    </row>
    <row r="1429" customFormat="false" ht="15" hidden="false" customHeight="false" outlineLevel="0" collapsed="false">
      <c r="A1429" s="2" t="n">
        <v>1425</v>
      </c>
      <c r="B1429" s="13" t="n">
        <f aca="false">SMALL(Datos!$D$2:$D$1501,A1429)</f>
        <v>169.407645912009</v>
      </c>
      <c r="C1429" s="21" t="n">
        <f aca="false">(Config!$B$11-A1429+1)/Config!$B$11</f>
        <v>0.0506666666666667</v>
      </c>
    </row>
    <row r="1430" customFormat="false" ht="15" hidden="false" customHeight="false" outlineLevel="0" collapsed="false">
      <c r="A1430" s="2" t="n">
        <v>1426</v>
      </c>
      <c r="B1430" s="13" t="n">
        <f aca="false">SMALL(Datos!$D$2:$D$1501,A1430)</f>
        <v>169.482575050452</v>
      </c>
      <c r="C1430" s="21" t="n">
        <f aca="false">(Config!$B$11-A1430+1)/Config!$B$11</f>
        <v>0.05</v>
      </c>
    </row>
    <row r="1431" customFormat="false" ht="15" hidden="false" customHeight="false" outlineLevel="0" collapsed="false">
      <c r="A1431" s="2" t="n">
        <v>1427</v>
      </c>
      <c r="B1431" s="13" t="n">
        <f aca="false">SMALL(Datos!$D$2:$D$1501,A1431)</f>
        <v>169.489711158876</v>
      </c>
      <c r="C1431" s="21" t="n">
        <f aca="false">(Config!$B$11-A1431+1)/Config!$B$11</f>
        <v>0.0493333333333333</v>
      </c>
    </row>
    <row r="1432" customFormat="false" ht="15" hidden="false" customHeight="false" outlineLevel="0" collapsed="false">
      <c r="A1432" s="2" t="n">
        <v>1428</v>
      </c>
      <c r="B1432" s="13" t="n">
        <f aca="false">SMALL(Datos!$D$2:$D$1501,A1432)</f>
        <v>169.496847267299</v>
      </c>
      <c r="C1432" s="21" t="n">
        <f aca="false">(Config!$B$11-A1432+1)/Config!$B$11</f>
        <v>0.0486666666666667</v>
      </c>
    </row>
    <row r="1433" customFormat="false" ht="15" hidden="false" customHeight="false" outlineLevel="0" collapsed="false">
      <c r="A1433" s="2" t="n">
        <v>1429</v>
      </c>
      <c r="B1433" s="13" t="n">
        <f aca="false">SMALL(Datos!$D$2:$D$1501,A1433)</f>
        <v>169.571776405742</v>
      </c>
      <c r="C1433" s="21" t="n">
        <f aca="false">(Config!$B$11-A1433+1)/Config!$B$11</f>
        <v>0.048</v>
      </c>
    </row>
    <row r="1434" customFormat="false" ht="15" hidden="false" customHeight="false" outlineLevel="0" collapsed="false">
      <c r="A1434" s="2" t="n">
        <v>1430</v>
      </c>
      <c r="B1434" s="13" t="n">
        <f aca="false">SMALL(Datos!$D$2:$D$1501,A1434)</f>
        <v>169.603888893646</v>
      </c>
      <c r="C1434" s="21" t="n">
        <f aca="false">(Config!$B$11-A1434+1)/Config!$B$11</f>
        <v>0.0473333333333333</v>
      </c>
    </row>
    <row r="1435" customFormat="false" ht="15" hidden="false" customHeight="false" outlineLevel="0" collapsed="false">
      <c r="A1435" s="2" t="n">
        <v>1431</v>
      </c>
      <c r="B1435" s="13" t="n">
        <f aca="false">SMALL(Datos!$D$2:$D$1501,A1435)</f>
        <v>169.775155495803</v>
      </c>
      <c r="C1435" s="21" t="n">
        <f aca="false">(Config!$B$11-A1435+1)/Config!$B$11</f>
        <v>0.0466666666666667</v>
      </c>
    </row>
    <row r="1436" customFormat="false" ht="15" hidden="false" customHeight="false" outlineLevel="0" collapsed="false">
      <c r="A1436" s="2" t="n">
        <v>1432</v>
      </c>
      <c r="B1436" s="13" t="n">
        <f aca="false">SMALL(Datos!$D$2:$D$1501,A1436)</f>
        <v>169.792995766861</v>
      </c>
      <c r="C1436" s="21" t="n">
        <f aca="false">(Config!$B$11-A1436+1)/Config!$B$11</f>
        <v>0.046</v>
      </c>
    </row>
    <row r="1437" customFormat="false" ht="15" hidden="false" customHeight="false" outlineLevel="0" collapsed="false">
      <c r="A1437" s="2" t="n">
        <v>1433</v>
      </c>
      <c r="B1437" s="13" t="n">
        <f aca="false">SMALL(Datos!$D$2:$D$1501,A1437)</f>
        <v>169.796563821072</v>
      </c>
      <c r="C1437" s="21" t="n">
        <f aca="false">(Config!$B$11-A1437+1)/Config!$B$11</f>
        <v>0.0453333333333333</v>
      </c>
    </row>
    <row r="1438" customFormat="false" ht="15" hidden="false" customHeight="false" outlineLevel="0" collapsed="false">
      <c r="A1438" s="2" t="n">
        <v>1434</v>
      </c>
      <c r="B1438" s="13" t="n">
        <f aca="false">SMALL(Datos!$D$2:$D$1501,A1438)</f>
        <v>169.807267983707</v>
      </c>
      <c r="C1438" s="21" t="n">
        <f aca="false">(Config!$B$11-A1438+1)/Config!$B$11</f>
        <v>0.0446666666666667</v>
      </c>
    </row>
    <row r="1439" customFormat="false" ht="15" hidden="false" customHeight="false" outlineLevel="0" collapsed="false">
      <c r="A1439" s="2" t="n">
        <v>1435</v>
      </c>
      <c r="B1439" s="13" t="n">
        <f aca="false">SMALL(Datos!$D$2:$D$1501,A1439)</f>
        <v>169.974966531652</v>
      </c>
      <c r="C1439" s="21" t="n">
        <f aca="false">(Config!$B$11-A1439+1)/Config!$B$11</f>
        <v>0.044</v>
      </c>
    </row>
    <row r="1440" customFormat="false" ht="15" hidden="false" customHeight="false" outlineLevel="0" collapsed="false">
      <c r="A1440" s="2" t="n">
        <v>1436</v>
      </c>
      <c r="B1440" s="13" t="n">
        <f aca="false">SMALL(Datos!$D$2:$D$1501,A1440)</f>
        <v>170.024919290614</v>
      </c>
      <c r="C1440" s="21" t="n">
        <f aca="false">(Config!$B$11-A1440+1)/Config!$B$11</f>
        <v>0.0433333333333333</v>
      </c>
    </row>
    <row r="1441" customFormat="false" ht="15" hidden="false" customHeight="false" outlineLevel="0" collapsed="false">
      <c r="A1441" s="2" t="n">
        <v>1437</v>
      </c>
      <c r="B1441" s="13" t="n">
        <f aca="false">SMALL(Datos!$D$2:$D$1501,A1441)</f>
        <v>170.024919290614</v>
      </c>
      <c r="C1441" s="21" t="n">
        <f aca="false">(Config!$B$11-A1441+1)/Config!$B$11</f>
        <v>0.0426666666666667</v>
      </c>
    </row>
    <row r="1442" customFormat="false" ht="15" hidden="false" customHeight="false" outlineLevel="0" collapsed="false">
      <c r="A1442" s="2" t="n">
        <v>1438</v>
      </c>
      <c r="B1442" s="13" t="n">
        <f aca="false">SMALL(Datos!$D$2:$D$1501,A1442)</f>
        <v>170.049895670095</v>
      </c>
      <c r="C1442" s="21" t="n">
        <f aca="false">(Config!$B$11-A1442+1)/Config!$B$11</f>
        <v>0.042</v>
      </c>
    </row>
    <row r="1443" customFormat="false" ht="15" hidden="false" customHeight="false" outlineLevel="0" collapsed="false">
      <c r="A1443" s="2" t="n">
        <v>1439</v>
      </c>
      <c r="B1443" s="13" t="n">
        <f aca="false">SMALL(Datos!$D$2:$D$1501,A1443)</f>
        <v>170.153369242231</v>
      </c>
      <c r="C1443" s="21" t="n">
        <f aca="false">(Config!$B$11-A1443+1)/Config!$B$11</f>
        <v>0.0413333333333333</v>
      </c>
    </row>
    <row r="1444" customFormat="false" ht="15" hidden="false" customHeight="false" outlineLevel="0" collapsed="false">
      <c r="A1444" s="2" t="n">
        <v>1440</v>
      </c>
      <c r="B1444" s="13" t="n">
        <f aca="false">SMALL(Datos!$D$2:$D$1501,A1444)</f>
        <v>170.156937296443</v>
      </c>
      <c r="C1444" s="21" t="n">
        <f aca="false">(Config!$B$11-A1444+1)/Config!$B$11</f>
        <v>0.0406666666666667</v>
      </c>
    </row>
    <row r="1445" customFormat="false" ht="15" hidden="false" customHeight="false" outlineLevel="0" collapsed="false">
      <c r="A1445" s="2" t="n">
        <v>1441</v>
      </c>
      <c r="B1445" s="13" t="n">
        <f aca="false">SMALL(Datos!$D$2:$D$1501,A1445)</f>
        <v>170.342476115445</v>
      </c>
      <c r="C1445" s="21" t="n">
        <f aca="false">(Config!$B$11-A1445+1)/Config!$B$11</f>
        <v>0.04</v>
      </c>
    </row>
    <row r="1446" customFormat="false" ht="15" hidden="false" customHeight="false" outlineLevel="0" collapsed="false">
      <c r="A1446" s="2" t="n">
        <v>1442</v>
      </c>
      <c r="B1446" s="13" t="n">
        <f aca="false">SMALL(Datos!$D$2:$D$1501,A1446)</f>
        <v>170.413837199677</v>
      </c>
      <c r="C1446" s="21" t="n">
        <f aca="false">(Config!$B$11-A1446+1)/Config!$B$11</f>
        <v>0.0393333333333333</v>
      </c>
    </row>
    <row r="1447" customFormat="false" ht="15" hidden="false" customHeight="false" outlineLevel="0" collapsed="false">
      <c r="A1447" s="2" t="n">
        <v>1443</v>
      </c>
      <c r="B1447" s="13" t="n">
        <f aca="false">SMALL(Datos!$D$2:$D$1501,A1447)</f>
        <v>170.627920452372</v>
      </c>
      <c r="C1447" s="21" t="n">
        <f aca="false">(Config!$B$11-A1447+1)/Config!$B$11</f>
        <v>0.0386666666666667</v>
      </c>
    </row>
    <row r="1448" customFormat="false" ht="15" hidden="false" customHeight="false" outlineLevel="0" collapsed="false">
      <c r="A1448" s="2" t="n">
        <v>1444</v>
      </c>
      <c r="B1448" s="13" t="n">
        <f aca="false">SMALL(Datos!$D$2:$D$1501,A1448)</f>
        <v>170.688577373969</v>
      </c>
      <c r="C1448" s="21" t="n">
        <f aca="false">(Config!$B$11-A1448+1)/Config!$B$11</f>
        <v>0.038</v>
      </c>
    </row>
    <row r="1449" customFormat="false" ht="15" hidden="false" customHeight="false" outlineLevel="0" collapsed="false">
      <c r="A1449" s="2" t="n">
        <v>1445</v>
      </c>
      <c r="B1449" s="13" t="n">
        <f aca="false">SMALL(Datos!$D$2:$D$1501,A1449)</f>
        <v>170.777778729259</v>
      </c>
      <c r="C1449" s="21" t="n">
        <f aca="false">(Config!$B$11-A1449+1)/Config!$B$11</f>
        <v>0.0373333333333333</v>
      </c>
    </row>
    <row r="1450" customFormat="false" ht="15" hidden="false" customHeight="false" outlineLevel="0" collapsed="false">
      <c r="A1450" s="2" t="n">
        <v>1446</v>
      </c>
      <c r="B1450" s="13" t="n">
        <f aca="false">SMALL(Datos!$D$2:$D$1501,A1450)</f>
        <v>170.909796735088</v>
      </c>
      <c r="C1450" s="21" t="n">
        <f aca="false">(Config!$B$11-A1450+1)/Config!$B$11</f>
        <v>0.0366666666666667</v>
      </c>
    </row>
    <row r="1451" customFormat="false" ht="15" hidden="false" customHeight="false" outlineLevel="0" collapsed="false">
      <c r="A1451" s="2" t="n">
        <v>1447</v>
      </c>
      <c r="B1451" s="13" t="n">
        <f aca="false">SMALL(Datos!$D$2:$D$1501,A1451)</f>
        <v>170.927637006146</v>
      </c>
      <c r="C1451" s="21" t="n">
        <f aca="false">(Config!$B$11-A1451+1)/Config!$B$11</f>
        <v>0.036</v>
      </c>
    </row>
    <row r="1452" customFormat="false" ht="15" hidden="false" customHeight="false" outlineLevel="0" collapsed="false">
      <c r="A1452" s="2" t="n">
        <v>1448</v>
      </c>
      <c r="B1452" s="13" t="n">
        <f aca="false">SMALL(Datos!$D$2:$D$1501,A1452)</f>
        <v>170.95974949405</v>
      </c>
      <c r="C1452" s="21" t="n">
        <f aca="false">(Config!$B$11-A1452+1)/Config!$B$11</f>
        <v>0.0353333333333333</v>
      </c>
    </row>
    <row r="1453" customFormat="false" ht="15" hidden="false" customHeight="false" outlineLevel="0" collapsed="false">
      <c r="A1453" s="2" t="n">
        <v>1449</v>
      </c>
      <c r="B1453" s="13" t="n">
        <f aca="false">SMALL(Datos!$D$2:$D$1501,A1453)</f>
        <v>170.988293927743</v>
      </c>
      <c r="C1453" s="21" t="n">
        <f aca="false">(Config!$B$11-A1453+1)/Config!$B$11</f>
        <v>0.0346666666666667</v>
      </c>
    </row>
    <row r="1454" customFormat="false" ht="15" hidden="false" customHeight="false" outlineLevel="0" collapsed="false">
      <c r="A1454" s="2" t="n">
        <v>1450</v>
      </c>
      <c r="B1454" s="13" t="n">
        <f aca="false">SMALL(Datos!$D$2:$D$1501,A1454)</f>
        <v>171.016838361435</v>
      </c>
      <c r="C1454" s="21" t="n">
        <f aca="false">(Config!$B$11-A1454+1)/Config!$B$11</f>
        <v>0.034</v>
      </c>
    </row>
    <row r="1455" customFormat="false" ht="15" hidden="false" customHeight="false" outlineLevel="0" collapsed="false">
      <c r="A1455" s="2" t="n">
        <v>1451</v>
      </c>
      <c r="B1455" s="13" t="n">
        <f aca="false">SMALL(Datos!$D$2:$D$1501,A1455)</f>
        <v>171.106039716725</v>
      </c>
      <c r="C1455" s="21" t="n">
        <f aca="false">(Config!$B$11-A1455+1)/Config!$B$11</f>
        <v>0.0333333333333333</v>
      </c>
    </row>
    <row r="1456" customFormat="false" ht="15" hidden="false" customHeight="false" outlineLevel="0" collapsed="false">
      <c r="A1456" s="2" t="n">
        <v>1452</v>
      </c>
      <c r="B1456" s="13" t="n">
        <f aca="false">SMALL(Datos!$D$2:$D$1501,A1456)</f>
        <v>171.152424421476</v>
      </c>
      <c r="C1456" s="21" t="n">
        <f aca="false">(Config!$B$11-A1456+1)/Config!$B$11</f>
        <v>0.0326666666666667</v>
      </c>
    </row>
    <row r="1457" customFormat="false" ht="15" hidden="false" customHeight="false" outlineLevel="0" collapsed="false">
      <c r="A1457" s="2" t="n">
        <v>1453</v>
      </c>
      <c r="B1457" s="13" t="n">
        <f aca="false">SMALL(Datos!$D$2:$D$1501,A1457)</f>
        <v>171.355803511536</v>
      </c>
      <c r="C1457" s="21" t="n">
        <f aca="false">(Config!$B$11-A1457+1)/Config!$B$11</f>
        <v>0.032</v>
      </c>
    </row>
    <row r="1458" customFormat="false" ht="15" hidden="false" customHeight="false" outlineLevel="0" collapsed="false">
      <c r="A1458" s="2" t="n">
        <v>1454</v>
      </c>
      <c r="B1458" s="13" t="n">
        <f aca="false">SMALL(Datos!$D$2:$D$1501,A1458)</f>
        <v>171.373643782594</v>
      </c>
      <c r="C1458" s="21" t="n">
        <f aca="false">(Config!$B$11-A1458+1)/Config!$B$11</f>
        <v>0.0313333333333333</v>
      </c>
    </row>
    <row r="1459" customFormat="false" ht="15" hidden="false" customHeight="false" outlineLevel="0" collapsed="false">
      <c r="A1459" s="2" t="n">
        <v>1455</v>
      </c>
      <c r="B1459" s="13" t="n">
        <f aca="false">SMALL(Datos!$D$2:$D$1501,A1459)</f>
        <v>171.398620162075</v>
      </c>
      <c r="C1459" s="21" t="n">
        <f aca="false">(Config!$B$11-A1459+1)/Config!$B$11</f>
        <v>0.0306666666666667</v>
      </c>
    </row>
    <row r="1460" customFormat="false" ht="15" hidden="false" customHeight="false" outlineLevel="0" collapsed="false">
      <c r="A1460" s="2" t="n">
        <v>1456</v>
      </c>
      <c r="B1460" s="13" t="n">
        <f aca="false">SMALL(Datos!$D$2:$D$1501,A1460)</f>
        <v>171.437868758403</v>
      </c>
      <c r="C1460" s="21" t="n">
        <f aca="false">(Config!$B$11-A1460+1)/Config!$B$11</f>
        <v>0.03</v>
      </c>
    </row>
    <row r="1461" customFormat="false" ht="15" hidden="false" customHeight="false" outlineLevel="0" collapsed="false">
      <c r="A1461" s="2" t="n">
        <v>1457</v>
      </c>
      <c r="B1461" s="13" t="n">
        <f aca="false">SMALL(Datos!$D$2:$D$1501,A1461)</f>
        <v>171.559182601597</v>
      </c>
      <c r="C1461" s="21" t="n">
        <f aca="false">(Config!$B$11-A1461+1)/Config!$B$11</f>
        <v>0.0293333333333333</v>
      </c>
    </row>
    <row r="1462" customFormat="false" ht="15" hidden="false" customHeight="false" outlineLevel="0" collapsed="false">
      <c r="A1462" s="2" t="n">
        <v>1458</v>
      </c>
      <c r="B1462" s="13" t="n">
        <f aca="false">SMALL(Datos!$D$2:$D$1501,A1462)</f>
        <v>171.591295089501</v>
      </c>
      <c r="C1462" s="21" t="n">
        <f aca="false">(Config!$B$11-A1462+1)/Config!$B$11</f>
        <v>0.0286666666666667</v>
      </c>
    </row>
    <row r="1463" customFormat="false" ht="15" hidden="false" customHeight="false" outlineLevel="0" collapsed="false">
      <c r="A1463" s="2" t="n">
        <v>1459</v>
      </c>
      <c r="B1463" s="13" t="n">
        <f aca="false">SMALL(Datos!$D$2:$D$1501,A1463)</f>
        <v>171.726881149541</v>
      </c>
      <c r="C1463" s="21" t="n">
        <f aca="false">(Config!$B$11-A1463+1)/Config!$B$11</f>
        <v>0.028</v>
      </c>
    </row>
    <row r="1464" customFormat="false" ht="15" hidden="false" customHeight="false" outlineLevel="0" collapsed="false">
      <c r="A1464" s="2" t="n">
        <v>1460</v>
      </c>
      <c r="B1464" s="13" t="n">
        <f aca="false">SMALL(Datos!$D$2:$D$1501,A1464)</f>
        <v>171.734017257965</v>
      </c>
      <c r="C1464" s="21" t="n">
        <f aca="false">(Config!$B$11-A1464+1)/Config!$B$11</f>
        <v>0.0273333333333333</v>
      </c>
    </row>
    <row r="1465" customFormat="false" ht="15" hidden="false" customHeight="false" outlineLevel="0" collapsed="false">
      <c r="A1465" s="2" t="n">
        <v>1461</v>
      </c>
      <c r="B1465" s="13" t="n">
        <f aca="false">SMALL(Datos!$D$2:$D$1501,A1465)</f>
        <v>171.734017257965</v>
      </c>
      <c r="C1465" s="21" t="n">
        <f aca="false">(Config!$B$11-A1465+1)/Config!$B$11</f>
        <v>0.0266666666666667</v>
      </c>
    </row>
    <row r="1466" customFormat="false" ht="15" hidden="false" customHeight="false" outlineLevel="0" collapsed="false">
      <c r="A1466" s="2" t="n">
        <v>1462</v>
      </c>
      <c r="B1466" s="13" t="n">
        <f aca="false">SMALL(Datos!$D$2:$D$1501,A1466)</f>
        <v>171.783970016927</v>
      </c>
      <c r="C1466" s="21" t="n">
        <f aca="false">(Config!$B$11-A1466+1)/Config!$B$11</f>
        <v>0.026</v>
      </c>
    </row>
    <row r="1467" customFormat="false" ht="15" hidden="false" customHeight="false" outlineLevel="0" collapsed="false">
      <c r="A1467" s="2" t="n">
        <v>1463</v>
      </c>
      <c r="B1467" s="13" t="n">
        <f aca="false">SMALL(Datos!$D$2:$D$1501,A1467)</f>
        <v>171.816082504831</v>
      </c>
      <c r="C1467" s="21" t="n">
        <f aca="false">(Config!$B$11-A1467+1)/Config!$B$11</f>
        <v>0.0253333333333333</v>
      </c>
    </row>
    <row r="1468" customFormat="false" ht="15" hidden="false" customHeight="false" outlineLevel="0" collapsed="false">
      <c r="A1468" s="2" t="n">
        <v>1464</v>
      </c>
      <c r="B1468" s="13" t="n">
        <f aca="false">SMALL(Datos!$D$2:$D$1501,A1468)</f>
        <v>171.841058884312</v>
      </c>
      <c r="C1468" s="21" t="n">
        <f aca="false">(Config!$B$11-A1468+1)/Config!$B$11</f>
        <v>0.0246666666666667</v>
      </c>
    </row>
    <row r="1469" customFormat="false" ht="15" hidden="false" customHeight="false" outlineLevel="0" collapsed="false">
      <c r="A1469" s="2" t="n">
        <v>1465</v>
      </c>
      <c r="B1469" s="13" t="n">
        <f aca="false">SMALL(Datos!$D$2:$D$1501,A1469)</f>
        <v>171.876739426428</v>
      </c>
      <c r="C1469" s="21" t="n">
        <f aca="false">(Config!$B$11-A1469+1)/Config!$B$11</f>
        <v>0.024</v>
      </c>
    </row>
    <row r="1470" customFormat="false" ht="15" hidden="false" customHeight="false" outlineLevel="0" collapsed="false">
      <c r="A1470" s="2" t="n">
        <v>1466</v>
      </c>
      <c r="B1470" s="13" t="n">
        <f aca="false">SMALL(Datos!$D$2:$D$1501,A1470)</f>
        <v>171.919556076967</v>
      </c>
      <c r="C1470" s="21" t="n">
        <f aca="false">(Config!$B$11-A1470+1)/Config!$B$11</f>
        <v>0.0233333333333333</v>
      </c>
    </row>
    <row r="1471" customFormat="false" ht="15" hidden="false" customHeight="false" outlineLevel="0" collapsed="false">
      <c r="A1471" s="2" t="n">
        <v>1467</v>
      </c>
      <c r="B1471" s="13" t="n">
        <f aca="false">SMALL(Datos!$D$2:$D$1501,A1471)</f>
        <v>171.976644944353</v>
      </c>
      <c r="C1471" s="21" t="n">
        <f aca="false">(Config!$B$11-A1471+1)/Config!$B$11</f>
        <v>0.0226666666666667</v>
      </c>
    </row>
    <row r="1472" customFormat="false" ht="15" hidden="false" customHeight="false" outlineLevel="0" collapsed="false">
      <c r="A1472" s="2" t="n">
        <v>1468</v>
      </c>
      <c r="B1472" s="13" t="n">
        <f aca="false">SMALL(Datos!$D$2:$D$1501,A1472)</f>
        <v>172.005189378045</v>
      </c>
      <c r="C1472" s="21" t="n">
        <f aca="false">(Config!$B$11-A1472+1)/Config!$B$11</f>
        <v>0.022</v>
      </c>
    </row>
    <row r="1473" customFormat="false" ht="15" hidden="false" customHeight="false" outlineLevel="0" collapsed="false">
      <c r="A1473" s="2" t="n">
        <v>1469</v>
      </c>
      <c r="B1473" s="13" t="n">
        <f aca="false">SMALL(Datos!$D$2:$D$1501,A1473)</f>
        <v>172.108662950181</v>
      </c>
      <c r="C1473" s="21" t="n">
        <f aca="false">(Config!$B$11-A1473+1)/Config!$B$11</f>
        <v>0.0213333333333333</v>
      </c>
    </row>
    <row r="1474" customFormat="false" ht="15" hidden="false" customHeight="false" outlineLevel="0" collapsed="false">
      <c r="A1474" s="2" t="n">
        <v>1470</v>
      </c>
      <c r="B1474" s="13" t="n">
        <f aca="false">SMALL(Datos!$D$2:$D$1501,A1474)</f>
        <v>172.39767534132</v>
      </c>
      <c r="C1474" s="21" t="n">
        <f aca="false">(Config!$B$11-A1474+1)/Config!$B$11</f>
        <v>0.0206666666666667</v>
      </c>
    </row>
    <row r="1475" customFormat="false" ht="15" hidden="false" customHeight="false" outlineLevel="0" collapsed="false">
      <c r="A1475" s="2" t="n">
        <v>1471</v>
      </c>
      <c r="B1475" s="13" t="n">
        <f aca="false">SMALL(Datos!$D$2:$D$1501,A1475)</f>
        <v>172.501148913456</v>
      </c>
      <c r="C1475" s="21" t="n">
        <f aca="false">(Config!$B$11-A1475+1)/Config!$B$11</f>
        <v>0.02</v>
      </c>
    </row>
    <row r="1476" customFormat="false" ht="15" hidden="false" customHeight="false" outlineLevel="0" collapsed="false">
      <c r="A1476" s="2" t="n">
        <v>1472</v>
      </c>
      <c r="B1476" s="13" t="n">
        <f aca="false">SMALL(Datos!$D$2:$D$1501,A1476)</f>
        <v>172.815137684076</v>
      </c>
      <c r="C1476" s="21" t="n">
        <f aca="false">(Config!$B$11-A1476+1)/Config!$B$11</f>
        <v>0.0193333333333333</v>
      </c>
    </row>
    <row r="1477" customFormat="false" ht="15" hidden="false" customHeight="false" outlineLevel="0" collapsed="false">
      <c r="A1477" s="2" t="n">
        <v>1473</v>
      </c>
      <c r="B1477" s="13" t="n">
        <f aca="false">SMALL(Datos!$D$2:$D$1501,A1477)</f>
        <v>172.886498768308</v>
      </c>
      <c r="C1477" s="21" t="n">
        <f aca="false">(Config!$B$11-A1477+1)/Config!$B$11</f>
        <v>0.0186666666666667</v>
      </c>
    </row>
    <row r="1478" customFormat="false" ht="15" hidden="false" customHeight="false" outlineLevel="0" collapsed="false">
      <c r="A1478" s="2" t="n">
        <v>1474</v>
      </c>
      <c r="B1478" s="13" t="n">
        <f aca="false">SMALL(Datos!$D$2:$D$1501,A1478)</f>
        <v>173.007812611502</v>
      </c>
      <c r="C1478" s="21" t="n">
        <f aca="false">(Config!$B$11-A1478+1)/Config!$B$11</f>
        <v>0.018</v>
      </c>
    </row>
    <row r="1479" customFormat="false" ht="15" hidden="false" customHeight="false" outlineLevel="0" collapsed="false">
      <c r="A1479" s="2" t="n">
        <v>1475</v>
      </c>
      <c r="B1479" s="13" t="n">
        <f aca="false">SMALL(Datos!$D$2:$D$1501,A1479)</f>
        <v>173.029220936771</v>
      </c>
      <c r="C1479" s="21" t="n">
        <f aca="false">(Config!$B$11-A1479+1)/Config!$B$11</f>
        <v>0.0173333333333333</v>
      </c>
    </row>
    <row r="1480" customFormat="false" ht="15" hidden="false" customHeight="false" outlineLevel="0" collapsed="false">
      <c r="A1480" s="2" t="n">
        <v>1476</v>
      </c>
      <c r="B1480" s="13" t="n">
        <f aca="false">SMALL(Datos!$D$2:$D$1501,A1480)</f>
        <v>173.171943105235</v>
      </c>
      <c r="C1480" s="21" t="n">
        <f aca="false">(Config!$B$11-A1480+1)/Config!$B$11</f>
        <v>0.0166666666666667</v>
      </c>
    </row>
    <row r="1481" customFormat="false" ht="15" hidden="false" customHeight="false" outlineLevel="0" collapsed="false">
      <c r="A1481" s="2" t="n">
        <v>1477</v>
      </c>
      <c r="B1481" s="13" t="n">
        <f aca="false">SMALL(Datos!$D$2:$D$1501,A1481)</f>
        <v>173.196919484716</v>
      </c>
      <c r="C1481" s="21" t="n">
        <f aca="false">(Config!$B$11-A1481+1)/Config!$B$11</f>
        <v>0.016</v>
      </c>
    </row>
    <row r="1482" customFormat="false" ht="15" hidden="false" customHeight="false" outlineLevel="0" collapsed="false">
      <c r="A1482" s="2" t="n">
        <v>1478</v>
      </c>
      <c r="B1482" s="13" t="n">
        <f aca="false">SMALL(Datos!$D$2:$D$1501,A1482)</f>
        <v>173.336073598968</v>
      </c>
      <c r="C1482" s="21" t="n">
        <f aca="false">(Config!$B$11-A1482+1)/Config!$B$11</f>
        <v>0.0153333333333333</v>
      </c>
    </row>
    <row r="1483" customFormat="false" ht="15" hidden="false" customHeight="false" outlineLevel="0" collapsed="false">
      <c r="A1483" s="2" t="n">
        <v>1479</v>
      </c>
      <c r="B1483" s="13" t="n">
        <f aca="false">SMALL(Datos!$D$2:$D$1501,A1483)</f>
        <v>173.353913870026</v>
      </c>
      <c r="C1483" s="21" t="n">
        <f aca="false">(Config!$B$11-A1483+1)/Config!$B$11</f>
        <v>0.0146666666666667</v>
      </c>
    </row>
    <row r="1484" customFormat="false" ht="15" hidden="false" customHeight="false" outlineLevel="0" collapsed="false">
      <c r="A1484" s="2" t="n">
        <v>1480</v>
      </c>
      <c r="B1484" s="13" t="n">
        <f aca="false">SMALL(Datos!$D$2:$D$1501,A1484)</f>
        <v>173.696447074338</v>
      </c>
      <c r="C1484" s="21" t="n">
        <f aca="false">(Config!$B$11-A1484+1)/Config!$B$11</f>
        <v>0.014</v>
      </c>
    </row>
    <row r="1485" customFormat="false" ht="15" hidden="false" customHeight="false" outlineLevel="0" collapsed="false">
      <c r="A1485" s="2" t="n">
        <v>1481</v>
      </c>
      <c r="B1485" s="13" t="n">
        <f aca="false">SMALL(Datos!$D$2:$D$1501,A1485)</f>
        <v>173.703583182762</v>
      </c>
      <c r="C1485" s="21" t="n">
        <f aca="false">(Config!$B$11-A1485+1)/Config!$B$11</f>
        <v>0.0133333333333333</v>
      </c>
    </row>
    <row r="1486" customFormat="false" ht="15" hidden="false" customHeight="false" outlineLevel="0" collapsed="false">
      <c r="A1486" s="2" t="n">
        <v>1482</v>
      </c>
      <c r="B1486" s="13" t="n">
        <f aca="false">SMALL(Datos!$D$2:$D$1501,A1486)</f>
        <v>173.956915031784</v>
      </c>
      <c r="C1486" s="21" t="n">
        <f aca="false">(Config!$B$11-A1486+1)/Config!$B$11</f>
        <v>0.0126666666666667</v>
      </c>
    </row>
    <row r="1487" customFormat="false" ht="15" hidden="false" customHeight="false" outlineLevel="0" collapsed="false">
      <c r="A1487" s="2" t="n">
        <v>1483</v>
      </c>
      <c r="B1487" s="13" t="n">
        <f aca="false">SMALL(Datos!$D$2:$D$1501,A1487)</f>
        <v>174.096069146036</v>
      </c>
      <c r="C1487" s="21" t="n">
        <f aca="false">(Config!$B$11-A1487+1)/Config!$B$11</f>
        <v>0.012</v>
      </c>
    </row>
    <row r="1488" customFormat="false" ht="15" hidden="false" customHeight="false" outlineLevel="0" collapsed="false">
      <c r="A1488" s="2" t="n">
        <v>1484</v>
      </c>
      <c r="B1488" s="13" t="n">
        <f aca="false">SMALL(Datos!$D$2:$D$1501,A1488)</f>
        <v>174.477850946676</v>
      </c>
      <c r="C1488" s="21" t="n">
        <f aca="false">(Config!$B$11-A1488+1)/Config!$B$11</f>
        <v>0.0113333333333333</v>
      </c>
    </row>
    <row r="1489" customFormat="false" ht="15" hidden="false" customHeight="false" outlineLevel="0" collapsed="false">
      <c r="A1489" s="2" t="n">
        <v>1485</v>
      </c>
      <c r="B1489" s="13" t="n">
        <f aca="false">SMALL(Datos!$D$2:$D$1501,A1489)</f>
        <v>174.559916193543</v>
      </c>
      <c r="C1489" s="21" t="n">
        <f aca="false">(Config!$B$11-A1489+1)/Config!$B$11</f>
        <v>0.0106666666666667</v>
      </c>
    </row>
    <row r="1490" customFormat="false" ht="15" hidden="false" customHeight="false" outlineLevel="0" collapsed="false">
      <c r="A1490" s="2" t="n">
        <v>1486</v>
      </c>
      <c r="B1490" s="13" t="n">
        <f aca="false">SMALL(Datos!$D$2:$D$1501,A1490)</f>
        <v>174.749023066757</v>
      </c>
      <c r="C1490" s="21" t="n">
        <f aca="false">(Config!$B$11-A1490+1)/Config!$B$11</f>
        <v>0.01</v>
      </c>
    </row>
    <row r="1491" customFormat="false" ht="15" hidden="false" customHeight="false" outlineLevel="0" collapsed="false">
      <c r="A1491" s="2" t="n">
        <v>1487</v>
      </c>
      <c r="B1491" s="13" t="n">
        <f aca="false">SMALL(Datos!$D$2:$D$1501,A1491)</f>
        <v>174.763295283603</v>
      </c>
      <c r="C1491" s="21" t="n">
        <f aca="false">(Config!$B$11-A1491+1)/Config!$B$11</f>
        <v>0.00933333333333333</v>
      </c>
    </row>
    <row r="1492" customFormat="false" ht="15" hidden="false" customHeight="false" outlineLevel="0" collapsed="false">
      <c r="A1492" s="2" t="n">
        <v>1488</v>
      </c>
      <c r="B1492" s="13" t="n">
        <f aca="false">SMALL(Datos!$D$2:$D$1501,A1492)</f>
        <v>174.781135554661</v>
      </c>
      <c r="C1492" s="21" t="n">
        <f aca="false">(Config!$B$11-A1492+1)/Config!$B$11</f>
        <v>0.00866666666666667</v>
      </c>
    </row>
    <row r="1493" customFormat="false" ht="15" hidden="false" customHeight="false" outlineLevel="0" collapsed="false">
      <c r="A1493" s="2" t="n">
        <v>1489</v>
      </c>
      <c r="B1493" s="13" t="n">
        <f aca="false">SMALL(Datos!$D$2:$D$1501,A1493)</f>
        <v>174.831088313623</v>
      </c>
      <c r="C1493" s="21" t="n">
        <f aca="false">(Config!$B$11-A1493+1)/Config!$B$11</f>
        <v>0.008</v>
      </c>
    </row>
    <row r="1494" customFormat="false" ht="15" hidden="false" customHeight="false" outlineLevel="0" collapsed="false">
      <c r="A1494" s="2" t="n">
        <v>1490</v>
      </c>
      <c r="B1494" s="13" t="n">
        <f aca="false">SMALL(Datos!$D$2:$D$1501,A1494)</f>
        <v>174.906017452067</v>
      </c>
      <c r="C1494" s="21" t="n">
        <f aca="false">(Config!$B$11-A1494+1)/Config!$B$11</f>
        <v>0.00733333333333333</v>
      </c>
    </row>
    <row r="1495" customFormat="false" ht="15" hidden="false" customHeight="false" outlineLevel="0" collapsed="false">
      <c r="A1495" s="2" t="n">
        <v>1491</v>
      </c>
      <c r="B1495" s="13" t="n">
        <f aca="false">SMALL(Datos!$D$2:$D$1501,A1495)</f>
        <v>175.22714233111</v>
      </c>
      <c r="C1495" s="21" t="n">
        <f aca="false">(Config!$B$11-A1495+1)/Config!$B$11</f>
        <v>0.00666666666666667</v>
      </c>
    </row>
    <row r="1496" customFormat="false" ht="15" hidden="false" customHeight="false" outlineLevel="0" collapsed="false">
      <c r="A1496" s="2" t="n">
        <v>1492</v>
      </c>
      <c r="B1496" s="13" t="n">
        <f aca="false">SMALL(Datos!$D$2:$D$1501,A1496)</f>
        <v>175.426953366959</v>
      </c>
      <c r="C1496" s="21" t="n">
        <f aca="false">(Config!$B$11-A1496+1)/Config!$B$11</f>
        <v>0.006</v>
      </c>
    </row>
    <row r="1497" customFormat="false" ht="15" hidden="false" customHeight="false" outlineLevel="0" collapsed="false">
      <c r="A1497" s="2" t="n">
        <v>1493</v>
      </c>
      <c r="B1497" s="13" t="n">
        <f aca="false">SMALL(Datos!$D$2:$D$1501,A1497)</f>
        <v>175.455497800651</v>
      </c>
      <c r="C1497" s="21" t="n">
        <f aca="false">(Config!$B$11-A1497+1)/Config!$B$11</f>
        <v>0.00533333333333333</v>
      </c>
    </row>
    <row r="1498" customFormat="false" ht="15" hidden="false" customHeight="false" outlineLevel="0" collapsed="false">
      <c r="A1498" s="2" t="n">
        <v>1494</v>
      </c>
      <c r="B1498" s="13" t="n">
        <f aca="false">SMALL(Datos!$D$2:$D$1501,A1498)</f>
        <v>175.469770017498</v>
      </c>
      <c r="C1498" s="21" t="n">
        <f aca="false">(Config!$B$11-A1498+1)/Config!$B$11</f>
        <v>0.00466666666666667</v>
      </c>
    </row>
    <row r="1499" customFormat="false" ht="15" hidden="false" customHeight="false" outlineLevel="0" collapsed="false">
      <c r="A1499" s="2" t="n">
        <v>1495</v>
      </c>
      <c r="B1499" s="13" t="n">
        <f aca="false">SMALL(Datos!$D$2:$D$1501,A1499)</f>
        <v>175.937185119216</v>
      </c>
      <c r="C1499" s="21" t="n">
        <f aca="false">(Config!$B$11-A1499+1)/Config!$B$11</f>
        <v>0.004</v>
      </c>
    </row>
    <row r="1500" customFormat="false" ht="15" hidden="false" customHeight="false" outlineLevel="0" collapsed="false">
      <c r="A1500" s="2" t="n">
        <v>1496</v>
      </c>
      <c r="B1500" s="13" t="n">
        <f aca="false">SMALL(Datos!$D$2:$D$1501,A1500)</f>
        <v>175.983569823967</v>
      </c>
      <c r="C1500" s="21" t="n">
        <f aca="false">(Config!$B$11-A1500+1)/Config!$B$11</f>
        <v>0.00333333333333333</v>
      </c>
    </row>
    <row r="1501" customFormat="false" ht="15" hidden="false" customHeight="false" outlineLevel="0" collapsed="false">
      <c r="A1501" s="2" t="n">
        <v>1497</v>
      </c>
      <c r="B1501" s="13" t="n">
        <f aca="false">SMALL(Datos!$D$2:$D$1501,A1501)</f>
        <v>176.568730714667</v>
      </c>
      <c r="C1501" s="21" t="n">
        <f aca="false">(Config!$B$11-A1501+1)/Config!$B$11</f>
        <v>0.00266666666666667</v>
      </c>
    </row>
    <row r="1502" customFormat="false" ht="15" hidden="false" customHeight="false" outlineLevel="0" collapsed="false">
      <c r="A1502" s="2" t="n">
        <v>1498</v>
      </c>
      <c r="B1502" s="13" t="n">
        <f aca="false">SMALL(Datos!$D$2:$D$1501,A1502)</f>
        <v>176.650795961534</v>
      </c>
      <c r="C1502" s="21" t="n">
        <f aca="false">(Config!$B$11-A1502+1)/Config!$B$11</f>
        <v>0.002</v>
      </c>
    </row>
    <row r="1503" customFormat="false" ht="15" hidden="false" customHeight="false" outlineLevel="0" collapsed="false">
      <c r="A1503" s="2" t="n">
        <v>1499</v>
      </c>
      <c r="B1503" s="13" t="n">
        <f aca="false">SMALL(Datos!$D$2:$D$1501,A1503)</f>
        <v>176.775677858939</v>
      </c>
      <c r="C1503" s="21" t="n">
        <f aca="false">(Config!$B$11-A1503+1)/Config!$B$11</f>
        <v>0.00133333333333333</v>
      </c>
    </row>
    <row r="1504" customFormat="false" ht="15" hidden="false" customHeight="false" outlineLevel="0" collapsed="false">
      <c r="A1504" s="2" t="n">
        <v>1500</v>
      </c>
      <c r="B1504" s="13" t="n">
        <f aca="false">SMALL(Datos!$D$2:$D$1501,A1504)</f>
        <v>177.774733038184</v>
      </c>
      <c r="C1504" s="21" t="n">
        <f aca="false">(Config!$B$11-A1504+1)/Config!$B$11</f>
        <v>0.000666666666666667</v>
      </c>
    </row>
  </sheetData>
  <mergeCells count="2">
    <mergeCell ref="A1:D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2026-08-31T16:52:45Z</dcterms:created>
  <dc:creator>openpyxl</dc:creator>
  <dc:description/>
  <dc:language>en-US</dc:language>
  <cp:lastModifiedBy/>
  <dcterms:modified xsi:type="dcterms:W3CDTF">2026-08-31T16:52:48Z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